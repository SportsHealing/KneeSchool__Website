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3.12 Patellofemoral Biomechanics</t>
        </is>
      </c>
    </row>
    <row r="3">
      <c r="A3" s="2" t="inlineStr">
        <is>
          <t>Section</t>
        </is>
      </c>
      <c r="B3" s="3" t="inlineStr">
        <is>
          <t>3</t>
        </is>
      </c>
    </row>
    <row r="4">
      <c r="A4" s="2" t="inlineStr">
        <is>
          <t>Chapter</t>
        </is>
      </c>
      <c r="B4" s="3" t="inlineStr">
        <is>
          <t>3.12 Patellofemoral Biomechanics</t>
        </is>
      </c>
    </row>
    <row r="5">
      <c r="A5" s="2" t="inlineStr">
        <is>
          <t>Pages</t>
        </is>
      </c>
      <c r="B5" s="3" t="n">
        <v>12</v>
      </c>
    </row>
    <row r="6">
      <c r="A6" s="2" t="inlineStr">
        <is>
          <t>Page type</t>
        </is>
      </c>
      <c r="B6" s="3" t="inlineStr">
        <is>
          <t>biomechanics</t>
        </is>
      </c>
    </row>
    <row r="7">
      <c r="A7" s="2" t="inlineStr">
        <is>
          <t>Tiers</t>
        </is>
      </c>
      <c r="B7" s="3" t="inlineStr">
        <is>
          <t>medical student, mrcs, frcs</t>
        </is>
      </c>
    </row>
    <row r="8">
      <c r="A8" s="2" t="inlineStr">
        <is>
          <t>Words</t>
        </is>
      </c>
      <c r="B8" s="3" t="inlineStr">
        <is>
          <t>16,455</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12</v>
      </c>
    </row>
    <row r="12">
      <c r="A12" s="2" t="inlineStr">
        <is>
          <t>Recommendations to sign</t>
        </is>
      </c>
      <c r="B12" s="3" t="n">
        <v>93</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3.12.1</t>
        </is>
      </c>
      <c r="B2" s="6" t="inlineStr">
        <is>
          <t>Patellar Tracking</t>
        </is>
      </c>
      <c r="C2" s="6" t="n">
        <v>3</v>
      </c>
      <c r="D2" s="6" t="n">
        <v>1381</v>
      </c>
      <c r="E2" s="6" t="inlineStr">
        <is>
          <t>biomechanics/patellar-tracking.html</t>
        </is>
      </c>
    </row>
    <row r="3">
      <c r="A3" s="6" t="inlineStr">
        <is>
          <t>3.12.2</t>
        </is>
      </c>
      <c r="B3" s="6" t="inlineStr">
        <is>
          <t>Contact Areas</t>
        </is>
      </c>
      <c r="C3" s="6" t="n">
        <v>3</v>
      </c>
      <c r="D3" s="6" t="n">
        <v>1427</v>
      </c>
      <c r="E3" s="6" t="inlineStr">
        <is>
          <t>biomechanics/patellofemoral-contact-areas.html</t>
        </is>
      </c>
    </row>
    <row r="4">
      <c r="A4" s="6" t="inlineStr">
        <is>
          <t>3.12.3</t>
        </is>
      </c>
      <c r="B4" s="6" t="inlineStr">
        <is>
          <t>Contact Pressures</t>
        </is>
      </c>
      <c r="C4" s="6" t="n">
        <v>3</v>
      </c>
      <c r="D4" s="6" t="n">
        <v>1390</v>
      </c>
      <c r="E4" s="6" t="inlineStr">
        <is>
          <t>biomechanics/patellofemoral-contact-pressures.html</t>
        </is>
      </c>
    </row>
    <row r="5">
      <c r="A5" s="6" t="inlineStr">
        <is>
          <t>3.12.4</t>
        </is>
      </c>
      <c r="B5" s="6" t="inlineStr">
        <is>
          <t>Trochlear Function</t>
        </is>
      </c>
      <c r="C5" s="6" t="n">
        <v>3</v>
      </c>
      <c r="D5" s="6" t="n">
        <v>1390</v>
      </c>
      <c r="E5" s="6" t="inlineStr">
        <is>
          <t>biomechanics/trochlear-function.html</t>
        </is>
      </c>
    </row>
    <row r="6">
      <c r="A6" s="6" t="inlineStr">
        <is>
          <t>3.12.5</t>
        </is>
      </c>
      <c r="B6" s="6" t="inlineStr">
        <is>
          <t>MPFL Function</t>
        </is>
      </c>
      <c r="C6" s="6" t="n">
        <v>3</v>
      </c>
      <c r="D6" s="6" t="n">
        <v>1426</v>
      </c>
      <c r="E6" s="6" t="inlineStr">
        <is>
          <t>biomechanics/mpfl-function.html</t>
        </is>
      </c>
    </row>
    <row r="7">
      <c r="A7" s="6" t="inlineStr">
        <is>
          <t>3.12.6</t>
        </is>
      </c>
      <c r="B7" s="6" t="inlineStr">
        <is>
          <t>Q Angle</t>
        </is>
      </c>
      <c r="C7" s="6" t="n">
        <v>3</v>
      </c>
      <c r="D7" s="6" t="n">
        <v>1346</v>
      </c>
      <c r="E7" s="6" t="inlineStr">
        <is>
          <t>biomechanics/q-angle.html</t>
        </is>
      </c>
    </row>
    <row r="8">
      <c r="A8" s="6" t="inlineStr">
        <is>
          <t>3.12.7</t>
        </is>
      </c>
      <c r="B8" s="6" t="inlineStr">
        <is>
          <t>Dynamic Valgus</t>
        </is>
      </c>
      <c r="C8" s="6" t="n">
        <v>3</v>
      </c>
      <c r="D8" s="6" t="n">
        <v>1348</v>
      </c>
      <c r="E8" s="6" t="inlineStr">
        <is>
          <t>biomechanics/dynamic-valgus.html</t>
        </is>
      </c>
    </row>
    <row r="9">
      <c r="A9" s="6" t="inlineStr">
        <is>
          <t>3.12.8</t>
        </is>
      </c>
      <c r="B9" s="6" t="inlineStr">
        <is>
          <t>Patellar Instability</t>
        </is>
      </c>
      <c r="C9" s="6" t="n">
        <v>3</v>
      </c>
      <c r="D9" s="6" t="n">
        <v>1387</v>
      </c>
      <c r="E9" s="6" t="inlineStr">
        <is>
          <t>biomechanics/patellar-instability.html</t>
        </is>
      </c>
    </row>
    <row r="10">
      <c r="A10" s="6" t="inlineStr">
        <is>
          <t>3.12.9</t>
        </is>
      </c>
      <c r="B10" s="6" t="inlineStr">
        <is>
          <t>Patellofemoral Pain</t>
        </is>
      </c>
      <c r="C10" s="6" t="n">
        <v>3</v>
      </c>
      <c r="D10" s="6" t="n">
        <v>1320</v>
      </c>
      <c r="E10" s="6" t="inlineStr">
        <is>
          <t>biomechanics/patellofemoral-pain.html</t>
        </is>
      </c>
    </row>
    <row r="11">
      <c r="A11" s="6" t="inlineStr">
        <is>
          <t>3.12.10</t>
        </is>
      </c>
      <c r="B11" s="6" t="inlineStr">
        <is>
          <t>Patellofemoral Arthritis</t>
        </is>
      </c>
      <c r="C11" s="6" t="n">
        <v>3</v>
      </c>
      <c r="D11" s="6" t="n">
        <v>1284</v>
      </c>
      <c r="E11" s="6" t="inlineStr">
        <is>
          <t>biomechanics/patellofemoral-arthritis.html</t>
        </is>
      </c>
    </row>
    <row r="12">
      <c r="A12" s="6" t="inlineStr">
        <is>
          <t>3.12.11</t>
        </is>
      </c>
      <c r="B12" s="6" t="inlineStr">
        <is>
          <t>Effects of Malalignment</t>
        </is>
      </c>
      <c r="C12" s="6" t="n">
        <v>3</v>
      </c>
      <c r="D12" s="6" t="n">
        <v>1406</v>
      </c>
      <c r="E12" s="6" t="inlineStr">
        <is>
          <t>biomechanics/patellofemoral-effects-of-malalignment.html</t>
        </is>
      </c>
    </row>
    <row r="13">
      <c r="A13" s="6" t="inlineStr">
        <is>
          <t>3.12.12</t>
        </is>
      </c>
      <c r="B13" s="6" t="inlineStr">
        <is>
          <t>Tibial Tubercle Position</t>
        </is>
      </c>
      <c r="C13" s="6" t="n">
        <v>3</v>
      </c>
      <c r="D13" s="6" t="n">
        <v>1350</v>
      </c>
      <c r="E13" s="6" t="inlineStr">
        <is>
          <t>biomechanics/tibial-tubercle-position.html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3.12.1</t>
        </is>
      </c>
      <c r="B2" s="4" t="inlineStr">
        <is>
          <t>Patellar Tracking</t>
        </is>
      </c>
      <c r="C2" s="4" t="inlineStr">
        <is>
          <t>The engagement arc is where the mechanics matter and where most indices do not look.</t>
        </is>
      </c>
    </row>
    <row r="3">
      <c r="A3" s="4" t="inlineStr">
        <is>
          <t>3.12.1</t>
        </is>
      </c>
      <c r="B3" s="4" t="inlineStr">
        <is>
          <t>Patellar Tracking</t>
        </is>
      </c>
      <c r="C3" s="4" t="inlineStr">
        <is>
          <t>Before engagement the medial soft tissue restrains; after it, the lateral trochlear facet.</t>
        </is>
      </c>
    </row>
    <row r="4">
      <c r="A4" s="4" t="inlineStr">
        <is>
          <t>3.12.1</t>
        </is>
      </c>
      <c r="B4" s="4" t="inlineStr">
        <is>
          <t>Patellar Tracking</t>
        </is>
      </c>
      <c r="C4" s="4" t="inlineStr">
        <is>
          <t>The J sign is the handover failing visibly.</t>
        </is>
      </c>
    </row>
    <row r="5">
      <c r="A5" s="4" t="inlineStr">
        <is>
          <t>3.12.1</t>
        </is>
      </c>
      <c r="B5" s="4" t="inlineStr">
        <is>
          <t>Patellar Tracking</t>
        </is>
      </c>
      <c r="C5" s="4" t="inlineStr">
        <is>
          <t>Late engagement, from height or a shallow groove, lengthens the soft tissue window.</t>
        </is>
      </c>
    </row>
    <row r="6">
      <c r="A6" s="4" t="inlineStr">
        <is>
          <t>3.12.1</t>
        </is>
      </c>
      <c r="B6" s="4" t="inlineStr">
        <is>
          <t>Patellar Tracking</t>
        </is>
      </c>
      <c r="C6" s="4" t="inlineStr">
        <is>
          <t>No routine index reports the flexion angle at which the patella engages.</t>
        </is>
      </c>
    </row>
    <row r="7">
      <c r="A7" s="4" t="inlineStr">
        <is>
          <t>3.12.2</t>
        </is>
      </c>
      <c r="B7" s="4" t="inlineStr">
        <is>
          <t>Contact Areas</t>
        </is>
      </c>
      <c r="C7" s="4" t="inlineStr">
        <is>
          <t>Area and quadriceps force rise together, and their ratio is what cartilage experiences.</t>
        </is>
      </c>
    </row>
    <row r="8">
      <c r="A8" s="4" t="inlineStr">
        <is>
          <t>3.12.2</t>
        </is>
      </c>
      <c r="B8" s="4" t="inlineStr">
        <is>
          <t>Contact Areas</t>
        </is>
      </c>
      <c r="C8" s="4" t="inlineStr">
        <is>
          <t>The ratio is least favourable in early to mid flexion.</t>
        </is>
      </c>
    </row>
    <row r="9">
      <c r="A9" s="4" t="inlineStr">
        <is>
          <t>3.12.2</t>
        </is>
      </c>
      <c r="B9" s="4" t="inlineStr">
        <is>
          <t>Contact Areas</t>
        </is>
      </c>
      <c r="C9" s="4" t="inlineStr">
        <is>
          <t>The lateral facet bias matches the wear found at arthroscopy.</t>
        </is>
      </c>
    </row>
    <row r="10">
      <c r="A10" s="4" t="inlineStr">
        <is>
          <t>3.12.2</t>
        </is>
      </c>
      <c r="B10" s="4" t="inlineStr">
        <is>
          <t>Contact Areas</t>
        </is>
      </c>
      <c r="C10" s="4" t="inlineStr">
        <is>
          <t>Quadriceps tendon articulation in deep flexion is genuine load sharing.</t>
        </is>
      </c>
    </row>
    <row r="11">
      <c r="A11" s="4" t="inlineStr">
        <is>
          <t>3.12.2</t>
        </is>
      </c>
      <c r="B11" s="4" t="inlineStr">
        <is>
          <t>Contact Areas</t>
        </is>
      </c>
      <c r="C11" s="4" t="inlineStr">
        <is>
          <t>Contact area figures are comparable within a study and poorly comparable between studies.</t>
        </is>
      </c>
    </row>
    <row r="12">
      <c r="A12" s="4" t="inlineStr">
        <is>
          <t>3.12.3</t>
        </is>
      </c>
      <c r="B12" s="4" t="inlineStr">
        <is>
          <t>Contact Pressures</t>
        </is>
      </c>
      <c r="C12" s="4" t="inlineStr">
        <is>
          <t>Pressure rises with flexion and rises faster in open chain terminal extension.</t>
        </is>
      </c>
    </row>
    <row r="13">
      <c r="A13" s="4" t="inlineStr">
        <is>
          <t>3.12.3</t>
        </is>
      </c>
      <c r="B13" s="4" t="inlineStr">
        <is>
          <t>Contact Pressures</t>
        </is>
      </c>
      <c r="C13" s="4" t="inlineStr">
        <is>
          <t>Absolute peak figures are rig dependent; the direction of change between conditions survives.</t>
        </is>
      </c>
    </row>
    <row r="14">
      <c r="A14" s="4" t="inlineStr">
        <is>
          <t>3.12.3</t>
        </is>
      </c>
      <c r="B14" s="4" t="inlineStr">
        <is>
          <t>Contact Pressures</t>
        </is>
      </c>
      <c r="C14" s="4" t="inlineStr">
        <is>
          <t>Surgery reduces pressure by moving or enlarging contact, not by reducing extensor force.</t>
        </is>
      </c>
    </row>
    <row r="15">
      <c r="A15" s="4" t="inlineStr">
        <is>
          <t>3.12.3</t>
        </is>
      </c>
      <c r="B15" s="4" t="inlineStr">
        <is>
          <t>Contact Pressures</t>
        </is>
      </c>
      <c r="C15" s="4" t="inlineStr">
        <is>
          <t>In vivo estimation accumulates error across motion capture, inverse dynamics and a model.</t>
        </is>
      </c>
    </row>
    <row r="16">
      <c r="A16" s="4" t="inlineStr">
        <is>
          <t>3.12.3</t>
        </is>
      </c>
      <c r="B16" s="4" t="inlineStr">
        <is>
          <t>Contact Pressures</t>
        </is>
      </c>
      <c r="C16" s="4" t="inlineStr">
        <is>
          <t>Pressure in a loaded, moving, native, living joint is not measurable.</t>
        </is>
      </c>
    </row>
    <row r="17">
      <c r="A17" s="4" t="inlineStr">
        <is>
          <t>3.12.4</t>
        </is>
      </c>
      <c r="B17" s="4" t="inlineStr">
        <is>
          <t>Trochlear Function</t>
        </is>
      </c>
      <c r="C17" s="4" t="inlineStr">
        <is>
          <t>Trochlear morphology is the strongest single predictor of recurrent instability.</t>
        </is>
      </c>
    </row>
    <row r="18">
      <c r="A18" s="4" t="inlineStr">
        <is>
          <t>3.12.4</t>
        </is>
      </c>
      <c r="B18" s="4" t="inlineStr">
        <is>
          <t>Trochlear Function</t>
        </is>
      </c>
      <c r="C18" s="4" t="inlineStr">
        <is>
          <t>It is the one factor no soft tissue procedure addresses.</t>
        </is>
      </c>
    </row>
    <row r="19">
      <c r="A19" s="4" t="inlineStr">
        <is>
          <t>3.12.4</t>
        </is>
      </c>
      <c r="B19" s="4" t="inlineStr">
        <is>
          <t>Trochlear Function</t>
        </is>
      </c>
      <c r="C19" s="4" t="inlineStr">
        <is>
          <t>Constraint is lost most in the first 30 degrees, which soft tissue already covered alone.</t>
        </is>
      </c>
    </row>
    <row r="20">
      <c r="A20" s="4" t="inlineStr">
        <is>
          <t>3.12.4</t>
        </is>
      </c>
      <c r="B20" s="4" t="inlineStr">
        <is>
          <t>Trochlear Function</t>
        </is>
      </c>
      <c r="C20" s="4" t="inlineStr">
        <is>
          <t>A supratrochlear spur turns engagement into a climb over a ridge.</t>
        </is>
      </c>
    </row>
    <row r="21">
      <c r="A21" s="4" t="inlineStr">
        <is>
          <t>3.12.4</t>
        </is>
      </c>
      <c r="B21" s="4" t="inlineStr">
        <is>
          <t>Trochlear Function</t>
        </is>
      </c>
      <c r="C21" s="4" t="inlineStr">
        <is>
          <t>Shape predicts better across a cohort than for the individual, because shape is not constraint.</t>
        </is>
      </c>
    </row>
    <row r="22">
      <c r="A22" s="4" t="inlineStr">
        <is>
          <t>3.12.5</t>
        </is>
      </c>
      <c r="B22" s="4" t="inlineStr">
        <is>
          <t>MPFL Function</t>
        </is>
      </c>
      <c r="C22" s="4" t="inlineStr">
        <is>
          <t>The ligament and the trochlea cover different parts of the arc, and a knee needs both.</t>
        </is>
      </c>
    </row>
    <row r="23">
      <c r="A23" s="4" t="inlineStr">
        <is>
          <t>3.12.5</t>
        </is>
      </c>
      <c r="B23" s="4" t="inlineStr">
        <is>
          <t>MPFL Function</t>
        </is>
      </c>
      <c r="C23" s="4" t="inlineStr">
        <is>
          <t>A reconstruction restores restraint only where the ligament was tight.</t>
        </is>
      </c>
    </row>
    <row r="24">
      <c r="A24" s="4" t="inlineStr">
        <is>
          <t>3.12.5</t>
        </is>
      </c>
      <c r="B24" s="4" t="inlineStr">
        <is>
          <t>MPFL Function</t>
        </is>
      </c>
      <c r="C24" s="4" t="inlineStr">
        <is>
          <t>Tensioning in flexion overconstrains the medial facet and raises medial pressure.</t>
        </is>
      </c>
    </row>
    <row r="25">
      <c r="A25" s="4" t="inlineStr">
        <is>
          <t>3.12.5</t>
        </is>
      </c>
      <c r="B25" s="4" t="inlineStr">
        <is>
          <t>MPFL Function</t>
        </is>
      </c>
      <c r="C25" s="4" t="inlineStr">
        <is>
          <t>The femoral origin is close to the physis in a growing knee.</t>
        </is>
      </c>
    </row>
    <row r="26">
      <c r="A26" s="4" t="inlineStr">
        <is>
          <t>3.12.5</t>
        </is>
      </c>
      <c r="B26" s="4" t="inlineStr">
        <is>
          <t>MPFL Function</t>
        </is>
      </c>
      <c r="C26" s="4" t="inlineStr">
        <is>
          <t>No measured optimum for graft tension exists, and it is set by feel.</t>
        </is>
      </c>
    </row>
    <row r="27">
      <c r="A27" s="4" t="inlineStr">
        <is>
          <t>3.12.6</t>
        </is>
      </c>
      <c r="B27" s="4" t="inlineStr">
        <is>
          <t>Q Angle</t>
        </is>
      </c>
      <c r="C27" s="4" t="inlineStr">
        <is>
          <t>The Q angle survived because it was easy, not because it worked.</t>
        </is>
      </c>
    </row>
    <row r="28">
      <c r="A28" s="4" t="inlineStr">
        <is>
          <t>3.12.6</t>
        </is>
      </c>
      <c r="B28" s="4" t="inlineStr">
        <is>
          <t>Q Angle</t>
        </is>
      </c>
      <c r="C28" s="4" t="inlineStr">
        <is>
          <t>Its failure is structural: it omits a plane and uses a mobile landmark.</t>
        </is>
      </c>
    </row>
    <row r="29">
      <c r="A29" s="4" t="inlineStr">
        <is>
          <t>3.12.6</t>
        </is>
      </c>
      <c r="B29" s="4" t="inlineStr">
        <is>
          <t>Q Angle</t>
        </is>
      </c>
      <c r="C29" s="4" t="inlineStr">
        <is>
          <t>The tubercle to groove distance replaced it by measuring bone to bone.</t>
        </is>
      </c>
    </row>
    <row r="30">
      <c r="A30" s="4" t="inlineStr">
        <is>
          <t>3.12.6</t>
        </is>
      </c>
      <c r="B30" s="4" t="inlineStr">
        <is>
          <t>Q Angle</t>
        </is>
      </c>
      <c r="C30" s="4" t="inlineStr">
        <is>
          <t>That replacement has its own limits and a soft threshold.</t>
        </is>
      </c>
    </row>
    <row r="31">
      <c r="A31" s="4" t="inlineStr">
        <is>
          <t>3.12.6</t>
        </is>
      </c>
      <c r="B31" s="4" t="inlineStr">
        <is>
          <t>Q Angle</t>
        </is>
      </c>
      <c r="C31" s="4" t="inlineStr">
        <is>
          <t>A vector with components in three planes cannot be reduced to one number.</t>
        </is>
      </c>
    </row>
    <row r="32">
      <c r="A32" s="4" t="inlineStr">
        <is>
          <t>3.12.7</t>
        </is>
      </c>
      <c r="B32" s="4" t="inlineStr">
        <is>
          <t>Dynamic Valgus</t>
        </is>
      </c>
      <c r="C32" s="4" t="inlineStr">
        <is>
          <t>Dynamic valgus produces relative femoral internal rotation under a patella that does not follow.</t>
        </is>
      </c>
    </row>
    <row r="33">
      <c r="A33" s="4" t="inlineStr">
        <is>
          <t>3.12.7</t>
        </is>
      </c>
      <c r="B33" s="4" t="inlineStr">
        <is>
          <t>Dynamic Valgus</t>
        </is>
      </c>
      <c r="C33" s="4" t="inlineStr">
        <is>
          <t>That is the same geometric error as a lateralised tubercle, and it adds to it.</t>
        </is>
      </c>
    </row>
    <row r="34">
      <c r="A34" s="4" t="inlineStr">
        <is>
          <t>3.12.7</t>
        </is>
      </c>
      <c r="B34" s="4" t="inlineStr">
        <is>
          <t>Dynamic Valgus</t>
        </is>
      </c>
      <c r="C34" s="4" t="inlineStr">
        <is>
          <t>Displacement and pressure rise together, unlike in static malalignment.</t>
        </is>
      </c>
    </row>
    <row r="35">
      <c r="A35" s="4" t="inlineStr">
        <is>
          <t>3.12.7</t>
        </is>
      </c>
      <c r="B35" s="4" t="inlineStr">
        <is>
          <t>Dynamic Valgus</t>
        </is>
      </c>
      <c r="C35" s="4" t="inlineStr">
        <is>
          <t>The patellofemoral evidence for modifying the pattern is weaker than the cruciate evidence.</t>
        </is>
      </c>
    </row>
    <row r="36">
      <c r="A36" s="4" t="inlineStr">
        <is>
          <t>3.12.7</t>
        </is>
      </c>
      <c r="B36" s="4" t="inlineStr">
        <is>
          <t>Dynamic Valgus</t>
        </is>
      </c>
      <c r="C36" s="4" t="inlineStr">
        <is>
          <t>Patellofemoral consequences are modelled rather than measured in a living athlete.</t>
        </is>
      </c>
    </row>
    <row r="37">
      <c r="A37" s="4" t="inlineStr">
        <is>
          <t>3.12.8</t>
        </is>
      </c>
      <c r="B37" s="4" t="inlineStr">
        <is>
          <t>Patellar Instability</t>
        </is>
      </c>
      <c r="C37" s="4" t="inlineStr">
        <is>
          <t>Instability is a competition between a lateral vector and the restraint at that angle.</t>
        </is>
      </c>
    </row>
    <row r="38">
      <c r="A38" s="4" t="inlineStr">
        <is>
          <t>3.12.8</t>
        </is>
      </c>
      <c r="B38" s="4" t="inlineStr">
        <is>
          <t>Patellar Instability</t>
        </is>
      </c>
      <c r="C38" s="4" t="inlineStr">
        <is>
          <t>Indices predict in groups because each measures one term in an inequality.</t>
        </is>
      </c>
    </row>
    <row r="39">
      <c r="A39" s="4" t="inlineStr">
        <is>
          <t>3.12.8</t>
        </is>
      </c>
      <c r="B39" s="4" t="inlineStr">
        <is>
          <t>Patellar Instability</t>
        </is>
      </c>
      <c r="C39" s="4" t="inlineStr">
        <is>
          <t>Addressing two mild factors often beats overcorrecting one severe factor.</t>
        </is>
      </c>
    </row>
    <row r="40">
      <c r="A40" s="4" t="inlineStr">
        <is>
          <t>3.12.8</t>
        </is>
      </c>
      <c r="B40" s="4" t="inlineStr">
        <is>
          <t>Patellar Instability</t>
        </is>
      </c>
      <c r="C40" s="4" t="inlineStr">
        <is>
          <t>Patellar height ratios disagree, so the ratio must be named with the number.</t>
        </is>
      </c>
    </row>
    <row r="41">
      <c r="A41" s="4" t="inlineStr">
        <is>
          <t>3.12.8</t>
        </is>
      </c>
      <c r="B41" s="4" t="inlineStr">
        <is>
          <t>Patellar Instability</t>
        </is>
      </c>
      <c r="C41" s="4" t="inlineStr">
        <is>
          <t>No clinical measurement expresses vector and restraint in the same units.</t>
        </is>
      </c>
    </row>
    <row r="42">
      <c r="A42" s="4" t="inlineStr">
        <is>
          <t>3.12.9</t>
        </is>
      </c>
      <c r="B42" s="4" t="inlineStr">
        <is>
          <t>Patellofemoral Pain</t>
        </is>
      </c>
      <c r="C42" s="4" t="inlineStr">
        <is>
          <t>The condition has mechanical contributors and is not a mechanical diagnosis.</t>
        </is>
      </c>
    </row>
    <row r="43">
      <c r="A43" s="4" t="inlineStr">
        <is>
          <t>3.12.9</t>
        </is>
      </c>
      <c r="B43" s="4" t="inlineStr">
        <is>
          <t>Patellofemoral Pain</t>
        </is>
      </c>
      <c r="C43" s="4" t="inlineStr">
        <is>
          <t>Realignment surgery for pain alone has performed poorly.</t>
        </is>
      </c>
    </row>
    <row r="44">
      <c r="A44" s="4" t="inlineStr">
        <is>
          <t>3.12.9</t>
        </is>
      </c>
      <c r="B44" s="4" t="inlineStr">
        <is>
          <t>Patellofemoral Pain</t>
        </is>
      </c>
      <c r="C44" s="4" t="inlineStr">
        <is>
          <t>Loading programmes outperform mechanical corrections, suggesting tolerance is the modifiable variable.</t>
        </is>
      </c>
    </row>
    <row r="45">
      <c r="A45" s="4" t="inlineStr">
        <is>
          <t>3.12.9</t>
        </is>
      </c>
      <c r="B45" s="4" t="inlineStr">
        <is>
          <t>Patellofemoral Pain</t>
        </is>
      </c>
      <c r="C45" s="4" t="inlineStr">
        <is>
          <t>Cumulative load and loading rate matter beyond peak pressure.</t>
        </is>
      </c>
    </row>
    <row r="46">
      <c r="A46" s="4" t="inlineStr">
        <is>
          <t>3.12.9</t>
        </is>
      </c>
      <c r="B46" s="4" t="inlineStr">
        <is>
          <t>Patellofemoral Pain</t>
        </is>
      </c>
      <c r="C46" s="4" t="inlineStr">
        <is>
          <t>Reserve realignment for instability rather than for pain.</t>
        </is>
      </c>
    </row>
    <row r="47">
      <c r="A47" s="4" t="inlineStr">
        <is>
          <t>3.12.10</t>
        </is>
      </c>
      <c r="B47" s="4" t="inlineStr">
        <is>
          <t>Patellofemoral Arthritis</t>
        </is>
      </c>
      <c r="C47" s="4" t="inlineStr">
        <is>
          <t>The mechanical account of degeneration is more secure than that of pain.</t>
        </is>
      </c>
    </row>
    <row r="48">
      <c r="A48" s="4" t="inlineStr">
        <is>
          <t>3.12.10</t>
        </is>
      </c>
      <c r="B48" s="4" t="inlineStr">
        <is>
          <t>Patellofemoral Arthritis</t>
        </is>
      </c>
      <c r="C48" s="4" t="inlineStr">
        <is>
          <t>Site of wear follows pressure distribution; symptom severity follows neither site nor grade.</t>
        </is>
      </c>
    </row>
    <row r="49">
      <c r="A49" s="4" t="inlineStr">
        <is>
          <t>3.12.10</t>
        </is>
      </c>
      <c r="B49" s="4" t="inlineStr">
        <is>
          <t>Patellofemoral Arthritis</t>
        </is>
      </c>
      <c r="C49" s="4" t="inlineStr">
        <is>
          <t>Offloading has a defensible rationale for a mapped lesion and a poor record for undifferentiated pain.</t>
        </is>
      </c>
    </row>
    <row r="50">
      <c r="A50" s="4" t="inlineStr">
        <is>
          <t>3.12.10</t>
        </is>
      </c>
      <c r="B50" s="4" t="inlineStr">
        <is>
          <t>Patellofemoral Arthritis</t>
        </is>
      </c>
      <c r="C50" s="4" t="inlineStr">
        <is>
          <t>Instability related degeneration is the clearest mechanical story in this joint.</t>
        </is>
      </c>
    </row>
    <row r="51">
      <c r="A51" s="4" t="inlineStr">
        <is>
          <t>3.12.10</t>
        </is>
      </c>
      <c r="B51" s="4" t="inlineStr">
        <is>
          <t>Patellofemoral Arthritis</t>
        </is>
      </c>
      <c r="C51" s="4" t="inlineStr">
        <is>
          <t>No prospective study shows a predicted high pressure site becoming a worn site in an individual.</t>
        </is>
      </c>
    </row>
    <row r="52">
      <c r="A52" s="4" t="inlineStr">
        <is>
          <t>3.12.11</t>
        </is>
      </c>
      <c r="B52" s="4" t="inlineStr">
        <is>
          <t>Effects of Malalignment</t>
        </is>
      </c>
      <c r="C52" s="4" t="inlineStr">
        <is>
          <t>The transverse plane is under recognised because the coronal plane was measurable first.</t>
        </is>
      </c>
    </row>
    <row r="53">
      <c r="A53" s="4" t="inlineStr">
        <is>
          <t>3.12.11</t>
        </is>
      </c>
      <c r="B53" s="4" t="inlineStr">
        <is>
          <t>Effects of Malalignment</t>
        </is>
      </c>
      <c r="C53" s="4" t="inlineStr">
        <is>
          <t>Femoral anteversion is reported in a substantial minority of recurrent dislocators.</t>
        </is>
      </c>
    </row>
    <row r="54">
      <c r="A54" s="4" t="inlineStr">
        <is>
          <t>3.12.11</t>
        </is>
      </c>
      <c r="B54" s="4" t="inlineStr">
        <is>
          <t>Effects of Malalignment</t>
        </is>
      </c>
      <c r="C54" s="4" t="inlineStr">
        <is>
          <t>No soft tissue or tubercle procedure addresses femoral version; a derotation osteotomy does.</t>
        </is>
      </c>
    </row>
    <row r="55">
      <c r="A55" s="4" t="inlineStr">
        <is>
          <t>3.12.11</t>
        </is>
      </c>
      <c r="B55" s="4" t="inlineStr">
        <is>
          <t>Effects of Malalignment</t>
        </is>
      </c>
      <c r="C55" s="4" t="inlineStr">
        <is>
          <t>Coronal malalignment matters more for the tibiofemoral joint than for this one.</t>
        </is>
      </c>
    </row>
    <row r="56">
      <c r="A56" s="4" t="inlineStr">
        <is>
          <t>3.12.11</t>
        </is>
      </c>
      <c r="B56" s="4" t="inlineStr">
        <is>
          <t>Effects of Malalignment</t>
        </is>
      </c>
      <c r="C56" s="4" t="inlineStr">
        <is>
          <t>Normal ranges for version are wide, so the threshold question is partly about the reference range.</t>
        </is>
      </c>
    </row>
    <row r="57">
      <c r="A57" s="4" t="inlineStr">
        <is>
          <t>3.12.12</t>
        </is>
      </c>
      <c r="B57" s="4" t="inlineStr">
        <is>
          <t>Tibial Tubercle Position</t>
        </is>
      </c>
      <c r="C57" s="4" t="inlineStr">
        <is>
          <t>Tubercle transfer is the most mechanically direct operation in this joint.</t>
        </is>
      </c>
    </row>
    <row r="58">
      <c r="A58" s="4" t="inlineStr">
        <is>
          <t>3.12.12</t>
        </is>
      </c>
      <c r="B58" s="4" t="inlineStr">
        <is>
          <t>Tibial Tubercle Position</t>
        </is>
      </c>
      <c r="C58" s="4" t="inlineStr">
        <is>
          <t>Medialisation reduces the lateral vector and raises medial facet pressure.</t>
        </is>
      </c>
    </row>
    <row r="59">
      <c r="A59" s="4" t="inlineStr">
        <is>
          <t>3.12.12</t>
        </is>
      </c>
      <c r="B59" s="4" t="inlineStr">
        <is>
          <t>Tibial Tubercle Position</t>
        </is>
      </c>
      <c r="C59" s="4" t="inlineStr">
        <is>
          <t>Distalisation advances engagement, which is a different mechanism from medialisation.</t>
        </is>
      </c>
    </row>
    <row r="60">
      <c r="A60" s="4" t="inlineStr">
        <is>
          <t>3.12.12</t>
        </is>
      </c>
      <c r="B60" s="4" t="inlineStr">
        <is>
          <t>Tibial Tubercle Position</t>
        </is>
      </c>
      <c r="C60" s="4" t="inlineStr">
        <is>
          <t>Cadaveric work supports each effect; clinical results are more modest.</t>
        </is>
      </c>
    </row>
    <row r="61">
      <c r="A61" s="4" t="inlineStr">
        <is>
          <t>3.12.12</t>
        </is>
      </c>
      <c r="B61" s="4" t="inlineStr">
        <is>
          <t>Tibial Tubercle Position</t>
        </is>
      </c>
      <c r="C61" s="4" t="inlineStr">
        <is>
          <t>No measurement confirms the intended pressure redistribution after surgery.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3.12.1-P1</t>
        </is>
      </c>
      <c r="B3" s="4" t="inlineStr">
        <is>
          <t>3.12.1</t>
        </is>
      </c>
      <c r="C3" s="4" t="inlineStr">
        <is>
          <t>mrcs</t>
        </is>
      </c>
      <c r="D3" s="4" t="inlineStr">
        <is>
          <t>Expect instability to present near extension and pain to present in flexion, because the restraints differ there.</t>
        </is>
      </c>
      <c r="E3" s="4" t="inlineStr"/>
      <c r="F3" s="4" t="inlineStr"/>
      <c r="G3" s="4" t="inlineStr"/>
    </row>
    <row r="4">
      <c r="A4" s="4" t="inlineStr">
        <is>
          <t>3.12.1-P2</t>
        </is>
      </c>
      <c r="B4" s="4" t="inlineStr">
        <is>
          <t>3.12.1</t>
        </is>
      </c>
      <c r="C4" s="4" t="inlineStr">
        <is>
          <t>mrcs</t>
        </is>
      </c>
      <c r="D4" s="4" t="inlineStr">
        <is>
          <t>Assess the extensor mechanism through movement, since a static axial view misses the engagement arc entirely.</t>
        </is>
      </c>
      <c r="E4" s="4" t="inlineStr"/>
      <c r="F4" s="4" t="inlineStr"/>
      <c r="G4" s="4" t="inlineStr"/>
    </row>
    <row r="5">
      <c r="A5" s="4" t="inlineStr">
        <is>
          <t>3.12.1-P3</t>
        </is>
      </c>
      <c r="B5" s="4" t="inlineStr">
        <is>
          <t>3.12.1</t>
        </is>
      </c>
      <c r="C5" s="4" t="inlineStr">
        <is>
          <t>mrcs</t>
        </is>
      </c>
      <c r="D5" s="4" t="inlineStr">
        <is>
          <t>Treat a poorly reproducible clinical sign as a prompt for imaging rather than as a measurement.</t>
        </is>
      </c>
      <c r="E5" s="4" t="inlineStr"/>
      <c r="F5" s="4" t="inlineStr"/>
      <c r="G5" s="4" t="inlineStr"/>
    </row>
    <row r="6">
      <c r="A6" s="4" t="inlineStr">
        <is>
          <t>3.12.1-P4</t>
        </is>
      </c>
      <c r="B6" s="4" t="inlineStr">
        <is>
          <t>3.12.1</t>
        </is>
      </c>
      <c r="C6" s="4" t="inlineStr">
        <is>
          <t>frcs</t>
        </is>
      </c>
      <c r="D6" s="4" t="inlineStr">
        <is>
          <t>Identify which part of the arc fails before choosing between a soft tissue and a bony procedure.</t>
        </is>
      </c>
      <c r="E6" s="4" t="inlineStr"/>
      <c r="F6" s="4" t="inlineStr"/>
      <c r="G6" s="4" t="inlineStr"/>
    </row>
    <row r="7">
      <c r="A7" s="4" t="inlineStr">
        <is>
          <t>3.12.1-P5</t>
        </is>
      </c>
      <c r="B7" s="4" t="inlineStr">
        <is>
          <t>3.12.1</t>
        </is>
      </c>
      <c r="C7" s="4" t="inlineStr">
        <is>
          <t>frcs</t>
        </is>
      </c>
      <c r="D7" s="4" t="inlineStr">
        <is>
          <t>Read a J sign as late or lateral engagement rather than as a quadriceps problem.</t>
        </is>
      </c>
      <c r="E7" s="4" t="inlineStr"/>
      <c r="F7" s="4" t="inlineStr"/>
      <c r="G7" s="4" t="inlineStr"/>
    </row>
    <row r="8">
      <c r="A8" s="4" t="inlineStr">
        <is>
          <t>3.12.1-P6</t>
        </is>
      </c>
      <c r="B8" s="4" t="inlineStr">
        <is>
          <t>3.12.1</t>
        </is>
      </c>
      <c r="C8" s="4" t="inlineStr">
        <is>
          <t>frcs</t>
        </is>
      </c>
      <c r="D8" s="4" t="inlineStr">
        <is>
          <t>Prefer a dynamic study where the static indices and the history disagree.</t>
        </is>
      </c>
      <c r="E8" s="4" t="inlineStr"/>
      <c r="F8" s="4" t="inlineStr"/>
      <c r="G8" s="4" t="inlineStr"/>
    </row>
    <row r="9">
      <c r="A9" s="4" t="inlineStr">
        <is>
          <t>3.12.1-P7</t>
        </is>
      </c>
      <c r="B9" s="4" t="inlineStr">
        <is>
          <t>3.12.1</t>
        </is>
      </c>
      <c r="C9" s="4" t="inlineStr">
        <is>
          <t>frcs</t>
        </is>
      </c>
      <c r="D9" s="4" t="inlineStr">
        <is>
          <t>State that the flexion angle of engagement is not routinely measured, rather than implying an index captures it.</t>
        </is>
      </c>
      <c r="E9" s="4" t="inlineStr"/>
      <c r="F9" s="4" t="inlineStr"/>
      <c r="G9" s="4" t="inlineStr"/>
    </row>
    <row r="10">
      <c r="A10" s="4" t="inlineStr">
        <is>
          <t>3.12.1-P8</t>
        </is>
      </c>
      <c r="B10" s="4" t="inlineStr">
        <is>
          <t>3.12.1</t>
        </is>
      </c>
      <c r="C10" s="4" t="inlineStr">
        <is>
          <t>frcs</t>
        </is>
      </c>
      <c r="D10" s="4" t="inlineStr">
        <is>
          <t>Expect a soft tissue reconstruction to work inside the window and to do little outside it.</t>
        </is>
      </c>
      <c r="E10" s="4" t="inlineStr"/>
      <c r="F10" s="4" t="inlineStr"/>
      <c r="G10" s="4" t="inlineStr"/>
    </row>
    <row r="11">
      <c r="A11" s="4" t="inlineStr">
        <is>
          <t>3.12.2-P1</t>
        </is>
      </c>
      <c r="B11" s="4" t="inlineStr">
        <is>
          <t>3.12.2</t>
        </is>
      </c>
      <c r="C11" s="4" t="inlineStr">
        <is>
          <t>mrcs</t>
        </is>
      </c>
      <c r="D11" s="4" t="inlineStr">
        <is>
          <t>Expect symptoms in the arc where area is small and force is rising, rather than at the extreme of flexion.</t>
        </is>
      </c>
      <c r="E11" s="4" t="inlineStr"/>
      <c r="F11" s="4" t="inlineStr"/>
      <c r="G11" s="4" t="inlineStr"/>
    </row>
    <row r="12">
      <c r="A12" s="4" t="inlineStr">
        <is>
          <t>3.12.2-P2</t>
        </is>
      </c>
      <c r="B12" s="4" t="inlineStr">
        <is>
          <t>3.12.2</t>
        </is>
      </c>
      <c r="C12" s="4" t="inlineStr">
        <is>
          <t>mrcs</t>
        </is>
      </c>
      <c r="D12" s="4" t="inlineStr">
        <is>
          <t>Read a cadaveric contact map as a map of one loading condition, not of the joint.</t>
        </is>
      </c>
      <c r="E12" s="4" t="inlineStr"/>
      <c r="F12" s="4" t="inlineStr"/>
      <c r="G12" s="4" t="inlineStr"/>
    </row>
    <row r="13">
      <c r="A13" s="4" t="inlineStr">
        <is>
          <t>3.12.2-P3</t>
        </is>
      </c>
      <c r="B13" s="4" t="inlineStr">
        <is>
          <t>3.12.2</t>
        </is>
      </c>
      <c r="C13" s="4" t="inlineStr">
        <is>
          <t>mrcs</t>
        </is>
      </c>
      <c r="D13" s="4" t="inlineStr">
        <is>
          <t>Localise patellar cartilage lesions by the flexion angle that reproduces the pain, because the contact band is predictable.</t>
        </is>
      </c>
      <c r="E13" s="4" t="inlineStr"/>
      <c r="F13" s="4" t="inlineStr"/>
      <c r="G13" s="4" t="inlineStr"/>
    </row>
    <row r="14">
      <c r="A14" s="4" t="inlineStr">
        <is>
          <t>3.12.2-P4</t>
        </is>
      </c>
      <c r="B14" s="4" t="inlineStr">
        <is>
          <t>3.12.2</t>
        </is>
      </c>
      <c r="C14" s="4" t="inlineStr">
        <is>
          <t>mrcs</t>
        </is>
      </c>
      <c r="D14" s="4" t="inlineStr">
        <is>
          <t>Avoid quoting a contact area figure without the flexion angle and the method attached.</t>
        </is>
      </c>
      <c r="E14" s="4" t="inlineStr"/>
      <c r="F14" s="4" t="inlineStr"/>
      <c r="G14" s="4" t="inlineStr"/>
    </row>
    <row r="15">
      <c r="A15" s="4" t="inlineStr">
        <is>
          <t>3.12.2-P5</t>
        </is>
      </c>
      <c r="B15" s="4" t="inlineStr">
        <is>
          <t>3.12.2</t>
        </is>
      </c>
      <c r="C15" s="4" t="inlineStr">
        <is>
          <t>frcs</t>
        </is>
      </c>
      <c r="D15" s="4" t="inlineStr">
        <is>
          <t>Treat early to mid flexion as the vulnerable arc, and ask the history about it specifically.</t>
        </is>
      </c>
      <c r="E15" s="4" t="inlineStr"/>
      <c r="F15" s="4" t="inlineStr"/>
      <c r="G15" s="4" t="inlineStr"/>
    </row>
    <row r="16">
      <c r="A16" s="4" t="inlineStr">
        <is>
          <t>3.12.2-P6</t>
        </is>
      </c>
      <c r="B16" s="4" t="inlineStr">
        <is>
          <t>3.12.2</t>
        </is>
      </c>
      <c r="C16" s="4" t="inlineStr">
        <is>
          <t>frcs</t>
        </is>
      </c>
      <c r="D16" s="4" t="inlineStr">
        <is>
          <t>Expect a realignment to change where load sits rather than how much there is.</t>
        </is>
      </c>
      <c r="E16" s="4" t="inlineStr"/>
      <c r="F16" s="4" t="inlineStr"/>
      <c r="G16" s="4" t="inlineStr"/>
    </row>
    <row r="17">
      <c r="A17" s="4" t="inlineStr">
        <is>
          <t>3.12.2-P7</t>
        </is>
      </c>
      <c r="B17" s="4" t="inlineStr">
        <is>
          <t>3.12.2</t>
        </is>
      </c>
      <c r="C17" s="4" t="inlineStr">
        <is>
          <t>frcs</t>
        </is>
      </c>
      <c r="D17" s="4" t="inlineStr">
        <is>
          <t>Compare contact area figures only within a single study, and say so when quoting them.</t>
        </is>
      </c>
      <c r="E17" s="4" t="inlineStr"/>
      <c r="F17" s="4" t="inlineStr"/>
      <c r="G17" s="4" t="inlineStr"/>
    </row>
    <row r="18">
      <c r="A18" s="4" t="inlineStr">
        <is>
          <t>3.12.2-P8</t>
        </is>
      </c>
      <c r="B18" s="4" t="inlineStr">
        <is>
          <t>3.12.2</t>
        </is>
      </c>
      <c r="C18" s="4" t="inlineStr">
        <is>
          <t>frcs</t>
        </is>
      </c>
      <c r="D18" s="4" t="inlineStr">
        <is>
          <t>Read comfortable deep flexion in a worn joint as tendon load sharing rather than as preserved cartilage.</t>
        </is>
      </c>
      <c r="E18" s="4" t="inlineStr"/>
      <c r="F18" s="4" t="inlineStr"/>
      <c r="G18" s="4" t="inlineStr"/>
    </row>
    <row r="19">
      <c r="A19" s="4" t="inlineStr">
        <is>
          <t>3.12.3-P1</t>
        </is>
      </c>
      <c r="B19" s="4" t="inlineStr">
        <is>
          <t>3.12.3</t>
        </is>
      </c>
      <c r="C19" s="4" t="inlineStr">
        <is>
          <t>mrcs</t>
        </is>
      </c>
      <c r="D19" s="4" t="inlineStr">
        <is>
          <t>Expect open chain extension near full extension to be the provocative manoeuvre in an irritable joint.</t>
        </is>
      </c>
      <c r="E19" s="4" t="inlineStr"/>
      <c r="F19" s="4" t="inlineStr"/>
      <c r="G19" s="4" t="inlineStr"/>
    </row>
    <row r="20">
      <c r="A20" s="4" t="inlineStr">
        <is>
          <t>3.12.3-P2</t>
        </is>
      </c>
      <c r="B20" s="4" t="inlineStr">
        <is>
          <t>3.12.3</t>
        </is>
      </c>
      <c r="C20" s="4" t="inlineStr">
        <is>
          <t>mrcs</t>
        </is>
      </c>
      <c r="D20" s="4" t="inlineStr">
        <is>
          <t>Counsel weight loss as a proportional reduction in force, which is a mechanical argument the patient can follow.</t>
        </is>
      </c>
      <c r="E20" s="4" t="inlineStr"/>
      <c r="F20" s="4" t="inlineStr"/>
      <c r="G20" s="4" t="inlineStr"/>
    </row>
    <row r="21">
      <c r="A21" s="4" t="inlineStr">
        <is>
          <t>3.12.3-P3</t>
        </is>
      </c>
      <c r="B21" s="4" t="inlineStr">
        <is>
          <t>3.12.3</t>
        </is>
      </c>
      <c r="C21" s="4" t="inlineStr">
        <is>
          <t>frcs</t>
        </is>
      </c>
      <c r="D21" s="4" t="inlineStr">
        <is>
          <t>Absolute peak pressure figures are rig dependent and should not be carried between studies.</t>
        </is>
      </c>
      <c r="E21" s="4" t="inlineStr"/>
      <c r="F21" s="4" t="inlineStr"/>
      <c r="G21" s="4" t="inlineStr"/>
    </row>
    <row r="22">
      <c r="A22" s="4" t="inlineStr">
        <is>
          <t>3.12.3-P4</t>
        </is>
      </c>
      <c r="B22" s="4" t="inlineStr">
        <is>
          <t>3.12.3</t>
        </is>
      </c>
      <c r="C22" s="4" t="inlineStr">
        <is>
          <t>frcs</t>
        </is>
      </c>
      <c r="D22" s="4" t="inlineStr">
        <is>
          <t>Expect a procedure that moves or enlarges contact to help more than one aimed at the force.</t>
        </is>
      </c>
      <c r="E22" s="4" t="inlineStr"/>
      <c r="F22" s="4" t="inlineStr"/>
      <c r="G22" s="4" t="inlineStr"/>
    </row>
    <row r="23">
      <c r="A23" s="4" t="inlineStr">
        <is>
          <t>3.12.3-P5</t>
        </is>
      </c>
      <c r="B23" s="4" t="inlineStr">
        <is>
          <t>3.12.3</t>
        </is>
      </c>
      <c r="C23" s="4" t="inlineStr">
        <is>
          <t>frcs</t>
        </is>
      </c>
      <c r="D23" s="4" t="inlineStr">
        <is>
          <t>Stage rehabilitation by the arc and the chain rather than by a resistance figure.</t>
        </is>
      </c>
      <c r="E23" s="4" t="inlineStr"/>
      <c r="F23" s="4" t="inlineStr"/>
      <c r="G23" s="4" t="inlineStr"/>
    </row>
    <row r="24">
      <c r="A24" s="4" t="inlineStr">
        <is>
          <t>3.12.3-P6</t>
        </is>
      </c>
      <c r="B24" s="4" t="inlineStr">
        <is>
          <t>3.12.3</t>
        </is>
      </c>
      <c r="C24" s="4" t="inlineStr">
        <is>
          <t>frcs</t>
        </is>
      </c>
      <c r="D24" s="4" t="inlineStr">
        <is>
          <t>Avoid citing a peak pressure from one cadaveric rig as a property of the joint.</t>
        </is>
      </c>
      <c r="E24" s="4" t="inlineStr"/>
      <c r="F24" s="4" t="inlineStr"/>
      <c r="G24" s="4" t="inlineStr"/>
    </row>
    <row r="25">
      <c r="A25" s="4" t="inlineStr">
        <is>
          <t>3.12.3-P7</t>
        </is>
      </c>
      <c r="B25" s="4" t="inlineStr">
        <is>
          <t>3.12.3</t>
        </is>
      </c>
      <c r="C25" s="4" t="inlineStr">
        <is>
          <t>frcs</t>
        </is>
      </c>
      <c r="D25" s="4" t="inlineStr">
        <is>
          <t>State plainly that native in vivo pressure is not measurable, when the question is asked.</t>
        </is>
      </c>
      <c r="E25" s="4" t="inlineStr"/>
      <c r="F25" s="4" t="inlineStr"/>
      <c r="G25" s="4" t="inlineStr"/>
    </row>
    <row r="26">
      <c r="A26" s="4" t="inlineStr">
        <is>
          <t>3.12.4-P1</t>
        </is>
      </c>
      <c r="B26" s="4" t="inlineStr">
        <is>
          <t>3.12.4</t>
        </is>
      </c>
      <c r="C26" s="4" t="inlineStr">
        <is>
          <t>mrcs</t>
        </is>
      </c>
      <c r="D26" s="4" t="inlineStr">
        <is>
          <t>Grade the groove before attributing instability to soft tissue failure alone.</t>
        </is>
      </c>
      <c r="E26" s="4" t="inlineStr"/>
      <c r="F26" s="4" t="inlineStr"/>
      <c r="G26" s="4" t="inlineStr"/>
    </row>
    <row r="27">
      <c r="A27" s="4" t="inlineStr">
        <is>
          <t>3.12.4-P2</t>
        </is>
      </c>
      <c r="B27" s="4" t="inlineStr">
        <is>
          <t>3.12.4</t>
        </is>
      </c>
      <c r="C27" s="4" t="inlineStr">
        <is>
          <t>mrcs</t>
        </is>
      </c>
      <c r="D27" s="4" t="inlineStr">
        <is>
          <t>Expect a soft tissue reconstruction to work less well where the groove offers less.</t>
        </is>
      </c>
      <c r="E27" s="4" t="inlineStr"/>
      <c r="F27" s="4" t="inlineStr"/>
      <c r="G27" s="4" t="inlineStr"/>
    </row>
    <row r="28">
      <c r="A28" s="4" t="inlineStr">
        <is>
          <t>3.12.4-P3</t>
        </is>
      </c>
      <c r="B28" s="4" t="inlineStr">
        <is>
          <t>3.12.4</t>
        </is>
      </c>
      <c r="C28" s="4" t="inlineStr">
        <is>
          <t>mrcs</t>
        </is>
      </c>
      <c r="D28" s="4" t="inlineStr">
        <is>
          <t>Order a true lateral radiograph as well as an axial study, because the crossing sign is not visible axially.</t>
        </is>
      </c>
      <c r="E28" s="4" t="inlineStr"/>
      <c r="F28" s="4" t="inlineStr"/>
      <c r="G28" s="4" t="inlineStr"/>
    </row>
    <row r="29">
      <c r="A29" s="4" t="inlineStr">
        <is>
          <t>3.12.4-P4</t>
        </is>
      </c>
      <c r="B29" s="4" t="inlineStr">
        <is>
          <t>3.12.4</t>
        </is>
      </c>
      <c r="C29" s="4" t="inlineStr">
        <is>
          <t>frcs</t>
        </is>
      </c>
      <c r="D29" s="4" t="inlineStr">
        <is>
          <t>Assess trochlear morphology in every patient with recurrent instability, because it changes the expected result of a soft tissue procedure.</t>
        </is>
      </c>
      <c r="E29" s="4" t="inlineStr"/>
      <c r="F29" s="4" t="inlineStr"/>
      <c r="G29" s="4" t="inlineStr"/>
    </row>
    <row r="30">
      <c r="A30" s="4" t="inlineStr">
        <is>
          <t>3.12.4-P5</t>
        </is>
      </c>
      <c r="B30" s="4" t="inlineStr">
        <is>
          <t>3.12.4</t>
        </is>
      </c>
      <c r="C30" s="4" t="inlineStr">
        <is>
          <t>frcs</t>
        </is>
      </c>
      <c r="D30" s="4" t="inlineStr">
        <is>
          <t>Identify a supratrochlear spur specifically, since it changes engagement qualitatively rather than quantitatively.</t>
        </is>
      </c>
      <c r="E30" s="4" t="inlineStr"/>
      <c r="F30" s="4" t="inlineStr"/>
      <c r="G30" s="4" t="inlineStr"/>
    </row>
    <row r="31">
      <c r="A31" s="4" t="inlineStr">
        <is>
          <t>3.12.4-P6</t>
        </is>
      </c>
      <c r="B31" s="4" t="inlineStr">
        <is>
          <t>3.12.4</t>
        </is>
      </c>
      <c r="C31" s="4" t="inlineStr">
        <is>
          <t>frcs</t>
        </is>
      </c>
      <c r="D31" s="4" t="inlineStr">
        <is>
          <t>Weigh morphology, patellar height, tubercle position and alignment together rather than ranking them.</t>
        </is>
      </c>
      <c r="E31" s="4" t="inlineStr"/>
      <c r="F31" s="4" t="inlineStr"/>
      <c r="G31" s="4" t="inlineStr"/>
    </row>
    <row r="32">
      <c r="A32" s="4" t="inlineStr">
        <is>
          <t>3.12.4-P7</t>
        </is>
      </c>
      <c r="B32" s="4" t="inlineStr">
        <is>
          <t>3.12.4</t>
        </is>
      </c>
      <c r="C32" s="4" t="inlineStr">
        <is>
          <t>frcs</t>
        </is>
      </c>
      <c r="D32" s="4" t="inlineStr">
        <is>
          <t>Expect shape to predict better across a cohort than for the patient in clinic, and say so.</t>
        </is>
      </c>
      <c r="E32" s="4" t="inlineStr"/>
      <c r="F32" s="4" t="inlineStr"/>
      <c r="G32" s="4" t="inlineStr"/>
    </row>
    <row r="33">
      <c r="A33" s="4" t="inlineStr">
        <is>
          <t>3.12.4-P8</t>
        </is>
      </c>
      <c r="B33" s="4" t="inlineStr">
        <is>
          <t>3.12.4</t>
        </is>
      </c>
      <c r="C33" s="4" t="inlineStr">
        <is>
          <t>frcs</t>
        </is>
      </c>
      <c r="D33" s="4" t="inlineStr">
        <is>
          <t>Take the patient's age, physiology, demands, psychological state and their own ideas, concerns and expectations into the decision, because morphology describes a knee and not a person.</t>
        </is>
      </c>
      <c r="E33" s="4" t="inlineStr"/>
      <c r="F33" s="4" t="inlineStr"/>
      <c r="G33" s="4" t="inlineStr"/>
    </row>
    <row r="34">
      <c r="A34" s="4" t="inlineStr">
        <is>
          <t>3.12.5-P1</t>
        </is>
      </c>
      <c r="B34" s="4" t="inlineStr">
        <is>
          <t>3.12.5</t>
        </is>
      </c>
      <c r="C34" s="4" t="inlineStr">
        <is>
          <t>mrcs</t>
        </is>
      </c>
      <c r="D34" s="4" t="inlineStr">
        <is>
          <t>Expect this ligament to be torn after a true dislocation, and look for it rather than for a strain.</t>
        </is>
      </c>
      <c r="E34" s="4" t="inlineStr"/>
      <c r="F34" s="4" t="inlineStr"/>
      <c r="G34" s="4" t="inlineStr"/>
    </row>
    <row r="35">
      <c r="A35" s="4" t="inlineStr">
        <is>
          <t>3.12.5-P2</t>
        </is>
      </c>
      <c r="B35" s="4" t="inlineStr">
        <is>
          <t>3.12.5</t>
        </is>
      </c>
      <c r="C35" s="4" t="inlineStr">
        <is>
          <t>mrcs</t>
        </is>
      </c>
      <c r="D35" s="4" t="inlineStr">
        <is>
          <t>Assess lateral translation near extension, because that is the arc in which the ligament works.</t>
        </is>
      </c>
      <c r="E35" s="4" t="inlineStr"/>
      <c r="F35" s="4" t="inlineStr"/>
      <c r="G35" s="4" t="inlineStr"/>
    </row>
    <row r="36">
      <c r="A36" s="4" t="inlineStr">
        <is>
          <t>3.12.5-P3</t>
        </is>
      </c>
      <c r="B36" s="4" t="inlineStr">
        <is>
          <t>3.12.5</t>
        </is>
      </c>
      <c r="C36" s="4" t="inlineStr">
        <is>
          <t>mrcs</t>
        </is>
      </c>
      <c r="D36" s="4" t="inlineStr">
        <is>
          <t>Do not attribute instability in mid flexion to this ligament, because it is not tight there.</t>
        </is>
      </c>
      <c r="E36" s="4" t="inlineStr"/>
      <c r="F36" s="4" t="inlineStr"/>
      <c r="G36" s="4" t="inlineStr"/>
    </row>
    <row r="37">
      <c r="A37" s="4" t="inlineStr">
        <is>
          <t>3.12.5-P4</t>
        </is>
      </c>
      <c r="B37" s="4" t="inlineStr">
        <is>
          <t>3.12.5</t>
        </is>
      </c>
      <c r="C37" s="4" t="inlineStr">
        <is>
          <t>frcs</t>
        </is>
      </c>
      <c r="D37" s="4" t="inlineStr">
        <is>
          <t>Avoid overtensioning, because a tight medial construct raises medial facet pressure and produces pain rather than stability.</t>
        </is>
      </c>
      <c r="E37" s="4" t="inlineStr"/>
      <c r="F37" s="4" t="inlineStr"/>
      <c r="G37" s="4" t="inlineStr"/>
    </row>
    <row r="38">
      <c r="A38" s="4" t="inlineStr">
        <is>
          <t>3.12.5-P5</t>
        </is>
      </c>
      <c r="B38" s="4" t="inlineStr">
        <is>
          <t>3.12.5</t>
        </is>
      </c>
      <c r="C38" s="4" t="inlineStr">
        <is>
          <t>frcs</t>
        </is>
      </c>
      <c r="D38" s="4" t="inlineStr">
        <is>
          <t>Confirm the femoral attachment radiographically, since malposition changes the arc of restraint.</t>
        </is>
      </c>
      <c r="E38" s="4" t="inlineStr"/>
      <c r="F38" s="4" t="inlineStr"/>
      <c r="G38" s="4" t="inlineStr"/>
    </row>
    <row r="39">
      <c r="A39" s="4" t="inlineStr">
        <is>
          <t>3.12.5-P6</t>
        </is>
      </c>
      <c r="B39" s="4" t="inlineStr">
        <is>
          <t>3.12.5</t>
        </is>
      </c>
      <c r="C39" s="4" t="inlineStr">
        <is>
          <t>frcs</t>
        </is>
      </c>
      <c r="D39" s="4" t="inlineStr">
        <is>
          <t>State that no measured optimum for graft tension exists, rather than quoting a figure as though it did.</t>
        </is>
      </c>
      <c r="E39" s="4" t="inlineStr"/>
      <c r="F39" s="4" t="inlineStr"/>
      <c r="G39" s="4" t="inlineStr"/>
    </row>
    <row r="40">
      <c r="A40" s="4" t="inlineStr">
        <is>
          <t>3.12.5-P7</t>
        </is>
      </c>
      <c r="B40" s="4" t="inlineStr">
        <is>
          <t>3.12.5</t>
        </is>
      </c>
      <c r="C40" s="4" t="inlineStr">
        <is>
          <t>frcs</t>
        </is>
      </c>
      <c r="D40" s="4" t="inlineStr">
        <is>
          <t>Weigh the patient's age, physiology, comorbidities, knee demand, psychological state and their own ideas, concerns and expectations alongside the morphology.</t>
        </is>
      </c>
      <c r="E40" s="4" t="inlineStr"/>
      <c r="F40" s="4" t="inlineStr"/>
      <c r="G40" s="4" t="inlineStr"/>
    </row>
    <row r="41">
      <c r="A41" s="4" t="inlineStr">
        <is>
          <t>3.12.6-P1</t>
        </is>
      </c>
      <c r="B41" s="4" t="inlineStr">
        <is>
          <t>3.12.6</t>
        </is>
      </c>
      <c r="C41" s="4" t="inlineStr">
        <is>
          <t>mrcs</t>
        </is>
      </c>
      <c r="D41" s="4" t="inlineStr">
        <is>
          <t>Measure the tubercle to groove distance rather than the Q angle where a decision depends on it.</t>
        </is>
      </c>
      <c r="E41" s="4" t="inlineStr"/>
      <c r="F41" s="4" t="inlineStr"/>
      <c r="G41" s="4" t="inlineStr"/>
    </row>
    <row r="42">
      <c r="A42" s="4" t="inlineStr">
        <is>
          <t>3.12.6-P2</t>
        </is>
      </c>
      <c r="B42" s="4" t="inlineStr">
        <is>
          <t>3.12.6</t>
        </is>
      </c>
      <c r="C42" s="4" t="inlineStr">
        <is>
          <t>mrcs</t>
        </is>
      </c>
      <c r="D42" s="4" t="inlineStr">
        <is>
          <t>Do not use a Q angle to explain anterior knee pain, because the association does not support it.</t>
        </is>
      </c>
      <c r="E42" s="4" t="inlineStr"/>
      <c r="F42" s="4" t="inlineStr"/>
      <c r="G42" s="4" t="inlineStr"/>
    </row>
    <row r="43">
      <c r="A43" s="4" t="inlineStr">
        <is>
          <t>3.12.6-P3</t>
        </is>
      </c>
      <c r="B43" s="4" t="inlineStr">
        <is>
          <t>3.12.6</t>
        </is>
      </c>
      <c r="C43" s="4" t="inlineStr">
        <is>
          <t>mrcs</t>
        </is>
      </c>
      <c r="D43" s="4" t="inlineStr">
        <is>
          <t>Record the limb position if the angle is measured at all, since the number is uninterpretable without it.</t>
        </is>
      </c>
      <c r="E43" s="4" t="inlineStr"/>
      <c r="F43" s="4" t="inlineStr"/>
      <c r="G43" s="4" t="inlineStr"/>
    </row>
    <row r="44">
      <c r="A44" s="4" t="inlineStr">
        <is>
          <t>3.12.6-P4</t>
        </is>
      </c>
      <c r="B44" s="4" t="inlineStr">
        <is>
          <t>3.12.6</t>
        </is>
      </c>
      <c r="C44" s="4" t="inlineStr">
        <is>
          <t>mrcs</t>
        </is>
      </c>
      <c r="D44" s="4" t="inlineStr">
        <is>
          <t>Use the angle as a teaching device for the direction of the vector, which is what it is good for.</t>
        </is>
      </c>
      <c r="E44" s="4" t="inlineStr"/>
      <c r="F44" s="4" t="inlineStr"/>
      <c r="G44" s="4" t="inlineStr"/>
    </row>
    <row r="45">
      <c r="A45" s="4" t="inlineStr">
        <is>
          <t>3.12.6-P5</t>
        </is>
      </c>
      <c r="B45" s="4" t="inlineStr">
        <is>
          <t>3.12.6</t>
        </is>
      </c>
      <c r="C45" s="4" t="inlineStr">
        <is>
          <t>frcs</t>
        </is>
      </c>
      <c r="D45" s="4" t="inlineStr">
        <is>
          <t>Abandon the Q angle for decision making and keep it for explanation.</t>
        </is>
      </c>
      <c r="E45" s="4" t="inlineStr"/>
      <c r="F45" s="4" t="inlineStr"/>
      <c r="G45" s="4" t="inlineStr"/>
    </row>
    <row r="46">
      <c r="A46" s="4" t="inlineStr">
        <is>
          <t>3.12.6-P6</t>
        </is>
      </c>
      <c r="B46" s="4" t="inlineStr">
        <is>
          <t>3.12.6</t>
        </is>
      </c>
      <c r="C46" s="4" t="inlineStr">
        <is>
          <t>frcs</t>
        </is>
      </c>
      <c r="D46" s="4" t="inlineStr">
        <is>
          <t>Treat a normal index in a symptomatic knee as a reason to look at morphology and rotation, not as reassurance.</t>
        </is>
      </c>
      <c r="E46" s="4" t="inlineStr"/>
      <c r="F46" s="4" t="inlineStr"/>
      <c r="G46" s="4" t="inlineStr"/>
    </row>
    <row r="47">
      <c r="A47" s="4" t="inlineStr">
        <is>
          <t>3.12.6-P7</t>
        </is>
      </c>
      <c r="B47" s="4" t="inlineStr">
        <is>
          <t>3.12.6</t>
        </is>
      </c>
      <c r="C47" s="4" t="inlineStr">
        <is>
          <t>frcs</t>
        </is>
      </c>
      <c r="D47" s="4" t="inlineStr">
        <is>
          <t>Read the historical literature built on the Q angle with its measurement limits in mind.</t>
        </is>
      </c>
      <c r="E47" s="4" t="inlineStr"/>
      <c r="F47" s="4" t="inlineStr"/>
      <c r="G47" s="4" t="inlineStr"/>
    </row>
    <row r="48">
      <c r="A48" s="4" t="inlineStr">
        <is>
          <t>3.12.7-P1</t>
        </is>
      </c>
      <c r="B48" s="4" t="inlineStr">
        <is>
          <t>3.12.7</t>
        </is>
      </c>
      <c r="C48" s="4" t="inlineStr">
        <is>
          <t>mrcs</t>
        </is>
      </c>
      <c r="D48" s="4" t="inlineStr">
        <is>
          <t>Assess movement as well as posture, because the two disagree often enough to matter.</t>
        </is>
      </c>
      <c r="E48" s="4" t="inlineStr"/>
      <c r="F48" s="4" t="inlineStr"/>
      <c r="G48" s="4" t="inlineStr"/>
    </row>
    <row r="49">
      <c r="A49" s="4" t="inlineStr">
        <is>
          <t>3.12.7-P2</t>
        </is>
      </c>
      <c r="B49" s="4" t="inlineStr">
        <is>
          <t>3.12.7</t>
        </is>
      </c>
      <c r="C49" s="4" t="inlineStr">
        <is>
          <t>mrcs</t>
        </is>
      </c>
      <c r="D49" s="4" t="inlineStr">
        <is>
          <t>Address the modifiable component first in a knee with normal morphology.</t>
        </is>
      </c>
      <c r="E49" s="4" t="inlineStr"/>
      <c r="F49" s="4" t="inlineStr"/>
      <c r="G49" s="4" t="inlineStr"/>
    </row>
    <row r="50">
      <c r="A50" s="4" t="inlineStr">
        <is>
          <t>3.12.7-P3</t>
        </is>
      </c>
      <c r="B50" s="4" t="inlineStr">
        <is>
          <t>3.12.7</t>
        </is>
      </c>
      <c r="C50" s="4" t="inlineStr">
        <is>
          <t>mrcs</t>
        </is>
      </c>
      <c r="D50" s="4" t="inlineStr">
        <is>
          <t>Expect fatigue to reveal the pattern, so test late in a session rather than fresh.</t>
        </is>
      </c>
      <c r="E50" s="4" t="inlineStr"/>
      <c r="F50" s="4" t="inlineStr"/>
      <c r="G50" s="4" t="inlineStr"/>
    </row>
    <row r="51">
      <c r="A51" s="4" t="inlineStr">
        <is>
          <t>3.12.7-P4</t>
        </is>
      </c>
      <c r="B51" s="4" t="inlineStr">
        <is>
          <t>3.12.7</t>
        </is>
      </c>
      <c r="C51" s="4" t="inlineStr">
        <is>
          <t>mrcs</t>
        </is>
      </c>
      <c r="D51" s="4" t="inlineStr">
        <is>
          <t>Treat the link with patellofemoral symptoms as weaker than the link with cruciate injury, and say which is which.</t>
        </is>
      </c>
      <c r="E51" s="4" t="inlineStr"/>
      <c r="F51" s="4" t="inlineStr"/>
      <c r="G51" s="4" t="inlineStr"/>
    </row>
    <row r="52">
      <c r="A52" s="4" t="inlineStr">
        <is>
          <t>3.12.7-P5</t>
        </is>
      </c>
      <c r="B52" s="4" t="inlineStr">
        <is>
          <t>3.12.7</t>
        </is>
      </c>
      <c r="C52" s="4" t="inlineStr">
        <is>
          <t>frcs</t>
        </is>
      </c>
      <c r="D52" s="4" t="inlineStr">
        <is>
          <t>Expect training to change the pattern reliably and the patellofemoral symptoms less reliably, and counsel on that basis.</t>
        </is>
      </c>
      <c r="E52" s="4" t="inlineStr"/>
      <c r="F52" s="4" t="inlineStr"/>
      <c r="G52" s="4" t="inlineStr"/>
    </row>
    <row r="53">
      <c r="A53" s="4" t="inlineStr">
        <is>
          <t>3.12.7-P6</t>
        </is>
      </c>
      <c r="B53" s="4" t="inlineStr">
        <is>
          <t>3.12.7</t>
        </is>
      </c>
      <c r="C53" s="4" t="inlineStr">
        <is>
          <t>frcs</t>
        </is>
      </c>
      <c r="D53" s="4" t="inlineStr">
        <is>
          <t>Avoid presenting a modelled pressure change as a measured one.</t>
        </is>
      </c>
      <c r="E53" s="4" t="inlineStr"/>
      <c r="F53" s="4" t="inlineStr"/>
      <c r="G53" s="4" t="inlineStr"/>
    </row>
    <row r="54">
      <c r="A54" s="4" t="inlineStr">
        <is>
          <t>3.12.7-P7</t>
        </is>
      </c>
      <c r="B54" s="4" t="inlineStr">
        <is>
          <t>3.12.7</t>
        </is>
      </c>
      <c r="C54" s="4" t="inlineStr">
        <is>
          <t>frcs</t>
        </is>
      </c>
      <c r="D54" s="4" t="inlineStr">
        <is>
          <t>Weigh the patient's age, physiology, comorbidities, knee demand, psychological state and their own ideas, concerns and expectations, because adherence decides whether a training programme is the right choice at all.</t>
        </is>
      </c>
      <c r="E54" s="4" t="inlineStr"/>
      <c r="F54" s="4" t="inlineStr"/>
      <c r="G54" s="4" t="inlineStr"/>
    </row>
    <row r="55">
      <c r="A55" s="4" t="inlineStr">
        <is>
          <t>3.12.8-P1</t>
        </is>
      </c>
      <c r="B55" s="4" t="inlineStr">
        <is>
          <t>3.12.8</t>
        </is>
      </c>
      <c r="C55" s="4" t="inlineStr">
        <is>
          <t>mrcs</t>
        </is>
      </c>
      <c r="D55" s="4" t="inlineStr">
        <is>
          <t>Assess all four factors in every patient, because the pattern decides the operation.</t>
        </is>
      </c>
      <c r="E55" s="4" t="inlineStr"/>
      <c r="F55" s="4" t="inlineStr"/>
      <c r="G55" s="4" t="inlineStr"/>
    </row>
    <row r="56">
      <c r="A56" s="4" t="inlineStr">
        <is>
          <t>3.12.8-P2</t>
        </is>
      </c>
      <c r="B56" s="4" t="inlineStr">
        <is>
          <t>3.12.8</t>
        </is>
      </c>
      <c r="C56" s="4" t="inlineStr">
        <is>
          <t>mrcs</t>
        </is>
      </c>
      <c r="D56" s="4" t="inlineStr">
        <is>
          <t>Expect a soft tissue reconstruction alone to work best where the skeletal factors are normal.</t>
        </is>
      </c>
      <c r="E56" s="4" t="inlineStr"/>
      <c r="F56" s="4" t="inlineStr"/>
      <c r="G56" s="4" t="inlineStr"/>
    </row>
    <row r="57">
      <c r="A57" s="4" t="inlineStr">
        <is>
          <t>3.12.8-P3</t>
        </is>
      </c>
      <c r="B57" s="4" t="inlineStr">
        <is>
          <t>3.12.8</t>
        </is>
      </c>
      <c r="C57" s="4" t="inlineStr">
        <is>
          <t>mrcs</t>
        </is>
      </c>
      <c r="D57" s="4" t="inlineStr">
        <is>
          <t>Grade recurrence risk after a first dislocation by the factors present rather than by the severity of the event.</t>
        </is>
      </c>
      <c r="E57" s="4" t="inlineStr"/>
      <c r="F57" s="4" t="inlineStr"/>
      <c r="G57" s="4" t="inlineStr"/>
    </row>
    <row r="58">
      <c r="A58" s="4" t="inlineStr">
        <is>
          <t>3.12.8-P4</t>
        </is>
      </c>
      <c r="B58" s="4" t="inlineStr">
        <is>
          <t>3.12.8</t>
        </is>
      </c>
      <c r="C58" s="4" t="inlineStr">
        <is>
          <t>mrcs</t>
        </is>
      </c>
      <c r="D58" s="4" t="inlineStr">
        <is>
          <t>State which indices are soft, because quoting a threshold as a cutoff overstates it.</t>
        </is>
      </c>
      <c r="E58" s="4" t="inlineStr"/>
      <c r="F58" s="4" t="inlineStr"/>
      <c r="G58" s="4" t="inlineStr"/>
    </row>
    <row r="59">
      <c r="A59" s="4" t="inlineStr">
        <is>
          <t>3.12.8-P5</t>
        </is>
      </c>
      <c r="B59" s="4" t="inlineStr">
        <is>
          <t>3.12.8</t>
        </is>
      </c>
      <c r="C59" s="4" t="inlineStr">
        <is>
          <t>frcs</t>
        </is>
      </c>
      <c r="D59" s="4" t="inlineStr">
        <is>
          <t>Patellar height ratios disagree systematically, so the ratio must be named with the number.</t>
        </is>
      </c>
      <c r="E59" s="4" t="inlineStr"/>
      <c r="F59" s="4" t="inlineStr"/>
      <c r="G59" s="4" t="inlineStr"/>
    </row>
    <row r="60">
      <c r="A60" s="4" t="inlineStr">
        <is>
          <t>3.12.8-P6</t>
        </is>
      </c>
      <c r="B60" s="4" t="inlineStr">
        <is>
          <t>3.12.8</t>
        </is>
      </c>
      <c r="C60" s="4" t="inlineStr">
        <is>
          <t>frcs</t>
        </is>
      </c>
      <c r="D60" s="4" t="inlineStr">
        <is>
          <t>Decide whether the dominant problem is vector or restraint, because that choice selects the operation.</t>
        </is>
      </c>
      <c r="E60" s="4" t="inlineStr"/>
      <c r="F60" s="4" t="inlineStr"/>
      <c r="G60" s="4" t="inlineStr"/>
    </row>
    <row r="61">
      <c r="A61" s="4" t="inlineStr">
        <is>
          <t>3.12.8-P7</t>
        </is>
      </c>
      <c r="B61" s="4" t="inlineStr">
        <is>
          <t>3.12.8</t>
        </is>
      </c>
      <c r="C61" s="4" t="inlineStr">
        <is>
          <t>frcs</t>
        </is>
      </c>
      <c r="D61" s="4" t="inlineStr">
        <is>
          <t>Record the knee position at which the tubercle to groove distance was acquired.</t>
        </is>
      </c>
      <c r="E61" s="4" t="inlineStr"/>
      <c r="F61" s="4" t="inlineStr"/>
      <c r="G61" s="4" t="inlineStr"/>
    </row>
    <row r="62">
      <c r="A62" s="4" t="inlineStr">
        <is>
          <t>3.12.8-P8</t>
        </is>
      </c>
      <c r="B62" s="4" t="inlineStr">
        <is>
          <t>3.12.8</t>
        </is>
      </c>
      <c r="C62" s="4" t="inlineStr">
        <is>
          <t>frcs</t>
        </is>
      </c>
      <c r="D62" s="4" t="inlineStr">
        <is>
          <t>Address two mild factors in preference to overcorrecting one, which matches both the mechanics and the reported outcomes.</t>
        </is>
      </c>
      <c r="E62" s="4" t="inlineStr"/>
      <c r="F62" s="4" t="inlineStr"/>
      <c r="G62" s="4" t="inlineStr"/>
    </row>
    <row r="63">
      <c r="A63" s="4" t="inlineStr">
        <is>
          <t>3.12.8-P9</t>
        </is>
      </c>
      <c r="B63" s="4" t="inlineStr">
        <is>
          <t>3.12.8</t>
        </is>
      </c>
      <c r="C63" s="4" t="inlineStr">
        <is>
          <t>frcs</t>
        </is>
      </c>
      <c r="D63" s="4" t="inlineStr">
        <is>
          <t>Take the patient's age, physiology, comorbidities, knee demand, psychological state and their own ideas, concerns and expectations into the decision, because the indices describe a knee and the operation happens to a person.</t>
        </is>
      </c>
      <c r="E63" s="4" t="inlineStr"/>
      <c r="F63" s="4" t="inlineStr"/>
      <c r="G63" s="4" t="inlineStr"/>
    </row>
    <row r="64">
      <c r="A64" s="4" t="inlineStr">
        <is>
          <t>3.12.8-P10</t>
        </is>
      </c>
      <c r="B64" s="4" t="inlineStr">
        <is>
          <t>3.12.8</t>
        </is>
      </c>
      <c r="C64" s="4" t="inlineStr">
        <is>
          <t>frcs</t>
        </is>
      </c>
      <c r="D64" s="4" t="inlineStr">
        <is>
          <t>- Patellar height ratios disagree, so the ratio must be named with the number.</t>
        </is>
      </c>
      <c r="E64" s="4" t="inlineStr"/>
      <c r="F64" s="4" t="inlineStr"/>
      <c r="G64" s="4" t="inlineStr"/>
    </row>
    <row r="65">
      <c r="A65" s="4" t="inlineStr">
        <is>
          <t>3.12.9-P1</t>
        </is>
      </c>
      <c r="B65" s="4" t="inlineStr">
        <is>
          <t>3.12.9</t>
        </is>
      </c>
      <c r="C65" s="4" t="inlineStr">
        <is>
          <t>mrcs</t>
        </is>
      </c>
      <c r="D65" s="4" t="inlineStr">
        <is>
          <t>Use mechanics to explain the pattern of the symptoms and to guide loading, not to explain why the patient has them.</t>
        </is>
      </c>
      <c r="E65" s="4" t="inlineStr"/>
      <c r="F65" s="4" t="inlineStr"/>
      <c r="G65" s="4" t="inlineStr"/>
    </row>
    <row r="66">
      <c r="A66" s="4" t="inlineStr">
        <is>
          <t>3.12.9-P2</t>
        </is>
      </c>
      <c r="B66" s="4" t="inlineStr">
        <is>
          <t>3.12.9</t>
        </is>
      </c>
      <c r="C66" s="4" t="inlineStr">
        <is>
          <t>mrcs</t>
        </is>
      </c>
      <c r="D66" s="4" t="inlineStr">
        <is>
          <t>Avoid attributing pain to a cartilage appearance, since the association is weak.</t>
        </is>
      </c>
      <c r="E66" s="4" t="inlineStr"/>
      <c r="F66" s="4" t="inlineStr"/>
      <c r="G66" s="4" t="inlineStr"/>
    </row>
    <row r="67">
      <c r="A67" s="4" t="inlineStr">
        <is>
          <t>3.12.9-P3</t>
        </is>
      </c>
      <c r="B67" s="4" t="inlineStr">
        <is>
          <t>3.12.9</t>
        </is>
      </c>
      <c r="C67" s="4" t="inlineStr">
        <is>
          <t>frcs</t>
        </is>
      </c>
      <c r="D67" s="4" t="inlineStr">
        <is>
          <t>Offer loading based management before considering any mechanical correction for pain alone.</t>
        </is>
      </c>
      <c r="E67" s="4" t="inlineStr"/>
      <c r="F67" s="4" t="inlineStr"/>
      <c r="G67" s="4" t="inlineStr"/>
    </row>
    <row r="68">
      <c r="A68" s="4" t="inlineStr">
        <is>
          <t>3.12.9-P4</t>
        </is>
      </c>
      <c r="B68" s="4" t="inlineStr">
        <is>
          <t>3.12.9</t>
        </is>
      </c>
      <c r="C68" s="4" t="inlineStr">
        <is>
          <t>frcs</t>
        </is>
      </c>
      <c r="D68" s="4" t="inlineStr">
        <is>
          <t>Reserve realignment for instability rather than for pain, because that is where the evidence sits.</t>
        </is>
      </c>
      <c r="E68" s="4" t="inlineStr"/>
      <c r="F68" s="4" t="inlineStr"/>
      <c r="G68" s="4" t="inlineStr"/>
    </row>
    <row r="69">
      <c r="A69" s="4" t="inlineStr">
        <is>
          <t>3.12.9-P5</t>
        </is>
      </c>
      <c r="B69" s="4" t="inlineStr">
        <is>
          <t>3.12.9</t>
        </is>
      </c>
      <c r="C69" s="4" t="inlineStr">
        <is>
          <t>frcs</t>
        </is>
      </c>
      <c r="D69" s="4" t="inlineStr">
        <is>
          <t>Quantify exposure as well as intensity when taking a history, since cumulative load is the likelier driver.</t>
        </is>
      </c>
      <c r="E69" s="4" t="inlineStr"/>
      <c r="F69" s="4" t="inlineStr"/>
      <c r="G69" s="4" t="inlineStr"/>
    </row>
    <row r="70">
      <c r="A70" s="4" t="inlineStr">
        <is>
          <t>3.12.9-P6</t>
        </is>
      </c>
      <c r="B70" s="4" t="inlineStr">
        <is>
          <t>3.12.9</t>
        </is>
      </c>
      <c r="C70" s="4" t="inlineStr">
        <is>
          <t>frcs</t>
        </is>
      </c>
      <c r="D70" s="4" t="inlineStr">
        <is>
          <t>Weigh the patient's age, physiology, comorbidities, knee demand, psychological state and their own ideas, concerns and expectations, because tolerance and adherence sit on that side of the balance rather than in the imaging.</t>
        </is>
      </c>
      <c r="E70" s="4" t="inlineStr"/>
      <c r="F70" s="4" t="inlineStr"/>
      <c r="G70" s="4" t="inlineStr"/>
    </row>
    <row r="71">
      <c r="A71" s="4" t="inlineStr">
        <is>
          <t>3.12.10-P1</t>
        </is>
      </c>
      <c r="B71" s="4" t="inlineStr">
        <is>
          <t>3.12.10</t>
        </is>
      </c>
      <c r="C71" s="4" t="inlineStr">
        <is>
          <t>mrcs</t>
        </is>
      </c>
      <c r="D71" s="4" t="inlineStr">
        <is>
          <t>Record the facet as well as the grade, because the distribution carries the mechanical message.</t>
        </is>
      </c>
      <c r="E71" s="4" t="inlineStr"/>
      <c r="F71" s="4" t="inlineStr"/>
      <c r="G71" s="4" t="inlineStr"/>
    </row>
    <row r="72">
      <c r="A72" s="4" t="inlineStr">
        <is>
          <t>3.12.10-P2</t>
        </is>
      </c>
      <c r="B72" s="4" t="inlineStr">
        <is>
          <t>3.12.10</t>
        </is>
      </c>
      <c r="C72" s="4" t="inlineStr">
        <is>
          <t>mrcs</t>
        </is>
      </c>
      <c r="D72" s="4" t="inlineStr">
        <is>
          <t>Read medial facet wear as a sign of overcorrection rather than as natural progression.</t>
        </is>
      </c>
      <c r="E72" s="4" t="inlineStr"/>
      <c r="F72" s="4" t="inlineStr"/>
      <c r="G72" s="4" t="inlineStr"/>
    </row>
    <row r="73">
      <c r="A73" s="4" t="inlineStr">
        <is>
          <t>3.12.10-P3</t>
        </is>
      </c>
      <c r="B73" s="4" t="inlineStr">
        <is>
          <t>3.12.10</t>
        </is>
      </c>
      <c r="C73" s="4" t="inlineStr">
        <is>
          <t>mrcs</t>
        </is>
      </c>
      <c r="D73" s="4" t="inlineStr">
        <is>
          <t>Expect symptoms in loaded flexion and relative comfort in full flexion, because of tendon load sharing.</t>
        </is>
      </c>
      <c r="E73" s="4" t="inlineStr"/>
      <c r="F73" s="4" t="inlineStr"/>
      <c r="G73" s="4" t="inlineStr"/>
    </row>
    <row r="74">
      <c r="A74" s="4" t="inlineStr">
        <is>
          <t>3.12.10-P4</t>
        </is>
      </c>
      <c r="B74" s="4" t="inlineStr">
        <is>
          <t>3.12.10</t>
        </is>
      </c>
      <c r="C74" s="4" t="inlineStr">
        <is>
          <t>mrcs</t>
        </is>
      </c>
      <c r="D74" s="4" t="inlineStr">
        <is>
          <t>Avoid inferring severity of symptoms from severity of wear.</t>
        </is>
      </c>
      <c r="E74" s="4" t="inlineStr"/>
      <c r="F74" s="4" t="inlineStr"/>
      <c r="G74" s="4" t="inlineStr"/>
    </row>
    <row r="75">
      <c r="A75" s="4" t="inlineStr">
        <is>
          <t>3.12.10-P5</t>
        </is>
      </c>
      <c r="B75" s="4" t="inlineStr">
        <is>
          <t>3.12.10</t>
        </is>
      </c>
      <c r="C75" s="4" t="inlineStr">
        <is>
          <t>frcs</t>
        </is>
      </c>
      <c r="D75" s="4" t="inlineStr">
        <is>
          <t>The mechanical account of patellofemoral degeneration is more secure than the mechanical account of patellofemoral pain, and the two should not be run together.</t>
        </is>
      </c>
      <c r="E75" s="4" t="inlineStr"/>
      <c r="F75" s="4" t="inlineStr"/>
      <c r="G75" s="4" t="inlineStr"/>
    </row>
    <row r="76">
      <c r="A76" s="4" t="inlineStr">
        <is>
          <t>3.12.10-P6</t>
        </is>
      </c>
      <c r="B76" s="4" t="inlineStr">
        <is>
          <t>3.12.10</t>
        </is>
      </c>
      <c r="C76" s="4" t="inlineStr">
        <is>
          <t>frcs</t>
        </is>
      </c>
      <c r="D76" s="4" t="inlineStr">
        <is>
          <t>Treat the link between predicted pressure and observed wear as a reasonable inference rather than a demonstrated sequence.</t>
        </is>
      </c>
      <c r="E76" s="4" t="inlineStr"/>
      <c r="F76" s="4" t="inlineStr"/>
      <c r="G76" s="4" t="inlineStr"/>
    </row>
    <row r="77">
      <c r="A77" s="4" t="inlineStr">
        <is>
          <t>3.12.10-P7</t>
        </is>
      </c>
      <c r="B77" s="4" t="inlineStr">
        <is>
          <t>3.12.10</t>
        </is>
      </c>
      <c r="C77" s="4" t="inlineStr">
        <is>
          <t>frcs</t>
        </is>
      </c>
      <c r="D77" s="4" t="inlineStr">
        <is>
          <t>Expect offloading to help a mapped lesion more than an unmapped one, and counsel on that basis.</t>
        </is>
      </c>
      <c r="E77" s="4" t="inlineStr"/>
      <c r="F77" s="4" t="inlineStr"/>
      <c r="G77" s="4" t="inlineStr"/>
    </row>
    <row r="78">
      <c r="A78" s="4" t="inlineStr">
        <is>
          <t>3.12.10-P8</t>
        </is>
      </c>
      <c r="B78" s="4" t="inlineStr">
        <is>
          <t>3.12.10</t>
        </is>
      </c>
      <c r="C78" s="4" t="inlineStr">
        <is>
          <t>frcs</t>
        </is>
      </c>
      <c r="D78" s="4" t="inlineStr">
        <is>
          <t>Weigh age, physiology, comorbidities, knee demand, psychological state and the patient's own ideas, concerns and expectations, because an isolated pattern on imaging does not settle what operation suits the person.</t>
        </is>
      </c>
      <c r="E78" s="4" t="inlineStr"/>
      <c r="F78" s="4" t="inlineStr"/>
      <c r="G78" s="4" t="inlineStr"/>
    </row>
    <row r="79">
      <c r="A79" s="4" t="inlineStr">
        <is>
          <t>3.12.11-P1</t>
        </is>
      </c>
      <c r="B79" s="4" t="inlineStr">
        <is>
          <t>3.12.11</t>
        </is>
      </c>
      <c r="C79" s="4" t="inlineStr">
        <is>
          <t>mrcs</t>
        </is>
      </c>
      <c r="D79" s="4" t="inlineStr">
        <is>
          <t>Measure the rotational profile where instability persists despite normal coronal alignment and normal morphology.</t>
        </is>
      </c>
      <c r="E79" s="4" t="inlineStr"/>
      <c r="F79" s="4" t="inlineStr"/>
      <c r="G79" s="4" t="inlineStr"/>
    </row>
    <row r="80">
      <c r="A80" s="4" t="inlineStr">
        <is>
          <t>3.12.11-P2</t>
        </is>
      </c>
      <c r="B80" s="4" t="inlineStr">
        <is>
          <t>3.12.11</t>
        </is>
      </c>
      <c r="C80" s="4" t="inlineStr">
        <is>
          <t>mrcs</t>
        </is>
      </c>
      <c r="D80" s="4" t="inlineStr">
        <is>
          <t>Read a raised tubercle to groove distance as a net result, then look for its cause rather than correcting it blind.</t>
        </is>
      </c>
      <c r="E80" s="4" t="inlineStr"/>
      <c r="F80" s="4" t="inlineStr"/>
      <c r="G80" s="4" t="inlineStr"/>
    </row>
    <row r="81">
      <c r="A81" s="4" t="inlineStr">
        <is>
          <t>3.12.11-P3</t>
        </is>
      </c>
      <c r="B81" s="4" t="inlineStr">
        <is>
          <t>3.12.11</t>
        </is>
      </c>
      <c r="C81" s="4" t="inlineStr">
        <is>
          <t>mrcs</t>
        </is>
      </c>
      <c r="D81" s="4" t="inlineStr">
        <is>
          <t>Expect a soft tissue procedure to underperform where the vector abnormality is rotational.</t>
        </is>
      </c>
      <c r="E81" s="4" t="inlineStr"/>
      <c r="F81" s="4" t="inlineStr"/>
      <c r="G81" s="4" t="inlineStr"/>
    </row>
    <row r="82">
      <c r="A82" s="4" t="inlineStr">
        <is>
          <t>3.12.11-P4</t>
        </is>
      </c>
      <c r="B82" s="4" t="inlineStr">
        <is>
          <t>3.12.11</t>
        </is>
      </c>
      <c r="C82" s="4" t="inlineStr">
        <is>
          <t>frcs</t>
        </is>
      </c>
      <c r="D82" s="4" t="inlineStr">
        <is>
          <t>Avoid correcting a raised tubercle to groove distance without knowing whether its cause is tubercle position or femoral version.</t>
        </is>
      </c>
      <c r="E82" s="4" t="inlineStr"/>
      <c r="F82" s="4" t="inlineStr"/>
      <c r="G82" s="4" t="inlineStr"/>
    </row>
    <row r="83">
      <c r="A83" s="4" t="inlineStr">
        <is>
          <t>3.12.11-P5</t>
        </is>
      </c>
      <c r="B83" s="4" t="inlineStr">
        <is>
          <t>3.12.11</t>
        </is>
      </c>
      <c r="C83" s="4" t="inlineStr">
        <is>
          <t>frcs</t>
        </is>
      </c>
      <c r="D83" s="4" t="inlineStr">
        <is>
          <t>State the reference range alongside a version measurement, since thresholds depend on it.</t>
        </is>
      </c>
      <c r="E83" s="4" t="inlineStr"/>
      <c r="F83" s="4" t="inlineStr"/>
      <c r="G83" s="4" t="inlineStr"/>
    </row>
    <row r="84">
      <c r="A84" s="4" t="inlineStr">
        <is>
          <t>3.12.11-P6</t>
        </is>
      </c>
      <c r="B84" s="4" t="inlineStr">
        <is>
          <t>3.12.11</t>
        </is>
      </c>
      <c r="C84" s="4" t="inlineStr">
        <is>
          <t>frcs</t>
        </is>
      </c>
      <c r="D84" s="4" t="inlineStr">
        <is>
          <t>Expect coronal correction to do less for this joint than for the tibiofemoral compartments.</t>
        </is>
      </c>
      <c r="E84" s="4" t="inlineStr"/>
      <c r="F84" s="4" t="inlineStr"/>
      <c r="G84" s="4" t="inlineStr"/>
    </row>
    <row r="85">
      <c r="A85" s="4" t="inlineStr">
        <is>
          <t>3.12.11-P7</t>
        </is>
      </c>
      <c r="B85" s="4" t="inlineStr">
        <is>
          <t>3.12.11</t>
        </is>
      </c>
      <c r="C85" s="4" t="inlineStr">
        <is>
          <t>frcs</t>
        </is>
      </c>
      <c r="D85" s="4" t="inlineStr">
        <is>
          <t>Weigh the patient's age, physiology, comorbidities, knee demand, psychological state and their own ideas, concerns and expectations before offering a derotation osteotomy, which is a large operation for a geometric finding.</t>
        </is>
      </c>
      <c r="E85" s="4" t="inlineStr"/>
      <c r="F85" s="4" t="inlineStr"/>
      <c r="G85" s="4" t="inlineStr"/>
    </row>
    <row r="86">
      <c r="A86" s="4" t="inlineStr">
        <is>
          <t>3.12.12-P1</t>
        </is>
      </c>
      <c r="B86" s="4" t="inlineStr">
        <is>
          <t>3.12.12</t>
        </is>
      </c>
      <c r="C86" s="4" t="inlineStr">
        <is>
          <t>mrcs</t>
        </is>
      </c>
      <c r="D86" s="4" t="inlineStr">
        <is>
          <t>No index reports the transverse offset and the height together, so both must be stated.</t>
        </is>
      </c>
      <c r="E86" s="4" t="inlineStr"/>
      <c r="F86" s="4" t="inlineStr"/>
      <c r="G86" s="4" t="inlineStr"/>
    </row>
    <row r="87">
      <c r="A87" s="4" t="inlineStr">
        <is>
          <t>3.12.12-P2</t>
        </is>
      </c>
      <c r="B87" s="4" t="inlineStr">
        <is>
          <t>3.12.12</t>
        </is>
      </c>
      <c r="C87" s="4" t="inlineStr">
        <is>
          <t>mrcs</t>
        </is>
      </c>
      <c r="D87" s="4" t="inlineStr">
        <is>
          <t>Report the tubercle to groove distance and a named height ratio together, because they describe different problems.</t>
        </is>
      </c>
      <c r="E87" s="4" t="inlineStr"/>
      <c r="F87" s="4" t="inlineStr"/>
      <c r="G87" s="4" t="inlineStr"/>
    </row>
    <row r="88">
      <c r="A88" s="4" t="inlineStr">
        <is>
          <t>3.12.12-P3</t>
        </is>
      </c>
      <c r="B88" s="4" t="inlineStr">
        <is>
          <t>3.12.12</t>
        </is>
      </c>
      <c r="C88" s="4" t="inlineStr">
        <is>
          <t>mrcs</t>
        </is>
      </c>
      <c r="D88" s="4" t="inlineStr">
        <is>
          <t>Record the knee position at imaging, since the transverse index depends on it.</t>
        </is>
      </c>
      <c r="E88" s="4" t="inlineStr"/>
      <c r="F88" s="4" t="inlineStr"/>
      <c r="G88" s="4" t="inlineStr"/>
    </row>
    <row r="89">
      <c r="A89" s="4" t="inlineStr">
        <is>
          <t>3.12.12-P4</t>
        </is>
      </c>
      <c r="B89" s="4" t="inlineStr">
        <is>
          <t>3.12.12</t>
        </is>
      </c>
      <c r="C89" s="4" t="inlineStr">
        <is>
          <t>mrcs</t>
        </is>
      </c>
      <c r="D89" s="4" t="inlineStr">
        <is>
          <t>Expect medialisation to reduce the lateral vector and distalisation to advance engagement, and keep the two decisions separate.</t>
        </is>
      </c>
      <c r="E89" s="4" t="inlineStr"/>
      <c r="F89" s="4" t="inlineStr"/>
      <c r="G89" s="4" t="inlineStr"/>
    </row>
    <row r="90">
      <c r="A90" s="4" t="inlineStr">
        <is>
          <t>3.12.12-P5</t>
        </is>
      </c>
      <c r="B90" s="4" t="inlineStr">
        <is>
          <t>3.12.12</t>
        </is>
      </c>
      <c r="C90" s="4" t="inlineStr">
        <is>
          <t>mrcs</t>
        </is>
      </c>
      <c r="D90" s="4" t="inlineStr">
        <is>
          <t>Avoid treating a single borderline index as an indication, because both thresholds are soft.</t>
        </is>
      </c>
      <c r="E90" s="4" t="inlineStr"/>
      <c r="F90" s="4" t="inlineStr"/>
      <c r="G90" s="4" t="inlineStr"/>
    </row>
    <row r="91">
      <c r="A91" s="4" t="inlineStr">
        <is>
          <t>3.12.12-P6</t>
        </is>
      </c>
      <c r="B91" s="4" t="inlineStr">
        <is>
          <t>3.12.12</t>
        </is>
      </c>
      <c r="C91" s="4" t="inlineStr">
        <is>
          <t>mrcs</t>
        </is>
      </c>
      <c r="D91" s="4" t="inlineStr">
        <is>
          <t>- Height ratios disagree systematically, so the ratio must be named.</t>
        </is>
      </c>
      <c r="E91" s="4" t="inlineStr"/>
      <c r="F91" s="4" t="inlineStr"/>
      <c r="G91" s="4" t="inlineStr"/>
    </row>
    <row r="92">
      <c r="A92" s="4" t="inlineStr">
        <is>
          <t>3.12.12-P7</t>
        </is>
      </c>
      <c r="B92" s="4" t="inlineStr">
        <is>
          <t>3.12.12</t>
        </is>
      </c>
      <c r="C92" s="4" t="inlineStr">
        <is>
          <t>frcs</t>
        </is>
      </c>
      <c r="D92" s="4" t="inlineStr">
        <is>
          <t>Decide direction and magnitude separately, since medialisation and distalisation correct different mechanisms.</t>
        </is>
      </c>
      <c r="E92" s="4" t="inlineStr"/>
      <c r="F92" s="4" t="inlineStr"/>
      <c r="G92" s="4" t="inlineStr"/>
    </row>
    <row r="93">
      <c r="A93" s="4" t="inlineStr">
        <is>
          <t>3.12.12-P8</t>
        </is>
      </c>
      <c r="B93" s="4" t="inlineStr">
        <is>
          <t>3.12.12</t>
        </is>
      </c>
      <c r="C93" s="4" t="inlineStr">
        <is>
          <t>frcs</t>
        </is>
      </c>
      <c r="D93" s="4" t="inlineStr">
        <is>
          <t>Limit medialisation, because medial facet overload is the characteristic complication.</t>
        </is>
      </c>
      <c r="E93" s="4" t="inlineStr"/>
      <c r="F93" s="4" t="inlineStr"/>
      <c r="G93" s="4" t="inlineStr"/>
    </row>
    <row r="94">
      <c r="A94" s="4" t="inlineStr">
        <is>
          <t>3.12.12-P9</t>
        </is>
      </c>
      <c r="B94" s="4" t="inlineStr">
        <is>
          <t>3.12.12</t>
        </is>
      </c>
      <c r="C94" s="4" t="inlineStr">
        <is>
          <t>frcs</t>
        </is>
      </c>
      <c r="D94" s="4" t="inlineStr">
        <is>
          <t>State that the pressure redistribution is inferred rather than measured after surgery.</t>
        </is>
      </c>
      <c r="E94" s="4" t="inlineStr"/>
      <c r="F94" s="4" t="inlineStr"/>
      <c r="G94" s="4" t="inlineStr"/>
    </row>
    <row r="95">
      <c r="A95" s="4" t="inlineStr">
        <is>
          <t>3.12.12-P10</t>
        </is>
      </c>
      <c r="B95" s="4" t="inlineStr">
        <is>
          <t>3.12.12</t>
        </is>
      </c>
      <c r="C95" s="4" t="inlineStr">
        <is>
          <t>frcs</t>
        </is>
      </c>
      <c r="D95" s="4" t="inlineStr">
        <is>
          <t>Take the patient's age, physiology, comorbidities, knee demand, psychological state and their own ideas, concerns and expectations into the decision, because a precise correction of one term does not by itself make the operation right for this patient.</t>
        </is>
      </c>
      <c r="E95" s="4" t="inlineStr"/>
      <c r="F95" s="4" t="inlineStr"/>
      <c r="G95" s="4" t="inlineStr"/>
    </row>
  </sheetData>
  <dataValidations count="1">
    <dataValidation sqref="E3:E95"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3.12.1-F1</t>
        </is>
      </c>
      <c r="B3" s="4" t="inlineStr">
        <is>
          <t>3.12.1</t>
        </is>
      </c>
      <c r="C3" s="4" t="inlineStr">
        <is>
          <t>medical_student</t>
        </is>
      </c>
      <c r="D3" s="4" t="inlineStr">
        <is>
          <t>20 to 30 degrees</t>
        </is>
      </c>
      <c r="E3" s="4" t="inlineStr">
        <is>
          <t>It enters the groove as the knee bends, at around 20 to 30 degrees, and becomes progressively more constrained with further flexion.</t>
        </is>
      </c>
      <c r="F3" s="4" t="inlineStr"/>
      <c r="G3" s="4" t="inlineStr"/>
      <c r="H3" s="4" t="inlineStr"/>
    </row>
    <row r="4">
      <c r="A4" s="4" t="inlineStr">
        <is>
          <t>3.12.1-F2</t>
        </is>
      </c>
      <c r="B4" s="4" t="inlineStr">
        <is>
          <t>3.12.1</t>
        </is>
      </c>
      <c r="C4" s="4" t="inlineStr">
        <is>
          <t>mrcs</t>
        </is>
      </c>
      <c r="D4" s="4" t="inlineStr">
        <is>
          <t>60 to 90 degrees</t>
        </is>
      </c>
      <c r="E4" s="4" t="inlineStr">
        <is>
          <t>By 60 to 90 degrees the patella is deep in the groove and bone is the dominant restraint.</t>
        </is>
      </c>
      <c r="F4" s="4" t="inlineStr"/>
      <c r="G4" s="4" t="inlineStr"/>
      <c r="H4" s="4" t="inlineStr"/>
    </row>
    <row r="5">
      <c r="A5" s="4" t="inlineStr">
        <is>
          <t>3.12.1-F3</t>
        </is>
      </c>
      <c r="B5" s="4" t="inlineStr">
        <is>
          <t>3.12.1</t>
        </is>
      </c>
      <c r="C5" s="4" t="inlineStr">
        <is>
          <t>frcs</t>
        </is>
      </c>
      <c r="D5" s="4" t="inlineStr">
        <is>
          <t>30 degrees</t>
        </is>
      </c>
      <c r="E5" s="4" t="inlineStr">
        <is>
          <t>Static indices measured at 30 degrees or more sit after engagement in most knees and therefore miss the window.</t>
        </is>
      </c>
      <c r="F5" s="4" t="inlineStr"/>
      <c r="G5" s="4" t="inlineStr"/>
      <c r="H5" s="4" t="inlineStr"/>
    </row>
    <row r="6">
      <c r="A6" s="4" t="inlineStr">
        <is>
          <t>3.12.2-F1</t>
        </is>
      </c>
      <c r="B6" s="4" t="inlineStr">
        <is>
          <t>3.12.2</t>
        </is>
      </c>
      <c r="C6" s="4" t="inlineStr">
        <is>
          <t>mrcs</t>
        </is>
      </c>
      <c r="D6" s="4" t="inlineStr">
        <is>
          <t>20 degrees</t>
        </is>
      </c>
      <c r="E6" s="4" t="inlineStr">
        <is>
          <t>At 20 degrees the contact band sits across the distal patella and is small.</t>
        </is>
      </c>
      <c r="F6" s="4" t="inlineStr"/>
      <c r="G6" s="4" t="inlineStr"/>
      <c r="H6" s="4" t="inlineStr"/>
    </row>
    <row r="7">
      <c r="A7" s="4" t="inlineStr">
        <is>
          <t>3.12.2-F2</t>
        </is>
      </c>
      <c r="B7" s="4" t="inlineStr">
        <is>
          <t>3.12.2</t>
        </is>
      </c>
      <c r="C7" s="4" t="inlineStr">
        <is>
          <t>mrcs</t>
        </is>
      </c>
      <c r="D7" s="4" t="inlineStr">
        <is>
          <t>90 degrees</t>
        </is>
      </c>
      <c r="E7" s="4" t="inlineStr">
        <is>
          <t>By 90 degrees it has moved proximally and is several times larger.</t>
        </is>
      </c>
      <c r="F7" s="4" t="inlineStr"/>
      <c r="G7" s="4" t="inlineStr"/>
      <c r="H7" s="4" t="inlineStr"/>
    </row>
    <row r="8">
      <c r="A8" s="4" t="inlineStr">
        <is>
          <t>3.12.2-F3</t>
        </is>
      </c>
      <c r="B8" s="4" t="inlineStr">
        <is>
          <t>3.12.2</t>
        </is>
      </c>
      <c r="C8" s="4" t="inlineStr">
        <is>
          <t>mrcs</t>
        </is>
      </c>
      <c r="D8" s="4" t="inlineStr">
        <is>
          <t>20 to 90 degrees</t>
        </is>
      </c>
      <c r="E8" s="4" t="inlineStr">
        <is>
          <t>- The band moves proximally and enlarges several fold from 20 to 90 degrees.</t>
        </is>
      </c>
      <c r="F8" s="4" t="inlineStr"/>
      <c r="G8" s="4" t="inlineStr"/>
      <c r="H8" s="4" t="inlineStr"/>
    </row>
    <row r="9">
      <c r="A9" s="4" t="inlineStr">
        <is>
          <t>3.12.4-F1</t>
        </is>
      </c>
      <c r="B9" s="4" t="inlineStr">
        <is>
          <t>3.12.4</t>
        </is>
      </c>
      <c r="C9" s="4" t="inlineStr">
        <is>
          <t>frcs</t>
        </is>
      </c>
      <c r="D9" s="4" t="inlineStr">
        <is>
          <t>30 degrees</t>
        </is>
      </c>
      <c r="E9" s="4" t="inlineStr">
        <is>
          <t>Displacement force studies show the greatest loss of constraint in the first 30 degrees in dysplastic knees, which is exactly the arc the soft tissue was already covering alone.</t>
        </is>
      </c>
      <c r="F9" s="4" t="inlineStr"/>
      <c r="G9" s="4" t="inlineStr"/>
      <c r="H9" s="4" t="inlineStr"/>
    </row>
    <row r="10">
      <c r="A10" s="4" t="inlineStr">
        <is>
          <t>3.12.5-F1</t>
        </is>
      </c>
      <c r="B10" s="4" t="inlineStr">
        <is>
          <t>3.12.5</t>
        </is>
      </c>
      <c r="C10" s="4" t="inlineStr">
        <is>
          <t>mrcs</t>
        </is>
      </c>
      <c r="D10" s="4" t="inlineStr">
        <is>
          <t>30 degrees</t>
        </is>
      </c>
      <c r="E10" s="4" t="inlineStr">
        <is>
          <t>Its contribution falls away as flexion increases and the trochlea engages, and it is negligible beyond about 30 degrees.</t>
        </is>
      </c>
      <c r="F10" s="4" t="inlineStr"/>
      <c r="G10" s="4" t="inlineStr"/>
      <c r="H10" s="4" t="inlineStr"/>
    </row>
    <row r="11">
      <c r="A11" s="4" t="inlineStr">
        <is>
          <t>3.12.6-F1</t>
        </is>
      </c>
      <c r="B11" s="4" t="inlineStr">
        <is>
          <t>3.12.6</t>
        </is>
      </c>
      <c r="C11" s="4" t="inlineStr">
        <is>
          <t>mrcs</t>
        </is>
      </c>
      <c r="D11" s="4" t="inlineStr">
        <is>
          <t>14 degrees</t>
        </is>
      </c>
      <c r="E11" s="4" t="inlineStr">
        <is>
          <t>Quoted normal values are around 14 degrees in men and 17 degrees in women, with a wide spread and no agreed threshold.</t>
        </is>
      </c>
      <c r="F11" s="4" t="inlineStr"/>
      <c r="G11" s="4" t="inlineStr"/>
      <c r="H11" s="4" t="inlineStr"/>
    </row>
    <row r="12">
      <c r="A12" s="4" t="inlineStr">
        <is>
          <t>3.12.6-F2</t>
        </is>
      </c>
      <c r="B12" s="4" t="inlineStr">
        <is>
          <t>3.12.6</t>
        </is>
      </c>
      <c r="C12" s="4" t="inlineStr">
        <is>
          <t>mrcs</t>
        </is>
      </c>
      <c r="D12" s="4" t="inlineStr">
        <is>
          <t>17 degrees</t>
        </is>
      </c>
      <c r="E12" s="4" t="inlineStr">
        <is>
          <t>Quoted normal values are around 14 degrees in men and 17 degrees in women, with a wide spread and no agreed threshold.</t>
        </is>
      </c>
      <c r="F12" s="4" t="inlineStr"/>
      <c r="G12" s="4" t="inlineStr"/>
      <c r="H12" s="4" t="inlineStr"/>
    </row>
    <row r="13">
      <c r="A13" s="4" t="inlineStr">
        <is>
          <t>3.12.6-F3</t>
        </is>
      </c>
      <c r="B13" s="4" t="inlineStr">
        <is>
          <t>3.12.6</t>
        </is>
      </c>
      <c r="C13" s="4" t="inlineStr">
        <is>
          <t>mrcs</t>
        </is>
      </c>
      <c r="D13" s="4" t="inlineStr">
        <is>
          <t>17</t>
        </is>
      </c>
      <c r="E13" s="4" t="inlineStr">
        <is>
          <t>- Quoted normals are around 14 degrees in men and 17 in women, with no agreed threshold.</t>
        </is>
      </c>
      <c r="F13" s="4" t="inlineStr"/>
      <c r="G13" s="4" t="inlineStr"/>
      <c r="H13" s="4" t="inlineStr"/>
    </row>
    <row r="14">
      <c r="A14" s="4" t="inlineStr">
        <is>
          <t>3.12.12-F1</t>
        </is>
      </c>
      <c r="B14" s="4" t="inlineStr">
        <is>
          <t>3.12.12</t>
        </is>
      </c>
      <c r="C14" s="4" t="inlineStr">
        <is>
          <t>mrcs</t>
        </is>
      </c>
      <c r="D14" s="4" t="inlineStr">
        <is>
          <t>20</t>
        </is>
      </c>
      <c r="E14" s="4" t="inlineStr">
        <is>
          <t>Transverse offset is measured as the tubercle to groove distance, with quoted abnormal values above about 20 millimetres and a soft threshold.</t>
        </is>
      </c>
      <c r="F14" s="4" t="inlineStr"/>
      <c r="G14" s="4" t="inlineStr"/>
      <c r="H14" s="4" t="inlineStr"/>
    </row>
  </sheetData>
  <dataValidations count="1">
    <dataValidation sqref="F3:F14"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93</f>
        <v/>
      </c>
      <c r="C2" s="3">
        <f>12</f>
        <v/>
      </c>
    </row>
    <row r="3">
      <c r="A3" s="2" t="inlineStr">
        <is>
          <t>Decided</t>
        </is>
      </c>
      <c r="B3" s="3">
        <f>COUNTIF(Recommendations!E3:E95,"&lt;&gt;")</f>
        <v/>
      </c>
      <c r="C3" s="3">
        <f>COUNTIF(Measurements!F3:F14,"&lt;&gt;")</f>
        <v/>
      </c>
    </row>
    <row r="4">
      <c r="A4" s="2" t="inlineStr">
        <is>
          <t>Still blank</t>
        </is>
      </c>
      <c r="B4" s="3">
        <f>B2-B3</f>
        <v/>
      </c>
      <c r="C4" s="3">
        <f>C2-C3</f>
        <v/>
      </c>
    </row>
    <row r="5">
      <c r="A5" s="2" t="inlineStr">
        <is>
          <t>CONFIRMED</t>
        </is>
      </c>
      <c r="B5" s="3">
        <f>COUNTIF(Recommendations!E3:E95,"CONFIRMED")</f>
        <v/>
      </c>
      <c r="C5" s="3" t="inlineStr"/>
    </row>
    <row r="6">
      <c r="A6" s="2" t="inlineStr">
        <is>
          <t>AMENDED</t>
        </is>
      </c>
      <c r="B6" s="3">
        <f>COUNTIF(Recommendations!E3:E95,"AMENDED")</f>
        <v/>
      </c>
      <c r="C6" s="3" t="inlineStr"/>
    </row>
    <row r="7">
      <c r="A7" s="2" t="inlineStr">
        <is>
          <t>WITHDRAWN</t>
        </is>
      </c>
      <c r="B7" s="3">
        <f>COUNTIF(Recommendations!E3:E95,"WITHDRAWN")</f>
        <v/>
      </c>
      <c r="C7" s="3" t="inlineStr"/>
    </row>
    <row r="8">
      <c r="A8" s="2" t="inlineStr">
        <is>
          <t>NOT_CLINICAL</t>
        </is>
      </c>
      <c r="B8" s="3">
        <f>COUNTIF(Recommendations!E3:E95,"NOT_CLINICAL")</f>
        <v/>
      </c>
      <c r="C8" s="3" t="inlineStr"/>
    </row>
    <row r="9">
      <c r="A9" s="2" t="inlineStr">
        <is>
          <t>VERIFIED</t>
        </is>
      </c>
      <c r="B9" s="3" t="inlineStr"/>
      <c r="C9" s="3">
        <f>COUNTIF(Measurements!F3:F14,"VERIFIED")</f>
        <v/>
      </c>
    </row>
    <row r="10">
      <c r="A10" s="2" t="inlineStr">
        <is>
          <t>CORRECTED</t>
        </is>
      </c>
      <c r="B10" s="3" t="inlineStr"/>
      <c r="C10" s="3">
        <f>COUNTIF(Measurements!F3:F14,"CORRECTED")</f>
        <v/>
      </c>
    </row>
    <row r="11">
      <c r="A11" s="2" t="inlineStr">
        <is>
          <t>REMOVED</t>
        </is>
      </c>
      <c r="B11" s="3" t="inlineStr"/>
      <c r="C11" s="3">
        <f>COUNTIF(Measurements!F3:F14,"REMOVED")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2026-10-10T13:42:44Z</dcterms:created>
  <dcterms:modified xmlns:dcterms="http://purl.org/dc/terms/" xmlns:xsi="http://www.w3.org/2001/XMLSchema-instance" xsi:type="dcterms:W3CDTF">2026-10-10T13:42:44Z</dcterms:modified>
</cp:coreProperties>
</file>