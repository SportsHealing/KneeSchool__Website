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3.8 PCL Biomechanics</t>
        </is>
      </c>
    </row>
    <row r="3">
      <c r="A3" s="2" t="inlineStr">
        <is>
          <t>Section</t>
        </is>
      </c>
      <c r="B3" s="3" t="inlineStr">
        <is>
          <t>3</t>
        </is>
      </c>
    </row>
    <row r="4">
      <c r="A4" s="2" t="inlineStr">
        <is>
          <t>Chapter</t>
        </is>
      </c>
      <c r="B4" s="3" t="inlineStr">
        <is>
          <t>3.8 PCL Biomechanics</t>
        </is>
      </c>
    </row>
    <row r="5">
      <c r="A5" s="2" t="inlineStr">
        <is>
          <t>Pages</t>
        </is>
      </c>
      <c r="B5" s="3" t="n">
        <v>10</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11,425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17</v>
      </c>
    </row>
    <row r="12">
      <c r="A12" s="2" t="inlineStr">
        <is>
          <t>Recommendations to sign</t>
        </is>
      </c>
      <c r="B12" s="3" t="n">
        <v>68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3.8.1</t>
        </is>
      </c>
      <c r="B2" s="6" t="inlineStr">
        <is>
          <t>Functions of the PCL</t>
        </is>
      </c>
      <c r="C2" s="6" t="n">
        <v>3</v>
      </c>
      <c r="D2" s="6" t="n">
        <v>1147</v>
      </c>
      <c r="E2" s="6" t="inlineStr">
        <is>
          <t>biomechanics/functions-of-the-pcl.html</t>
        </is>
      </c>
    </row>
    <row r="3">
      <c r="A3" s="6" t="inlineStr">
        <is>
          <t>3.8.2</t>
        </is>
      </c>
      <c r="B3" s="6" t="inlineStr">
        <is>
          <t>Posterior Stability</t>
        </is>
      </c>
      <c r="C3" s="6" t="n">
        <v>3</v>
      </c>
      <c r="D3" s="6" t="n">
        <v>1102</v>
      </c>
      <c r="E3" s="6" t="inlineStr">
        <is>
          <t>biomechanics/posterior-stability.html</t>
        </is>
      </c>
    </row>
    <row r="4">
      <c r="A4" s="6" t="inlineStr">
        <is>
          <t>3.8.3</t>
        </is>
      </c>
      <c r="B4" s="6" t="inlineStr">
        <is>
          <t>Bundle Function</t>
        </is>
      </c>
      <c r="C4" s="6" t="n">
        <v>3</v>
      </c>
      <c r="D4" s="6" t="n">
        <v>1048</v>
      </c>
      <c r="E4" s="6" t="inlineStr">
        <is>
          <t>biomechanics/pcl-bundle-function.html</t>
        </is>
      </c>
    </row>
    <row r="5">
      <c r="A5" s="6" t="inlineStr">
        <is>
          <t>3.8.4</t>
        </is>
      </c>
      <c r="B5" s="6" t="inlineStr">
        <is>
          <t>AL Bundle Mechanics</t>
        </is>
      </c>
      <c r="C5" s="6" t="n">
        <v>3</v>
      </c>
      <c r="D5" s="6" t="n">
        <v>1002</v>
      </c>
      <c r="E5" s="6" t="inlineStr">
        <is>
          <t>biomechanics/pcl-al-bundle-mechanics.html</t>
        </is>
      </c>
    </row>
    <row r="6">
      <c r="A6" s="6" t="inlineStr">
        <is>
          <t>3.8.5</t>
        </is>
      </c>
      <c r="B6" s="6" t="inlineStr">
        <is>
          <t>PM Bundle Mechanics</t>
        </is>
      </c>
      <c r="C6" s="6" t="n">
        <v>3</v>
      </c>
      <c r="D6" s="6" t="n">
        <v>1068</v>
      </c>
      <c r="E6" s="6" t="inlineStr">
        <is>
          <t>biomechanics/pcl-pm-bundle-mechanics.html</t>
        </is>
      </c>
    </row>
    <row r="7">
      <c r="A7" s="6" t="inlineStr">
        <is>
          <t>3.8.6</t>
        </is>
      </c>
      <c r="B7" s="6" t="inlineStr">
        <is>
          <t>Posterior Drawer Mechanics</t>
        </is>
      </c>
      <c r="C7" s="6" t="n">
        <v>3</v>
      </c>
      <c r="D7" s="6" t="n">
        <v>1063</v>
      </c>
      <c r="E7" s="6" t="inlineStr">
        <is>
          <t>biomechanics/posterior-drawer-mechanics.html</t>
        </is>
      </c>
    </row>
    <row r="8">
      <c r="A8" s="6" t="inlineStr">
        <is>
          <t>3.8.7</t>
        </is>
      </c>
      <c r="B8" s="6" t="inlineStr">
        <is>
          <t>Gait Following PCL Injury</t>
        </is>
      </c>
      <c r="C8" s="6" t="n">
        <v>3</v>
      </c>
      <c r="D8" s="6" t="n">
        <v>1038</v>
      </c>
      <c r="E8" s="6" t="inlineStr">
        <is>
          <t>biomechanics/gait-following-pcl-injury.html</t>
        </is>
      </c>
    </row>
    <row r="9">
      <c r="A9" s="6" t="inlineStr">
        <is>
          <t>3.8.8</t>
        </is>
      </c>
      <c r="B9" s="6" t="inlineStr">
        <is>
          <t>PCL Reconstruction Biomechanics</t>
        </is>
      </c>
      <c r="C9" s="6" t="n">
        <v>4</v>
      </c>
      <c r="D9" s="6" t="n">
        <v>1373</v>
      </c>
      <c r="E9" s="6" t="inlineStr">
        <is>
          <t>biomechanics/pcl-reconstruction-biomechanics.html</t>
        </is>
      </c>
    </row>
    <row r="10">
      <c r="A10" s="6" t="inlineStr">
        <is>
          <t>3.8.9</t>
        </is>
      </c>
      <c r="B10" s="6" t="inlineStr">
        <is>
          <t>Double Bundle Reconstruction</t>
        </is>
      </c>
      <c r="C10" s="6" t="n">
        <v>4</v>
      </c>
      <c r="D10" s="6" t="n">
        <v>1279</v>
      </c>
      <c r="E10" s="6" t="inlineStr">
        <is>
          <t>biomechanics/pcl-double-bundle-reconstruction.html</t>
        </is>
      </c>
    </row>
    <row r="11">
      <c r="A11" s="6" t="inlineStr">
        <is>
          <t>3.8.10</t>
        </is>
      </c>
      <c r="B11" s="6" t="inlineStr">
        <is>
          <t>Inlay Techniques</t>
        </is>
      </c>
      <c r="C11" s="6" t="n">
        <v>4</v>
      </c>
      <c r="D11" s="6" t="n">
        <v>1305</v>
      </c>
      <c r="E11" s="6" t="inlineStr">
        <is>
          <t>biomechanics/pcl-inlay-techniques.html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3.8.1</t>
        </is>
      </c>
      <c r="B2" s="4" t="inlineStr">
        <is>
          <t>Functions of the PCL</t>
        </is>
      </c>
      <c r="C2" s="4" t="inlineStr">
        <is>
          <t>The position function explains the natural history.</t>
        </is>
      </c>
    </row>
    <row r="3">
      <c r="A3" s="4" t="inlineStr">
        <is>
          <t>3.8.1</t>
        </is>
      </c>
      <c r="B3" s="4" t="inlineStr">
        <is>
          <t>Functions of the PCL</t>
        </is>
      </c>
      <c r="C3" s="4" t="inlineStr">
        <is>
          <t>A chronically sagged knee loads the medial and patellofemoral compartments differently.</t>
        </is>
      </c>
    </row>
    <row r="4">
      <c r="A4" s="4" t="inlineStr">
        <is>
          <t>3.8.1</t>
        </is>
      </c>
      <c r="B4" s="4" t="inlineStr">
        <is>
          <t>Functions of the PCL</t>
        </is>
      </c>
      <c r="C4" s="4" t="inlineStr">
        <is>
          <t>Partial healing in continuity at a greater length separates this ligament from the anterior.</t>
        </is>
      </c>
    </row>
    <row r="5">
      <c r="A5" s="4" t="inlineStr">
        <is>
          <t>3.8.1</t>
        </is>
      </c>
      <c r="B5" s="4" t="inlineStr">
        <is>
          <t>Functions of the PCL</t>
        </is>
      </c>
      <c r="C5" s="4" t="inlineStr">
        <is>
          <t>Imaging can look normal in a measurably lax knee.</t>
        </is>
      </c>
    </row>
    <row r="6">
      <c r="A6" s="4" t="inlineStr">
        <is>
          <t>3.8.1</t>
        </is>
      </c>
      <c r="B6" s="4" t="inlineStr">
        <is>
          <t>Functions of the PCL</t>
        </is>
      </c>
      <c r="C6" s="4" t="inlineStr">
        <is>
          <t>Reconstruction competes with a ligament that is partly working.</t>
        </is>
      </c>
    </row>
    <row r="7">
      <c r="A7" s="4" t="inlineStr">
        <is>
          <t>3.8.2</t>
        </is>
      </c>
      <c r="B7" s="4" t="inlineStr">
        <is>
          <t>Posterior Stability</t>
        </is>
      </c>
      <c r="C7" s="4" t="inlineStr">
        <is>
          <t>The grade is the decision variable and the method of getting it is the weak point.</t>
        </is>
      </c>
    </row>
    <row r="8">
      <c r="A8" s="4" t="inlineStr">
        <is>
          <t>3.8.2</t>
        </is>
      </c>
      <c r="B8" s="4" t="inlineStr">
        <is>
          <t>Posterior Stability</t>
        </is>
      </c>
      <c r="C8" s="4" t="inlineStr">
        <is>
          <t>Conventional teaching reads above roughly 12 millimetres as suggesting a combined injury.</t>
        </is>
      </c>
    </row>
    <row r="9">
      <c r="A9" s="4" t="inlineStr">
        <is>
          <t>3.8.2</t>
        </is>
      </c>
      <c r="B9" s="4" t="inlineStr">
        <is>
          <t>Posterior Stability</t>
        </is>
      </c>
      <c r="C9" s="4" t="inlineStr">
        <is>
          <t>A grade converts into an anatomical inference.</t>
        </is>
      </c>
    </row>
    <row r="10">
      <c r="A10" s="4" t="inlineStr">
        <is>
          <t>3.8.2</t>
        </is>
      </c>
      <c r="B10" s="4" t="inlineStr">
        <is>
          <t>Posterior Stability</t>
        </is>
      </c>
      <c r="C10" s="4" t="inlineStr">
        <is>
          <t>Partial healing is more likely in a lower grade injury.</t>
        </is>
      </c>
    </row>
    <row r="11">
      <c r="A11" s="4" t="inlineStr">
        <is>
          <t>3.8.2</t>
        </is>
      </c>
      <c r="B11" s="4" t="inlineStr">
        <is>
          <t>Posterior Stability</t>
        </is>
      </c>
      <c r="C11" s="4" t="inlineStr">
        <is>
          <t>Serial measurement is more informative than a single reading.</t>
        </is>
      </c>
    </row>
    <row r="12">
      <c r="A12" s="4" t="inlineStr">
        <is>
          <t>3.8.3</t>
        </is>
      </c>
      <c r="B12" s="4" t="inlineStr">
        <is>
          <t>Bundle Function</t>
        </is>
      </c>
      <c r="C12" s="4" t="inlineStr">
        <is>
          <t>Here the dominant bundle really is dominant.</t>
        </is>
      </c>
    </row>
    <row r="13">
      <c r="A13" s="4" t="inlineStr">
        <is>
          <t>3.8.3</t>
        </is>
      </c>
      <c r="B13" s="4" t="inlineStr">
        <is>
          <t>Bundle Function</t>
        </is>
      </c>
      <c r="C13" s="4" t="inlineStr">
        <is>
          <t>Double bundle restores translation closer to normal in cadavers, with clinical equivalence.</t>
        </is>
      </c>
    </row>
    <row r="14">
      <c r="A14" s="4" t="inlineStr">
        <is>
          <t>3.8.3</t>
        </is>
      </c>
      <c r="B14" s="4" t="inlineStr">
        <is>
          <t>Bundle Function</t>
        </is>
      </c>
      <c r="C14" s="4" t="inlineStr">
        <is>
          <t>The mechanical gap to close is smaller than anteriorly.</t>
        </is>
      </c>
    </row>
    <row r="15">
      <c r="A15" s="4" t="inlineStr">
        <is>
          <t>3.8.3</t>
        </is>
      </c>
      <c r="B15" s="4" t="inlineStr">
        <is>
          <t>Bundle Function</t>
        </is>
      </c>
      <c r="C15" s="4" t="inlineStr">
        <is>
          <t>Femoral tunnel position within the anterolateral footprint matters most.</t>
        </is>
      </c>
    </row>
    <row r="16">
      <c r="A16" s="4" t="inlineStr">
        <is>
          <t>3.8.3</t>
        </is>
      </c>
      <c r="B16" s="4" t="inlineStr">
        <is>
          <t>Bundle Function</t>
        </is>
      </c>
      <c r="C16" s="4" t="inlineStr">
        <is>
          <t>Tension in flexion, since that is where the dominant bundle works.</t>
        </is>
      </c>
    </row>
    <row r="17">
      <c r="A17" s="4" t="inlineStr">
        <is>
          <t>3.8.4</t>
        </is>
      </c>
      <c r="B17" s="4" t="inlineStr">
        <is>
          <t>AL Bundle Mechanics</t>
        </is>
      </c>
      <c r="C17" s="4" t="inlineStr">
        <is>
          <t>A graft in the right place tensioned at the wrong angle behaves like one in the wrong place.</t>
        </is>
      </c>
    </row>
    <row r="18">
      <c r="A18" s="4" t="inlineStr">
        <is>
          <t>3.8.4</t>
        </is>
      </c>
      <c r="B18" s="4" t="inlineStr">
        <is>
          <t>AL Bundle Mechanics</t>
        </is>
      </c>
      <c r="C18" s="4" t="inlineStr">
        <is>
          <t>Conventional teaching tensions in flexion, commonly around 70 to 90 degrees.</t>
        </is>
      </c>
    </row>
    <row r="19">
      <c r="A19" s="4" t="inlineStr">
        <is>
          <t>3.8.4</t>
        </is>
      </c>
      <c r="B19" s="4" t="inlineStr">
        <is>
          <t>AL Bundle Mechanics</t>
        </is>
      </c>
      <c r="C19" s="4" t="inlineStr">
        <is>
          <t>Reducing the sag before fixation distinguishes this reconstruction.</t>
        </is>
      </c>
    </row>
    <row r="20">
      <c r="A20" s="4" t="inlineStr">
        <is>
          <t>3.8.4</t>
        </is>
      </c>
      <c r="B20" s="4" t="inlineStr">
        <is>
          <t>AL Bundle Mechanics</t>
        </is>
      </c>
      <c r="C20" s="4" t="inlineStr">
        <is>
          <t>Fixing with the tibia sagged locks the deformity in.</t>
        </is>
      </c>
    </row>
    <row r="21">
      <c r="A21" s="4" t="inlineStr">
        <is>
          <t>3.8.4</t>
        </is>
      </c>
      <c r="B21" s="4" t="inlineStr">
        <is>
          <t>AL Bundle Mechanics</t>
        </is>
      </c>
      <c r="C21" s="4" t="inlineStr">
        <is>
          <t>No measurement confirms the tension once the knee is closed.</t>
        </is>
      </c>
    </row>
    <row r="22">
      <c r="A22" s="4" t="inlineStr">
        <is>
          <t>3.8.5</t>
        </is>
      </c>
      <c r="B22" s="4" t="inlineStr">
        <is>
          <t>PM Bundle Mechanics</t>
        </is>
      </c>
      <c r="C22" s="4" t="inlineStr">
        <is>
          <t>The double bundle question is settled unsatisfyingly: a cadaveric advantage without a clinical one.</t>
        </is>
      </c>
    </row>
    <row r="23">
      <c r="A23" s="4" t="inlineStr">
        <is>
          <t>3.8.5</t>
        </is>
      </c>
      <c r="B23" s="4" t="inlineStr">
        <is>
          <t>PM Bundle Mechanics</t>
        </is>
      </c>
      <c r="C23" s="4" t="inlineStr">
        <is>
          <t>The combined injury is where the mechanical case is strongest.</t>
        </is>
      </c>
    </row>
    <row r="24">
      <c r="A24" s="4" t="inlineStr">
        <is>
          <t>3.8.5</t>
        </is>
      </c>
      <c r="B24" s="4" t="inlineStr">
        <is>
          <t>PM Bundle Mechanics</t>
        </is>
      </c>
      <c r="C24" s="4" t="inlineStr">
        <is>
          <t>Conventional teaching reserves double bundle for selected cases.</t>
        </is>
      </c>
    </row>
    <row r="25">
      <c r="A25" s="4" t="inlineStr">
        <is>
          <t>3.8.5</t>
        </is>
      </c>
      <c r="B25" s="4" t="inlineStr">
        <is>
          <t>PM Bundle Mechanics</t>
        </is>
      </c>
      <c r="C25" s="4" t="inlineStr">
        <is>
          <t>Two bundles need more graft and more femoral tunnel space.</t>
        </is>
      </c>
    </row>
    <row r="26">
      <c r="A26" s="4" t="inlineStr">
        <is>
          <t>3.8.5</t>
        </is>
      </c>
      <c r="B26" s="4" t="inlineStr">
        <is>
          <t>PM Bundle Mechanics</t>
        </is>
      </c>
      <c r="C26" s="4" t="inlineStr">
        <is>
          <t>The subgroup with the strongest mechanical case has no trial evidence.</t>
        </is>
      </c>
    </row>
    <row r="27">
      <c r="A27" s="4" t="inlineStr">
        <is>
          <t>3.8.6</t>
        </is>
      </c>
      <c r="B27" s="4" t="inlineStr">
        <is>
          <t>Posterior Drawer Mechanics</t>
        </is>
      </c>
      <c r="C27" s="4" t="inlineStr">
        <is>
          <t>The error that misleads a drawer is the error that fails a reconstruction.</t>
        </is>
      </c>
    </row>
    <row r="28">
      <c r="A28" s="4" t="inlineStr">
        <is>
          <t>3.8.6</t>
        </is>
      </c>
      <c r="B28" s="4" t="inlineStr">
        <is>
          <t>Posterior Drawer Mechanics</t>
        </is>
      </c>
      <c r="C28" s="4" t="inlineStr">
        <is>
          <t>Reduce the tibia with an anterior drawer before fixing the graft.</t>
        </is>
      </c>
    </row>
    <row r="29">
      <c r="A29" s="4" t="inlineStr">
        <is>
          <t>3.8.6</t>
        </is>
      </c>
      <c r="B29" s="4" t="inlineStr">
        <is>
          <t>Posterior Drawer Mechanics</t>
        </is>
      </c>
      <c r="C29" s="4" t="inlineStr">
        <is>
          <t>Residual posterior laxity after reconstruction is common.</t>
        </is>
      </c>
    </row>
    <row r="30">
      <c r="A30" s="4" t="inlineStr">
        <is>
          <t>3.8.6</t>
        </is>
      </c>
      <c r="B30" s="4" t="inlineStr">
        <is>
          <t>Posterior Drawer Mechanics</t>
        </is>
      </c>
      <c r="C30" s="4" t="inlineStr">
        <is>
          <t>It is attributed to the start position, graft creep and unaddressed corner injury.</t>
        </is>
      </c>
    </row>
    <row r="31">
      <c r="A31" s="4" t="inlineStr">
        <is>
          <t>3.8.6</t>
        </is>
      </c>
      <c r="B31" s="4" t="inlineStr">
        <is>
          <t>Posterior Drawer Mechanics</t>
        </is>
      </c>
      <c r="C31" s="4" t="inlineStr">
        <is>
          <t>No measurement confirms the tibia was reduced at fixation.</t>
        </is>
      </c>
    </row>
    <row r="32">
      <c r="A32" s="4" t="inlineStr">
        <is>
          <t>3.8.7</t>
        </is>
      </c>
      <c r="B32" s="4" t="inlineStr">
        <is>
          <t>Gait Following PCL Injury</t>
        </is>
      </c>
      <c r="C32" s="4" t="inlineStr">
        <is>
          <t>The adaptation is why non operative management succeeds more often here.</t>
        </is>
      </c>
    </row>
    <row r="33">
      <c r="A33" s="4" t="inlineStr">
        <is>
          <t>3.8.7</t>
        </is>
      </c>
      <c r="B33" s="4" t="inlineStr">
        <is>
          <t>Gait Following PCL Injury</t>
        </is>
      </c>
      <c r="C33" s="4" t="inlineStr">
        <is>
          <t>The knee functions on a strong quadriceps and pays in compartment loading.</t>
        </is>
      </c>
    </row>
    <row r="34">
      <c r="A34" s="4" t="inlineStr">
        <is>
          <t>3.8.7</t>
        </is>
      </c>
      <c r="B34" s="4" t="inlineStr">
        <is>
          <t>Gait Following PCL Injury</t>
        </is>
      </c>
      <c r="C34" s="4" t="inlineStr">
        <is>
          <t>Reconstruction improves laxity without a clear effect on the degenerative natural history.</t>
        </is>
      </c>
    </row>
    <row r="35">
      <c r="A35" s="4" t="inlineStr">
        <is>
          <t>3.8.7</t>
        </is>
      </c>
      <c r="B35" s="4" t="inlineStr">
        <is>
          <t>Gait Following PCL Injury</t>
        </is>
      </c>
      <c r="C35" s="4" t="inlineStr">
        <is>
          <t>Varus with posterolateral laxity needs the alignment addressed.</t>
        </is>
      </c>
    </row>
    <row r="36">
      <c r="A36" s="4" t="inlineStr">
        <is>
          <t>3.8.7</t>
        </is>
      </c>
      <c r="B36" s="4" t="inlineStr">
        <is>
          <t>Gait Following PCL Injury</t>
        </is>
      </c>
      <c r="C36" s="4" t="inlineStr">
        <is>
          <t>No measurement predicts which deficient knee will degenerate.</t>
        </is>
      </c>
    </row>
    <row r="37">
      <c r="A37" s="4" t="inlineStr">
        <is>
          <t>3.8.8</t>
        </is>
      </c>
      <c r="B37" s="4" t="inlineStr">
        <is>
          <t>PCL Reconstruction Biomechanics</t>
        </is>
      </c>
      <c r="C37" s="4" t="inlineStr">
        <is>
          <t>This reconstruction is rarely performed alone in the multiligament knee.</t>
        </is>
      </c>
    </row>
    <row r="38">
      <c r="A38" s="4" t="inlineStr">
        <is>
          <t>3.8.8</t>
        </is>
      </c>
      <c r="B38" s="4" t="inlineStr">
        <is>
          <t>PCL Reconstruction Biomechanics</t>
        </is>
      </c>
      <c r="C38" s="4" t="inlineStr">
        <is>
          <t>Tunnel convergence is the specific mechanical risk.</t>
        </is>
      </c>
    </row>
    <row r="39">
      <c r="A39" s="4" t="inlineStr">
        <is>
          <t>3.8.8</t>
        </is>
      </c>
      <c r="B39" s="4" t="inlineStr">
        <is>
          <t>PCL Reconstruction Biomechanics</t>
        </is>
      </c>
      <c r="C39" s="4" t="inlineStr">
        <is>
          <t>Trajectories are planned in advance, which is geometry rather than preference.</t>
        </is>
      </c>
    </row>
    <row r="40">
      <c r="A40" s="4" t="inlineStr">
        <is>
          <t>3.8.8</t>
        </is>
      </c>
      <c r="B40" s="4" t="inlineStr">
        <is>
          <t>PCL Reconstruction Biomechanics</t>
        </is>
      </c>
      <c r="C40" s="4" t="inlineStr">
        <is>
          <t>Inlay fixation avoids the tibial tunnel altogether.</t>
        </is>
      </c>
    </row>
    <row r="41">
      <c r="A41" s="4" t="inlineStr">
        <is>
          <t>3.8.8</t>
        </is>
      </c>
      <c r="B41" s="4" t="inlineStr">
        <is>
          <t>PCL Reconstruction Biomechanics</t>
        </is>
      </c>
      <c r="C41" s="4" t="inlineStr">
        <is>
          <t>No measurement establishes the optimal sequence for a given combination.</t>
        </is>
      </c>
    </row>
    <row r="42">
      <c r="A42" s="4" t="inlineStr">
        <is>
          <t>3.8.9</t>
        </is>
      </c>
      <c r="B42" s="4" t="inlineStr">
        <is>
          <t>Double Bundle Reconstruction</t>
        </is>
      </c>
      <c r="C42" s="4" t="inlineStr">
        <is>
          <t>The knee that would benefit most has the least graft and tunnel space.</t>
        </is>
      </c>
    </row>
    <row r="43">
      <c r="A43" s="4" t="inlineStr">
        <is>
          <t>3.8.9</t>
        </is>
      </c>
      <c r="B43" s="4" t="inlineStr">
        <is>
          <t>Double Bundle Reconstruction</t>
        </is>
      </c>
      <c r="C43" s="4" t="inlineStr">
        <is>
          <t>That is a resource argument rather than a mechanical one.</t>
        </is>
      </c>
    </row>
    <row r="44">
      <c r="A44" s="4" t="inlineStr">
        <is>
          <t>3.8.9</t>
        </is>
      </c>
      <c r="B44" s="4" t="inlineStr">
        <is>
          <t>Double Bundle Reconstruction</t>
        </is>
      </c>
      <c r="C44" s="4" t="inlineStr">
        <is>
          <t>Bone bridge and tunnel convergence decide feasibility.</t>
        </is>
      </c>
    </row>
    <row r="45">
      <c r="A45" s="4" t="inlineStr">
        <is>
          <t>3.8.9</t>
        </is>
      </c>
      <c r="B45" s="4" t="inlineStr">
        <is>
          <t>Double Bundle Reconstruction</t>
        </is>
      </c>
      <c r="C45" s="4" t="inlineStr">
        <is>
          <t>Multiligament series do not separate bundle technique.</t>
        </is>
      </c>
    </row>
    <row r="46">
      <c r="A46" s="4" t="inlineStr">
        <is>
          <t>3.8.9</t>
        </is>
      </c>
      <c r="B46" s="4" t="inlineStr">
        <is>
          <t>Double Bundle Reconstruction</t>
        </is>
      </c>
      <c r="C46" s="4" t="inlineStr">
        <is>
          <t>The point at which added complexity stops being worth it is not established.</t>
        </is>
      </c>
    </row>
    <row r="47">
      <c r="A47" s="4" t="inlineStr">
        <is>
          <t>3.8.10</t>
        </is>
      </c>
      <c r="B47" s="4" t="inlineStr">
        <is>
          <t>Inlay Techniques</t>
        </is>
      </c>
      <c r="C47" s="4" t="inlineStr">
        <is>
          <t>The inlay is a tool for the compromised tibia.</t>
        </is>
      </c>
    </row>
    <row r="48">
      <c r="A48" s="4" t="inlineStr">
        <is>
          <t>3.8.10</t>
        </is>
      </c>
      <c r="B48" s="4" t="inlineStr">
        <is>
          <t>Inlay Techniques</t>
        </is>
      </c>
      <c r="C48" s="4" t="inlineStr">
        <is>
          <t>It is a planning decision made from imaging before theatre.</t>
        </is>
      </c>
    </row>
    <row r="49">
      <c r="A49" s="4" t="inlineStr">
        <is>
          <t>3.8.10</t>
        </is>
      </c>
      <c r="B49" s="4" t="inlineStr">
        <is>
          <t>Inlay Techniques</t>
        </is>
      </c>
      <c r="C49" s="4" t="inlineStr">
        <is>
          <t>The approach and position have to be set up for it.</t>
        </is>
      </c>
    </row>
    <row r="50">
      <c r="A50" s="4" t="inlineStr">
        <is>
          <t>3.8.10</t>
        </is>
      </c>
      <c r="B50" s="4" t="inlineStr">
        <is>
          <t>Inlay Techniques</t>
        </is>
      </c>
      <c r="C50" s="4" t="inlineStr">
        <is>
          <t>Both techniques are accepted as reasonable, so judgement decides.</t>
        </is>
      </c>
    </row>
    <row r="51">
      <c r="A51" s="4" t="inlineStr">
        <is>
          <t>3.8.10</t>
        </is>
      </c>
      <c r="B51" s="4" t="inlineStr">
        <is>
          <t>Inlay Techniques</t>
        </is>
      </c>
      <c r="C51" s="4" t="inlineStr">
        <is>
          <t>No measurement predicts which technique suits a given compromised tibia.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3.8.1-P1</t>
        </is>
      </c>
      <c r="B3" s="4" t="inlineStr">
        <is>
          <t>3.8.1</t>
        </is>
      </c>
      <c r="C3" s="4" t="inlineStr">
        <is>
          <t>mrcs</t>
        </is>
      </c>
      <c r="D3" s="4" t="inlineStr">
        <is>
          <t>Use stress radiography where the grade will decide the treatment.</t>
        </is>
      </c>
      <c r="E3" s="4" t="inlineStr"/>
      <c r="F3" s="4" t="inlineStr"/>
      <c r="G3" s="4" t="inlineStr"/>
    </row>
    <row r="4">
      <c r="A4" s="4" t="inlineStr">
        <is>
          <t>3.8.1-P2</t>
        </is>
      </c>
      <c r="B4" s="4" t="inlineStr">
        <is>
          <t>3.8.1</t>
        </is>
      </c>
      <c r="C4" s="4" t="inlineStr">
        <is>
          <t>mrcs</t>
        </is>
      </c>
      <c r="D4" s="4" t="inlineStr">
        <is>
          <t>Examine the posterolateral corner in every posterior cruciate injury.</t>
        </is>
      </c>
      <c r="E4" s="4" t="inlineStr"/>
      <c r="F4" s="4" t="inlineStr"/>
      <c r="G4" s="4" t="inlineStr"/>
    </row>
    <row r="5">
      <c r="A5" s="4" t="inlineStr">
        <is>
          <t>3.8.1-P3</t>
        </is>
      </c>
      <c r="B5" s="4" t="inlineStr">
        <is>
          <t>3.8.1</t>
        </is>
      </c>
      <c r="C5" s="4" t="inlineStr">
        <is>
          <t>mrcs</t>
        </is>
      </c>
      <c r="D5" s="4" t="inlineStr">
        <is>
          <t>Expect measured laxity to change over months through partial healing.</t>
        </is>
      </c>
      <c r="E5" s="4" t="inlineStr"/>
      <c r="F5" s="4" t="inlineStr"/>
      <c r="G5" s="4" t="inlineStr"/>
    </row>
    <row r="6">
      <c r="A6" s="4" t="inlineStr">
        <is>
          <t>3.8.1-P4</t>
        </is>
      </c>
      <c r="B6" s="4" t="inlineStr">
        <is>
          <t>3.8.1</t>
        </is>
      </c>
      <c r="C6" s="4" t="inlineStr">
        <is>
          <t>frcs</t>
        </is>
      </c>
      <c r="D6" s="4" t="inlineStr">
        <is>
          <t>Treat the position function as the one that explains the natural history.</t>
        </is>
      </c>
      <c r="E6" s="4" t="inlineStr"/>
      <c r="F6" s="4" t="inlineStr"/>
      <c r="G6" s="4" t="inlineStr"/>
    </row>
    <row r="7">
      <c r="A7" s="4" t="inlineStr">
        <is>
          <t>3.8.1-P5</t>
        </is>
      </c>
      <c r="B7" s="4" t="inlineStr">
        <is>
          <t>3.8.1</t>
        </is>
      </c>
      <c r="C7" s="4" t="inlineStr">
        <is>
          <t>frcs</t>
        </is>
      </c>
      <c r="D7" s="4" t="inlineStr">
        <is>
          <t>Measure with stress radiography where the grade decides the treatment.</t>
        </is>
      </c>
      <c r="E7" s="4" t="inlineStr"/>
      <c r="F7" s="4" t="inlineStr"/>
      <c r="G7" s="4" t="inlineStr"/>
    </row>
    <row r="8">
      <c r="A8" s="4" t="inlineStr">
        <is>
          <t>3.8.1-P6</t>
        </is>
      </c>
      <c r="B8" s="4" t="inlineStr">
        <is>
          <t>3.8.1</t>
        </is>
      </c>
      <c r="C8" s="4" t="inlineStr">
        <is>
          <t>frcs</t>
        </is>
      </c>
      <c r="D8" s="4" t="inlineStr">
        <is>
          <t>Assess alignment in any chronic posterolateral injury before planning reconstruction.</t>
        </is>
      </c>
      <c r="E8" s="4" t="inlineStr"/>
      <c r="F8" s="4" t="inlineStr"/>
      <c r="G8" s="4" t="inlineStr"/>
    </row>
    <row r="9">
      <c r="A9" s="4" t="inlineStr">
        <is>
          <t>3.8.1-P7</t>
        </is>
      </c>
      <c r="B9" s="4" t="inlineStr">
        <is>
          <t>3.8.1</t>
        </is>
      </c>
      <c r="C9" s="4" t="inlineStr">
        <is>
          <t>frcs</t>
        </is>
      </c>
      <c r="D9" s="4" t="inlineStr">
        <is>
          <t>Expect reconstruction to compete with a partly working ligament.</t>
        </is>
      </c>
      <c r="E9" s="4" t="inlineStr"/>
      <c r="F9" s="4" t="inlineStr"/>
      <c r="G9" s="4" t="inlineStr"/>
    </row>
    <row r="10">
      <c r="A10" s="4" t="inlineStr">
        <is>
          <t>3.8.2-P1</t>
        </is>
      </c>
      <c r="B10" s="4" t="inlineStr">
        <is>
          <t>3.8.2</t>
        </is>
      </c>
      <c r="C10" s="4" t="inlineStr">
        <is>
          <t>mrcs</t>
        </is>
      </c>
      <c r="D10" s="4" t="inlineStr">
        <is>
          <t>Grade one is a reduced but present step off, grade two is a flush plateau, and grade three is a plateau posterior to the condyle.</t>
        </is>
      </c>
      <c r="E10" s="4" t="inlineStr"/>
      <c r="F10" s="4" t="inlineStr"/>
      <c r="G10" s="4" t="inlineStr"/>
    </row>
    <row r="11">
      <c r="A11" s="4" t="inlineStr">
        <is>
          <t>3.8.2-P2</t>
        </is>
      </c>
      <c r="B11" s="4" t="inlineStr">
        <is>
          <t>3.8.2</t>
        </is>
      </c>
      <c r="C11" s="4" t="inlineStr">
        <is>
          <t>mrcs</t>
        </is>
      </c>
      <c r="D11" s="4" t="inlineStr">
        <is>
          <t>Grade by step off and record the flexion angle and the limb support used.</t>
        </is>
      </c>
      <c r="E11" s="4" t="inlineStr"/>
      <c r="F11" s="4" t="inlineStr"/>
      <c r="G11" s="4" t="inlineStr"/>
    </row>
    <row r="12">
      <c r="A12" s="4" t="inlineStr">
        <is>
          <t>3.8.2-P3</t>
        </is>
      </c>
      <c r="B12" s="4" t="inlineStr">
        <is>
          <t>3.8.2</t>
        </is>
      </c>
      <c r="C12" s="4" t="inlineStr">
        <is>
          <t>mrcs</t>
        </is>
      </c>
      <c r="D12" s="4" t="inlineStr">
        <is>
          <t>Use stress radiography where the grade decides the treatment.</t>
        </is>
      </c>
      <c r="E12" s="4" t="inlineStr"/>
      <c r="F12" s="4" t="inlineStr"/>
      <c r="G12" s="4" t="inlineStr"/>
    </row>
    <row r="13">
      <c r="A13" s="4" t="inlineStr">
        <is>
          <t>3.8.2-P4</t>
        </is>
      </c>
      <c r="B13" s="4" t="inlineStr">
        <is>
          <t>3.8.2</t>
        </is>
      </c>
      <c r="C13" s="4" t="inlineStr">
        <is>
          <t>mrcs</t>
        </is>
      </c>
      <c r="D13" s="4" t="inlineStr">
        <is>
          <t>Expect an unreliable arthrometer reading posteriorly and prefer radiography.</t>
        </is>
      </c>
      <c r="E13" s="4" t="inlineStr"/>
      <c r="F13" s="4" t="inlineStr"/>
      <c r="G13" s="4" t="inlineStr"/>
    </row>
    <row r="14">
      <c r="A14" s="4" t="inlineStr">
        <is>
          <t>3.8.2-P5</t>
        </is>
      </c>
      <c r="B14" s="4" t="inlineStr">
        <is>
          <t>3.8.2</t>
        </is>
      </c>
      <c r="C14" s="4" t="inlineStr">
        <is>
          <t>frcs</t>
        </is>
      </c>
      <c r="D14" s="4" t="inlineStr">
        <is>
          <t>Treat the grade as the decision variable and the method of obtaining it as the weak point.</t>
        </is>
      </c>
      <c r="E14" s="4" t="inlineStr"/>
      <c r="F14" s="4" t="inlineStr"/>
      <c r="G14" s="4" t="inlineStr"/>
    </row>
    <row r="15">
      <c r="A15" s="4" t="inlineStr">
        <is>
          <t>3.8.2-P6</t>
        </is>
      </c>
      <c r="B15" s="4" t="inlineStr">
        <is>
          <t>3.8.2</t>
        </is>
      </c>
      <c r="C15" s="4" t="inlineStr">
        <is>
          <t>frcs</t>
        </is>
      </c>
      <c r="D15" s="4" t="inlineStr">
        <is>
          <t>Read a large side to side difference as suggesting a combined injury.</t>
        </is>
      </c>
      <c r="E15" s="4" t="inlineStr"/>
      <c r="F15" s="4" t="inlineStr"/>
      <c r="G15" s="4" t="inlineStr"/>
    </row>
    <row r="16">
      <c r="A16" s="4" t="inlineStr">
        <is>
          <t>3.8.3-P1</t>
        </is>
      </c>
      <c r="B16" s="4" t="inlineStr">
        <is>
          <t>3.8.3</t>
        </is>
      </c>
      <c r="C16" s="4" t="inlineStr">
        <is>
          <t>mrcs</t>
        </is>
      </c>
      <c r="D16" s="4" t="inlineStr">
        <is>
          <t>Treat single bundle reconstruction as reproducing most of the function here.</t>
        </is>
      </c>
      <c r="E16" s="4" t="inlineStr"/>
      <c r="F16" s="4" t="inlineStr"/>
      <c r="G16" s="4" t="inlineStr"/>
    </row>
    <row r="17">
      <c r="A17" s="4" t="inlineStr">
        <is>
          <t>3.8.3-P2</t>
        </is>
      </c>
      <c r="B17" s="4" t="inlineStr">
        <is>
          <t>3.8.3</t>
        </is>
      </c>
      <c r="C17" s="4" t="inlineStr">
        <is>
          <t>mrcs</t>
        </is>
      </c>
      <c r="D17" s="4" t="inlineStr">
        <is>
          <t>Expect a partial rupture to spare one bundle and give angle specific findings.</t>
        </is>
      </c>
      <c r="E17" s="4" t="inlineStr"/>
      <c r="F17" s="4" t="inlineStr"/>
      <c r="G17" s="4" t="inlineStr"/>
    </row>
    <row r="18">
      <c r="A18" s="4" t="inlineStr">
        <is>
          <t>3.8.3-P3</t>
        </is>
      </c>
      <c r="B18" s="4" t="inlineStr">
        <is>
          <t>3.8.3</t>
        </is>
      </c>
      <c r="C18" s="4" t="inlineStr">
        <is>
          <t>frcs</t>
        </is>
      </c>
      <c r="D18" s="4" t="inlineStr">
        <is>
          <t>Treat the size asymmetry as the argument that settles the single against double bundle question differently from the anterior cruciate.</t>
        </is>
      </c>
      <c r="E18" s="4" t="inlineStr"/>
      <c r="F18" s="4" t="inlineStr"/>
      <c r="G18" s="4" t="inlineStr"/>
    </row>
    <row r="19">
      <c r="A19" s="4" t="inlineStr">
        <is>
          <t>3.8.3-P4</t>
        </is>
      </c>
      <c r="B19" s="4" t="inlineStr">
        <is>
          <t>3.8.3</t>
        </is>
      </c>
      <c r="C19" s="4" t="inlineStr">
        <is>
          <t>frcs</t>
        </is>
      </c>
      <c r="D19" s="4" t="inlineStr">
        <is>
          <t>Place the femoral tunnel within the anterolateral footprint in a single bundle reconstruction.</t>
        </is>
      </c>
      <c r="E19" s="4" t="inlineStr"/>
      <c r="F19" s="4" t="inlineStr"/>
      <c r="G19" s="4" t="inlineStr"/>
    </row>
    <row r="20">
      <c r="A20" s="4" t="inlineStr">
        <is>
          <t>3.8.3-P5</t>
        </is>
      </c>
      <c r="B20" s="4" t="inlineStr">
        <is>
          <t>3.8.3</t>
        </is>
      </c>
      <c r="C20" s="4" t="inlineStr">
        <is>
          <t>frcs</t>
        </is>
      </c>
      <c r="D20" s="4" t="inlineStr">
        <is>
          <t>Treat the cadaveric advantage of double bundle as real and the clinical advantage as unproven.</t>
        </is>
      </c>
      <c r="E20" s="4" t="inlineStr"/>
      <c r="F20" s="4" t="inlineStr"/>
      <c r="G20" s="4" t="inlineStr"/>
    </row>
    <row r="21">
      <c r="A21" s="4" t="inlineStr">
        <is>
          <t>3.8.3-P6</t>
        </is>
      </c>
      <c r="B21" s="4" t="inlineStr">
        <is>
          <t>3.8.3</t>
        </is>
      </c>
      <c r="C21" s="4" t="inlineStr">
        <is>
          <t>frcs</t>
        </is>
      </c>
      <c r="D21" s="4" t="inlineStr">
        <is>
          <t>Measure the result with stress radiography rather than by hand.</t>
        </is>
      </c>
      <c r="E21" s="4" t="inlineStr"/>
      <c r="F21" s="4" t="inlineStr"/>
      <c r="G21" s="4" t="inlineStr"/>
    </row>
    <row r="22">
      <c r="A22" s="4" t="inlineStr">
        <is>
          <t>3.8.4-P1</t>
        </is>
      </c>
      <c r="B22" s="4" t="inlineStr">
        <is>
          <t>3.8.4</t>
        </is>
      </c>
      <c r="C22" s="4" t="inlineStr">
        <is>
          <t>mrcs</t>
        </is>
      </c>
      <c r="D22" s="4" t="inlineStr">
        <is>
          <t>Place a single bundle graft in the anterolateral footprint, since that is the dominant restraint.</t>
        </is>
      </c>
      <c r="E22" s="4" t="inlineStr"/>
      <c r="F22" s="4" t="inlineStr"/>
      <c r="G22" s="4" t="inlineStr"/>
    </row>
    <row r="23">
      <c r="A23" s="4" t="inlineStr">
        <is>
          <t>3.8.4-P2</t>
        </is>
      </c>
      <c r="B23" s="4" t="inlineStr">
        <is>
          <t>3.8.4</t>
        </is>
      </c>
      <c r="C23" s="4" t="inlineStr">
        <is>
          <t>mrcs</t>
        </is>
      </c>
      <c r="D23" s="4" t="inlineStr">
        <is>
          <t>Read apportionment figures with the meniscofemoral handling in mind.</t>
        </is>
      </c>
      <c r="E23" s="4" t="inlineStr"/>
      <c r="F23" s="4" t="inlineStr"/>
      <c r="G23" s="4" t="inlineStr"/>
    </row>
    <row r="24">
      <c r="A24" s="4" t="inlineStr">
        <is>
          <t>3.8.4-P3</t>
        </is>
      </c>
      <c r="B24" s="4" t="inlineStr">
        <is>
          <t>3.8.4</t>
        </is>
      </c>
      <c r="C24" s="4" t="inlineStr">
        <is>
          <t>frcs</t>
        </is>
      </c>
      <c r="D24" s="4" t="inlineStr">
        <is>
          <t>Treat this bundle's footprint as the target and the tensioning angle as the decision that goes with it.</t>
        </is>
      </c>
      <c r="E24" s="4" t="inlineStr"/>
      <c r="F24" s="4" t="inlineStr"/>
      <c r="G24" s="4" t="inlineStr"/>
    </row>
    <row r="25">
      <c r="A25" s="4" t="inlineStr">
        <is>
          <t>3.8.4-P4</t>
        </is>
      </c>
      <c r="B25" s="4" t="inlineStr">
        <is>
          <t>3.8.4</t>
        </is>
      </c>
      <c r="C25" s="4" t="inlineStr">
        <is>
          <t>frcs</t>
        </is>
      </c>
      <c r="D25" s="4" t="inlineStr">
        <is>
          <t>Place the tunnel in the anterolateral footprint and confirm it on imaging.</t>
        </is>
      </c>
      <c r="E25" s="4" t="inlineStr"/>
      <c r="F25" s="4" t="inlineStr"/>
      <c r="G25" s="4" t="inlineStr"/>
    </row>
    <row r="26">
      <c r="A26" s="4" t="inlineStr">
        <is>
          <t>3.8.4-P5</t>
        </is>
      </c>
      <c r="B26" s="4" t="inlineStr">
        <is>
          <t>3.8.4</t>
        </is>
      </c>
      <c r="C26" s="4" t="inlineStr">
        <is>
          <t>frcs</t>
        </is>
      </c>
      <c r="D26" s="4" t="inlineStr">
        <is>
          <t>Measure the result with stress radiography.</t>
        </is>
      </c>
      <c r="E26" s="4" t="inlineStr"/>
      <c r="F26" s="4" t="inlineStr"/>
      <c r="G26" s="4" t="inlineStr"/>
    </row>
    <row r="27">
      <c r="A27" s="4" t="inlineStr">
        <is>
          <t>3.8.5-P1</t>
        </is>
      </c>
      <c r="B27" s="4" t="inlineStr">
        <is>
          <t>3.8.5</t>
        </is>
      </c>
      <c r="C27" s="4" t="inlineStr">
        <is>
          <t>mrcs</t>
        </is>
      </c>
      <c r="D27" s="4" t="inlineStr">
        <is>
          <t>Expect this bundle's marginal contribution to be smaller than its size suggests.</t>
        </is>
      </c>
      <c r="E27" s="4" t="inlineStr"/>
      <c r="F27" s="4" t="inlineStr"/>
      <c r="G27" s="4" t="inlineStr"/>
    </row>
    <row r="28">
      <c r="A28" s="4" t="inlineStr">
        <is>
          <t>3.8.5-P2</t>
        </is>
      </c>
      <c r="B28" s="4" t="inlineStr">
        <is>
          <t>3.8.5</t>
        </is>
      </c>
      <c r="C28" s="4" t="inlineStr">
        <is>
          <t>mrcs</t>
        </is>
      </c>
      <c r="D28" s="4" t="inlineStr">
        <is>
          <t>Read the double bundle gain as real, measurable and small in an otherwise intact knee.</t>
        </is>
      </c>
      <c r="E28" s="4" t="inlineStr"/>
      <c r="F28" s="4" t="inlineStr"/>
      <c r="G28" s="4" t="inlineStr"/>
    </row>
    <row r="29">
      <c r="A29" s="4" t="inlineStr">
        <is>
          <t>3.8.5-P3</t>
        </is>
      </c>
      <c r="B29" s="4" t="inlineStr">
        <is>
          <t>3.8.5</t>
        </is>
      </c>
      <c r="C29" s="4" t="inlineStr">
        <is>
          <t>frcs</t>
        </is>
      </c>
      <c r="D29" s="4" t="inlineStr">
        <is>
          <t>Treat this bundle as the content of the double bundle question and treat that question as settled in the same unsatisfying way as its anterior counterpart: a cadaveric advantage without a demonstrated clinical one.</t>
        </is>
      </c>
      <c r="E29" s="4" t="inlineStr"/>
      <c r="F29" s="4" t="inlineStr"/>
      <c r="G29" s="4" t="inlineStr"/>
    </row>
    <row r="30">
      <c r="A30" s="4" t="inlineStr">
        <is>
          <t>3.8.5-P4</t>
        </is>
      </c>
      <c r="B30" s="4" t="inlineStr">
        <is>
          <t>3.8.5</t>
        </is>
      </c>
      <c r="C30" s="4" t="inlineStr">
        <is>
          <t>frcs</t>
        </is>
      </c>
      <c r="D30" s="4" t="inlineStr">
        <is>
          <t>Consider double bundle in a combined injury where the corner and capsule are deficient.</t>
        </is>
      </c>
      <c r="E30" s="4" t="inlineStr"/>
      <c r="F30" s="4" t="inlineStr"/>
      <c r="G30" s="4" t="inlineStr"/>
    </row>
    <row r="31">
      <c r="A31" s="4" t="inlineStr">
        <is>
          <t>3.8.5-P5</t>
        </is>
      </c>
      <c r="B31" s="4" t="inlineStr">
        <is>
          <t>3.8.5</t>
        </is>
      </c>
      <c r="C31" s="4" t="inlineStr">
        <is>
          <t>frcs</t>
        </is>
      </c>
      <c r="D31" s="4" t="inlineStr">
        <is>
          <t>Treat it as selected rather than default, on the current evidence.</t>
        </is>
      </c>
      <c r="E31" s="4" t="inlineStr"/>
      <c r="F31" s="4" t="inlineStr"/>
      <c r="G31" s="4" t="inlineStr"/>
    </row>
    <row r="32">
      <c r="A32" s="4" t="inlineStr">
        <is>
          <t>3.8.5-P6</t>
        </is>
      </c>
      <c r="B32" s="4" t="inlineStr">
        <is>
          <t>3.8.5</t>
        </is>
      </c>
      <c r="C32" s="4" t="inlineStr">
        <is>
          <t>frcs</t>
        </is>
      </c>
      <c r="D32" s="4" t="inlineStr">
        <is>
          <t>State that the subgroup with the strongest mechanical case has no trial evidence.</t>
        </is>
      </c>
      <c r="E32" s="4" t="inlineStr"/>
      <c r="F32" s="4" t="inlineStr"/>
      <c r="G32" s="4" t="inlineStr"/>
    </row>
    <row r="33">
      <c r="A33" s="4" t="inlineStr">
        <is>
          <t>3.8.6-P1</t>
        </is>
      </c>
      <c r="B33" s="4" t="inlineStr">
        <is>
          <t>3.8.6</t>
        </is>
      </c>
      <c r="C33" s="4" t="inlineStr">
        <is>
          <t>mrcs</t>
        </is>
      </c>
      <c r="D33" s="4" t="inlineStr">
        <is>
          <t>Prefer stress radiography to arthrometry for posterior laxity.</t>
        </is>
      </c>
      <c r="E33" s="4" t="inlineStr"/>
      <c r="F33" s="4" t="inlineStr"/>
      <c r="G33" s="4" t="inlineStr"/>
    </row>
    <row r="34">
      <c r="A34" s="4" t="inlineStr">
        <is>
          <t>3.8.6-P2</t>
        </is>
      </c>
      <c r="B34" s="4" t="inlineStr">
        <is>
          <t>3.8.6</t>
        </is>
      </c>
      <c r="C34" s="4" t="inlineStr">
        <is>
          <t>mrcs</t>
        </is>
      </c>
      <c r="D34" s="4" t="inlineStr">
        <is>
          <t>Use the quadriceps active test when the sag is uncertain.</t>
        </is>
      </c>
      <c r="E34" s="4" t="inlineStr"/>
      <c r="F34" s="4" t="inlineStr"/>
      <c r="G34" s="4" t="inlineStr"/>
    </row>
    <row r="35">
      <c r="A35" s="4" t="inlineStr">
        <is>
          <t>3.8.6-P3</t>
        </is>
      </c>
      <c r="B35" s="4" t="inlineStr">
        <is>
          <t>3.8.6</t>
        </is>
      </c>
      <c r="C35" s="4" t="inlineStr">
        <is>
          <t>frcs</t>
        </is>
      </c>
      <c r="D35" s="4" t="inlineStr">
        <is>
          <t>Treat the starting position as the thing to control, in examination and in surgery.</t>
        </is>
      </c>
      <c r="E35" s="4" t="inlineStr"/>
      <c r="F35" s="4" t="inlineStr"/>
      <c r="G35" s="4" t="inlineStr"/>
    </row>
    <row r="36">
      <c r="A36" s="4" t="inlineStr">
        <is>
          <t>3.8.6-P4</t>
        </is>
      </c>
      <c r="B36" s="4" t="inlineStr">
        <is>
          <t>3.8.6</t>
        </is>
      </c>
      <c r="C36" s="4" t="inlineStr">
        <is>
          <t>frcs</t>
        </is>
      </c>
      <c r="D36" s="4" t="inlineStr">
        <is>
          <t>Check the step off after fixation and before closure.</t>
        </is>
      </c>
      <c r="E36" s="4" t="inlineStr"/>
      <c r="F36" s="4" t="inlineStr"/>
      <c r="G36" s="4" t="inlineStr"/>
    </row>
    <row r="37">
      <c r="A37" s="4" t="inlineStr">
        <is>
          <t>3.8.6-P5</t>
        </is>
      </c>
      <c r="B37" s="4" t="inlineStr">
        <is>
          <t>3.8.6</t>
        </is>
      </c>
      <c r="C37" s="4" t="inlineStr">
        <is>
          <t>frcs</t>
        </is>
      </c>
      <c r="D37" s="4" t="inlineStr">
        <is>
          <t>Measure the result with stress radiography rather than by hand.</t>
        </is>
      </c>
      <c r="E37" s="4" t="inlineStr"/>
      <c r="F37" s="4" t="inlineStr"/>
      <c r="G37" s="4" t="inlineStr"/>
    </row>
    <row r="38">
      <c r="A38" s="4" t="inlineStr">
        <is>
          <t>3.8.6-P6</t>
        </is>
      </c>
      <c r="B38" s="4" t="inlineStr">
        <is>
          <t>3.8.6</t>
        </is>
      </c>
      <c r="C38" s="4" t="inlineStr">
        <is>
          <t>frcs</t>
        </is>
      </c>
      <c r="D38" s="4" t="inlineStr">
        <is>
          <t>Expect some residual laxity and attribute it before revising.</t>
        </is>
      </c>
      <c r="E38" s="4" t="inlineStr"/>
      <c r="F38" s="4" t="inlineStr"/>
      <c r="G38" s="4" t="inlineStr"/>
    </row>
    <row r="39">
      <c r="A39" s="4" t="inlineStr">
        <is>
          <t>3.8.7-P1</t>
        </is>
      </c>
      <c r="B39" s="4" t="inlineStr">
        <is>
          <t>3.8.7</t>
        </is>
      </c>
      <c r="C39" s="4" t="inlineStr">
        <is>
          <t>mrcs</t>
        </is>
      </c>
      <c r="D39" s="4" t="inlineStr">
        <is>
          <t>Grade of laxity and whether the corner is involved.</t>
        </is>
      </c>
      <c r="E39" s="4" t="inlineStr"/>
      <c r="F39" s="4" t="inlineStr"/>
      <c r="G39" s="4" t="inlineStr"/>
    </row>
    <row r="40">
      <c r="A40" s="4" t="inlineStr">
        <is>
          <t>3.8.7-P2</t>
        </is>
      </c>
      <c r="B40" s="4" t="inlineStr">
        <is>
          <t>3.8.7</t>
        </is>
      </c>
      <c r="C40" s="4" t="inlineStr">
        <is>
          <t>mrcs</t>
        </is>
      </c>
      <c r="D40" s="4" t="inlineStr">
        <is>
          <t>Expect the strategy to work near extension and less in deeper flexion.</t>
        </is>
      </c>
      <c r="E40" s="4" t="inlineStr"/>
      <c r="F40" s="4" t="inlineStr"/>
      <c r="G40" s="4" t="inlineStr"/>
    </row>
    <row r="41">
      <c r="A41" s="4" t="inlineStr">
        <is>
          <t>3.8.7-P3</t>
        </is>
      </c>
      <c r="B41" s="4" t="inlineStr">
        <is>
          <t>3.8.7</t>
        </is>
      </c>
      <c r="C41" s="4" t="inlineStr">
        <is>
          <t>frcs</t>
        </is>
      </c>
      <c r="D41" s="4" t="inlineStr">
        <is>
          <t>Treat the adaptation as the reason non operative management succeeds here more often than anteriorly, and as the reason the natural history is still unfavourable in the long term.</t>
        </is>
      </c>
      <c r="E41" s="4" t="inlineStr"/>
      <c r="F41" s="4" t="inlineStr"/>
      <c r="G41" s="4" t="inlineStr"/>
    </row>
    <row r="42">
      <c r="A42" s="4" t="inlineStr">
        <is>
          <t>3.8.7-P4</t>
        </is>
      </c>
      <c r="B42" s="4" t="inlineStr">
        <is>
          <t>3.8.7</t>
        </is>
      </c>
      <c r="C42" s="4" t="inlineStr">
        <is>
          <t>frcs</t>
        </is>
      </c>
      <c r="D42" s="4" t="inlineStr">
        <is>
          <t>Grade and corner involvement, which decide whether non operative management is viable.</t>
        </is>
      </c>
      <c r="E42" s="4" t="inlineStr"/>
      <c r="F42" s="4" t="inlineStr"/>
      <c r="G42" s="4" t="inlineStr"/>
    </row>
    <row r="43">
      <c r="A43" s="4" t="inlineStr">
        <is>
          <t>3.8.7-P5</t>
        </is>
      </c>
      <c r="B43" s="4" t="inlineStr">
        <is>
          <t>3.8.7</t>
        </is>
      </c>
      <c r="C43" s="4" t="inlineStr">
        <is>
          <t>frcs</t>
        </is>
      </c>
      <c r="D43" s="4" t="inlineStr">
        <is>
          <t>Address alignment in a varus limb with posterolateral laxity.</t>
        </is>
      </c>
      <c r="E43" s="4" t="inlineStr"/>
      <c r="F43" s="4" t="inlineStr"/>
      <c r="G43" s="4" t="inlineStr"/>
    </row>
    <row r="44">
      <c r="A44" s="4" t="inlineStr">
        <is>
          <t>3.8.7-P6</t>
        </is>
      </c>
      <c r="B44" s="4" t="inlineStr">
        <is>
          <t>3.8.7</t>
        </is>
      </c>
      <c r="C44" s="4" t="inlineStr">
        <is>
          <t>frcs</t>
        </is>
      </c>
      <c r="D44" s="4" t="inlineStr">
        <is>
          <t>State that no measurement predicts which knee will degenerate.</t>
        </is>
      </c>
      <c r="E44" s="4" t="inlineStr"/>
      <c r="F44" s="4" t="inlineStr"/>
      <c r="G44" s="4" t="inlineStr"/>
    </row>
    <row r="45">
      <c r="A45" s="4" t="inlineStr">
        <is>
          <t>3.8.8-P1</t>
        </is>
      </c>
      <c r="B45" s="4" t="inlineStr">
        <is>
          <t>3.8.8</t>
        </is>
      </c>
      <c r="C45" s="4" t="inlineStr">
        <is>
          <t>medical_student</t>
        </is>
      </c>
      <c r="D45" s="4" t="inlineStr">
        <is>
          <t>- The tibia must be pulled out of its sag before fixation.</t>
        </is>
      </c>
      <c r="E45" s="4" t="inlineStr"/>
      <c r="F45" s="4" t="inlineStr"/>
      <c r="G45" s="4" t="inlineStr"/>
    </row>
    <row r="46">
      <c r="A46" s="4" t="inlineStr">
        <is>
          <t>3.8.8-P2</t>
        </is>
      </c>
      <c r="B46" s="4" t="inlineStr">
        <is>
          <t>3.8.8</t>
        </is>
      </c>
      <c r="C46" s="4" t="inlineStr">
        <is>
          <t>mrcs</t>
        </is>
      </c>
      <c r="D46" s="4" t="inlineStr">
        <is>
          <t>Expect the tibial side to be the weaker end and choose fixation accordingly.</t>
        </is>
      </c>
      <c r="E46" s="4" t="inlineStr"/>
      <c r="F46" s="4" t="inlineStr"/>
      <c r="G46" s="4" t="inlineStr"/>
    </row>
    <row r="47">
      <c r="A47" s="4" t="inlineStr">
        <is>
          <t>3.8.8-P3</t>
        </is>
      </c>
      <c r="B47" s="4" t="inlineStr">
        <is>
          <t>3.8.8</t>
        </is>
      </c>
      <c r="C47" s="4" t="inlineStr">
        <is>
          <t>frcs</t>
        </is>
      </c>
      <c r="D47" s="4" t="inlineStr">
        <is>
          <t>Treat the reconstruction as a construct in an environment, as anteriorly, and note that the environment here is dominated by the posterolateral corner and by alignment.</t>
        </is>
      </c>
      <c r="E47" s="4" t="inlineStr"/>
      <c r="F47" s="4" t="inlineStr"/>
      <c r="G47" s="4" t="inlineStr"/>
    </row>
    <row r="48">
      <c r="A48" s="4" t="inlineStr">
        <is>
          <t>3.8.8-P4</t>
        </is>
      </c>
      <c r="B48" s="4" t="inlineStr">
        <is>
          <t>3.8.8</t>
        </is>
      </c>
      <c r="C48" s="4" t="inlineStr">
        <is>
          <t>frcs</t>
        </is>
      </c>
      <c r="D48" s="4" t="inlineStr">
        <is>
          <t>Assess and reconstruct the posterolateral corner in the same sitting where it is injured.</t>
        </is>
      </c>
      <c r="E48" s="4" t="inlineStr"/>
      <c r="F48" s="4" t="inlineStr"/>
      <c r="G48" s="4" t="inlineStr"/>
    </row>
    <row r="49">
      <c r="A49" s="4" t="inlineStr">
        <is>
          <t>3.8.8-P5</t>
        </is>
      </c>
      <c r="B49" s="4" t="inlineStr">
        <is>
          <t>3.8.8</t>
        </is>
      </c>
      <c r="C49" s="4" t="inlineStr">
        <is>
          <t>frcs</t>
        </is>
      </c>
      <c r="D49" s="4" t="inlineStr">
        <is>
          <t>Correct varus alignment where it would load the reconstruction.</t>
        </is>
      </c>
      <c r="E49" s="4" t="inlineStr"/>
      <c r="F49" s="4" t="inlineStr"/>
      <c r="G49" s="4" t="inlineStr"/>
    </row>
    <row r="50">
      <c r="A50" s="4" t="inlineStr">
        <is>
          <t>3.8.8-P6</t>
        </is>
      </c>
      <c r="B50" s="4" t="inlineStr">
        <is>
          <t>3.8.8</t>
        </is>
      </c>
      <c r="C50" s="4" t="inlineStr">
        <is>
          <t>frcs</t>
        </is>
      </c>
      <c r="D50" s="4" t="inlineStr">
        <is>
          <t>Measure the result with stress radiography rather than by hand.</t>
        </is>
      </c>
      <c r="E50" s="4" t="inlineStr"/>
      <c r="F50" s="4" t="inlineStr"/>
      <c r="G50" s="4" t="inlineStr"/>
    </row>
    <row r="51">
      <c r="A51" s="4" t="inlineStr">
        <is>
          <t>3.8.8-P7</t>
        </is>
      </c>
      <c r="B51" s="4" t="inlineStr">
        <is>
          <t>3.8.8</t>
        </is>
      </c>
      <c r="C51" s="4" t="inlineStr">
        <is>
          <t>fellowship</t>
        </is>
      </c>
      <c r="D51" s="4" t="inlineStr">
        <is>
          <t>Plan tunnel trajectories in advance to avoid convergence in a multiligament knee.</t>
        </is>
      </c>
      <c r="E51" s="4" t="inlineStr"/>
      <c r="F51" s="4" t="inlineStr"/>
      <c r="G51" s="4" t="inlineStr"/>
    </row>
    <row r="52">
      <c r="A52" s="4" t="inlineStr">
        <is>
          <t>3.8.8-P8</t>
        </is>
      </c>
      <c r="B52" s="4" t="inlineStr">
        <is>
          <t>3.8.8</t>
        </is>
      </c>
      <c r="C52" s="4" t="inlineStr">
        <is>
          <t>fellowship</t>
        </is>
      </c>
      <c r="D52" s="4" t="inlineStr">
        <is>
          <t>Consider inlay fixation where a tibial tunnel would converge with another.</t>
        </is>
      </c>
      <c r="E52" s="4" t="inlineStr"/>
      <c r="F52" s="4" t="inlineStr"/>
      <c r="G52" s="4" t="inlineStr"/>
    </row>
    <row r="53">
      <c r="A53" s="4" t="inlineStr">
        <is>
          <t>3.8.8-P9</t>
        </is>
      </c>
      <c r="B53" s="4" t="inlineStr">
        <is>
          <t>3.8.8</t>
        </is>
      </c>
      <c r="C53" s="4" t="inlineStr">
        <is>
          <t>fellowship</t>
        </is>
      </c>
      <c r="D53" s="4" t="inlineStr">
        <is>
          <t>State that the optimal sequence for a given combination is not established.</t>
        </is>
      </c>
      <c r="E53" s="4" t="inlineStr"/>
      <c r="F53" s="4" t="inlineStr"/>
      <c r="G53" s="4" t="inlineStr"/>
    </row>
    <row r="54">
      <c r="A54" s="4" t="inlineStr">
        <is>
          <t>3.8.9-P1</t>
        </is>
      </c>
      <c r="B54" s="4" t="inlineStr">
        <is>
          <t>3.8.9</t>
        </is>
      </c>
      <c r="C54" s="4" t="inlineStr">
        <is>
          <t>mrcs</t>
        </is>
      </c>
      <c r="D54" s="4" t="inlineStr">
        <is>
          <t>Expect the cadaveric difference to be largest near extension.</t>
        </is>
      </c>
      <c r="E54" s="4" t="inlineStr"/>
      <c r="F54" s="4" t="inlineStr"/>
      <c r="G54" s="4" t="inlineStr"/>
    </row>
    <row r="55">
      <c r="A55" s="4" t="inlineStr">
        <is>
          <t>3.8.9-P2</t>
        </is>
      </c>
      <c r="B55" s="4" t="inlineStr">
        <is>
          <t>3.8.9</t>
        </is>
      </c>
      <c r="C55" s="4" t="inlineStr">
        <is>
          <t>frcs</t>
        </is>
      </c>
      <c r="D55" s="4" t="inlineStr">
        <is>
          <t>Treat this as a decision about marginal mechanical gain against definite added complexity, in an operation whose results are already less reliable than its anterior counterpart.</t>
        </is>
      </c>
      <c r="E55" s="4" t="inlineStr"/>
      <c r="F55" s="4" t="inlineStr"/>
      <c r="G55" s="4" t="inlineStr"/>
    </row>
    <row r="56">
      <c r="A56" s="4" t="inlineStr">
        <is>
          <t>3.8.9-P3</t>
        </is>
      </c>
      <c r="B56" s="4" t="inlineStr">
        <is>
          <t>3.8.9</t>
        </is>
      </c>
      <c r="C56" s="4" t="inlineStr">
        <is>
          <t>frcs</t>
        </is>
      </c>
      <c r="D56" s="4" t="inlineStr">
        <is>
          <t>Decide selectively rather than adopting either technique as a default.</t>
        </is>
      </c>
      <c r="E56" s="4" t="inlineStr"/>
      <c r="F56" s="4" t="inlineStr"/>
      <c r="G56" s="4" t="inlineStr"/>
    </row>
    <row r="57">
      <c r="A57" s="4" t="inlineStr">
        <is>
          <t>3.8.9-P4</t>
        </is>
      </c>
      <c r="B57" s="4" t="inlineStr">
        <is>
          <t>3.8.9</t>
        </is>
      </c>
      <c r="C57" s="4" t="inlineStr">
        <is>
          <t>frcs</t>
        </is>
      </c>
      <c r="D57" s="4" t="inlineStr">
        <is>
          <t>Prefer two bundles where the capsule and corner are deficient and graft allows.</t>
        </is>
      </c>
      <c r="E57" s="4" t="inlineStr"/>
      <c r="F57" s="4" t="inlineStr"/>
      <c r="G57" s="4" t="inlineStr"/>
    </row>
    <row r="58">
      <c r="A58" s="4" t="inlineStr">
        <is>
          <t>3.8.9-P5</t>
        </is>
      </c>
      <c r="B58" s="4" t="inlineStr">
        <is>
          <t>3.8.9</t>
        </is>
      </c>
      <c r="C58" s="4" t="inlineStr">
        <is>
          <t>fellowship</t>
        </is>
      </c>
      <c r="D58" s="4" t="inlineStr">
        <is>
          <t>Recognise the constraint as a resource one rather than a mechanical one.</t>
        </is>
      </c>
      <c r="E58" s="4" t="inlineStr"/>
      <c r="F58" s="4" t="inlineStr"/>
      <c r="G58" s="4" t="inlineStr"/>
    </row>
    <row r="59">
      <c r="A59" s="4" t="inlineStr">
        <is>
          <t>3.8.9-P6</t>
        </is>
      </c>
      <c r="B59" s="4" t="inlineStr">
        <is>
          <t>3.8.9</t>
        </is>
      </c>
      <c r="C59" s="4" t="inlineStr">
        <is>
          <t>fellowship</t>
        </is>
      </c>
      <c r="D59" s="4" t="inlineStr">
        <is>
          <t>Plan tunnel trajectories and bone bridge before committing to two bundles.</t>
        </is>
      </c>
      <c r="E59" s="4" t="inlineStr"/>
      <c r="F59" s="4" t="inlineStr"/>
      <c r="G59" s="4" t="inlineStr"/>
    </row>
    <row r="60">
      <c r="A60" s="4" t="inlineStr">
        <is>
          <t>3.8.9-P7</t>
        </is>
      </c>
      <c r="B60" s="4" t="inlineStr">
        <is>
          <t>3.8.9</t>
        </is>
      </c>
      <c r="C60" s="4" t="inlineStr">
        <is>
          <t>fellowship</t>
        </is>
      </c>
      <c r="D60" s="4" t="inlineStr">
        <is>
          <t>Consider staging where graft and time are both short.</t>
        </is>
      </c>
      <c r="E60" s="4" t="inlineStr"/>
      <c r="F60" s="4" t="inlineStr"/>
      <c r="G60" s="4" t="inlineStr"/>
    </row>
    <row r="61">
      <c r="A61" s="4" t="inlineStr">
        <is>
          <t>3.8.9-P8</t>
        </is>
      </c>
      <c r="B61" s="4" t="inlineStr">
        <is>
          <t>3.8.9</t>
        </is>
      </c>
      <c r="C61" s="4" t="inlineStr">
        <is>
          <t>fellowship</t>
        </is>
      </c>
      <c r="D61" s="4" t="inlineStr">
        <is>
          <t>Accept that the trade off point is not established.</t>
        </is>
      </c>
      <c r="E61" s="4" t="inlineStr"/>
      <c r="F61" s="4" t="inlineStr"/>
      <c r="G61" s="4" t="inlineStr"/>
    </row>
    <row r="62">
      <c r="A62" s="4" t="inlineStr">
        <is>
          <t>3.8.10-P1</t>
        </is>
      </c>
      <c r="B62" s="4" t="inlineStr">
        <is>
          <t>3.8.10</t>
        </is>
      </c>
      <c r="C62" s="4" t="inlineStr">
        <is>
          <t>mrcs</t>
        </is>
      </c>
      <c r="D62" s="4" t="inlineStr">
        <is>
          <t>Expect less attenuation mechanically and similar outcomes clinically.</t>
        </is>
      </c>
      <c r="E62" s="4" t="inlineStr"/>
      <c r="F62" s="4" t="inlineStr"/>
      <c r="G62" s="4" t="inlineStr"/>
    </row>
    <row r="63">
      <c r="A63" s="4" t="inlineStr">
        <is>
          <t>3.8.10-P2</t>
        </is>
      </c>
      <c r="B63" s="4" t="inlineStr">
        <is>
          <t>3.8.10</t>
        </is>
      </c>
      <c r="C63" s="4" t="inlineStr">
        <is>
          <t>frcs</t>
        </is>
      </c>
      <c r="D63" s="4" t="inlineStr">
        <is>
          <t>Treat the choice as a construct advantage traded against an operative cost, and note that the trade has shifted as arthroscopic techniques have developed.</t>
        </is>
      </c>
      <c r="E63" s="4" t="inlineStr"/>
      <c r="F63" s="4" t="inlineStr"/>
      <c r="G63" s="4" t="inlineStr"/>
    </row>
    <row r="64">
      <c r="A64" s="4" t="inlineStr">
        <is>
          <t>3.8.10-P3</t>
        </is>
      </c>
      <c r="B64" s="4" t="inlineStr">
        <is>
          <t>3.8.10</t>
        </is>
      </c>
      <c r="C64" s="4" t="inlineStr">
        <is>
          <t>frcs</t>
        </is>
      </c>
      <c r="D64" s="4" t="inlineStr">
        <is>
          <t>Consider inlay in revision where a previous tibial tunnel is wide or malpositioned.</t>
        </is>
      </c>
      <c r="E64" s="4" t="inlineStr"/>
      <c r="F64" s="4" t="inlineStr"/>
      <c r="G64" s="4" t="inlineStr"/>
    </row>
    <row r="65">
      <c r="A65" s="4" t="inlineStr">
        <is>
          <t>3.8.10-P4</t>
        </is>
      </c>
      <c r="B65" s="4" t="inlineStr">
        <is>
          <t>3.8.10</t>
        </is>
      </c>
      <c r="C65" s="4" t="inlineStr">
        <is>
          <t>frcs</t>
        </is>
      </c>
      <c r="D65" s="4" t="inlineStr">
        <is>
          <t>Consider it in a multiligament knee to avoid tunnel convergence.</t>
        </is>
      </c>
      <c r="E65" s="4" t="inlineStr"/>
      <c r="F65" s="4" t="inlineStr"/>
      <c r="G65" s="4" t="inlineStr"/>
    </row>
    <row r="66">
      <c r="A66" s="4" t="inlineStr">
        <is>
          <t>3.8.10-P5</t>
        </is>
      </c>
      <c r="B66" s="4" t="inlineStr">
        <is>
          <t>3.8.10</t>
        </is>
      </c>
      <c r="C66" s="4" t="inlineStr">
        <is>
          <t>frcs</t>
        </is>
      </c>
      <c r="D66" s="4" t="inlineStr">
        <is>
          <t>Plan the approach and position from the imaging rather than from habit.</t>
        </is>
      </c>
      <c r="E66" s="4" t="inlineStr"/>
      <c r="F66" s="4" t="inlineStr"/>
      <c r="G66" s="4" t="inlineStr"/>
    </row>
    <row r="67">
      <c r="A67" s="4" t="inlineStr">
        <is>
          <t>3.8.10-P6</t>
        </is>
      </c>
      <c r="B67" s="4" t="inlineStr">
        <is>
          <t>3.8.10</t>
        </is>
      </c>
      <c r="C67" s="4" t="inlineStr">
        <is>
          <t>fellowship</t>
        </is>
      </c>
      <c r="D67" s="4" t="inlineStr">
        <is>
          <t>Plan the technique from preoperative imaging of the tibia.</t>
        </is>
      </c>
      <c r="E67" s="4" t="inlineStr"/>
      <c r="F67" s="4" t="inlineStr"/>
      <c r="G67" s="4" t="inlineStr"/>
    </row>
    <row r="68">
      <c r="A68" s="4" t="inlineStr">
        <is>
          <t>3.8.10-P7</t>
        </is>
      </c>
      <c r="B68" s="4" t="inlineStr">
        <is>
          <t>3.8.10</t>
        </is>
      </c>
      <c r="C68" s="4" t="inlineStr">
        <is>
          <t>fellowship</t>
        </is>
      </c>
      <c r="D68" s="4" t="inlineStr">
        <is>
          <t>Set up the position and approach for the technique chosen rather than deciding in theatre.</t>
        </is>
      </c>
      <c r="E68" s="4" t="inlineStr"/>
      <c r="F68" s="4" t="inlineStr"/>
      <c r="G68" s="4" t="inlineStr"/>
    </row>
    <row r="69">
      <c r="A69" s="4" t="inlineStr">
        <is>
          <t>3.8.10-P8</t>
        </is>
      </c>
      <c r="B69" s="4" t="inlineStr">
        <is>
          <t>3.8.10</t>
        </is>
      </c>
      <c r="C69" s="4" t="inlineStr">
        <is>
          <t>fellowship</t>
        </is>
      </c>
      <c r="D69" s="4" t="inlineStr">
        <is>
          <t>Use the inlay where the tibia is compromised and a tunnel is unattractive.</t>
        </is>
      </c>
      <c r="E69" s="4" t="inlineStr"/>
      <c r="F69" s="4" t="inlineStr"/>
      <c r="G69" s="4" t="inlineStr"/>
    </row>
    <row r="70">
      <c r="A70" s="4" t="inlineStr">
        <is>
          <t>3.8.10-P9</t>
        </is>
      </c>
      <c r="B70" s="4" t="inlineStr">
        <is>
          <t>3.8.10</t>
        </is>
      </c>
      <c r="C70" s="4" t="inlineStr">
        <is>
          <t>fellowship</t>
        </is>
      </c>
      <c r="D70" s="4" t="inlineStr">
        <is>
          <t>Accept that the choice rests on judgement about the particular tibia.</t>
        </is>
      </c>
      <c r="E70" s="4" t="inlineStr"/>
      <c r="F70" s="4" t="inlineStr"/>
      <c r="G70" s="4" t="inlineStr"/>
    </row>
  </sheetData>
  <dataValidations count="1">
    <dataValidation sqref="E3:E7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3.8.1-F1</t>
        </is>
      </c>
      <c r="B3" s="4" t="inlineStr">
        <is>
          <t>3.8.1</t>
        </is>
      </c>
      <c r="C3" s="4" t="inlineStr">
        <is>
          <t>mrcs</t>
        </is>
      </c>
      <c r="D3" s="4" t="inlineStr">
        <is>
          <t>95 per cent</t>
        </is>
      </c>
      <c r="E3" s="4" t="inlineStr">
        <is>
          <t>Conventional teaching gives the posterior cruciate roughly 95 per cent of the restraint to posterior translation at 90 degrees of flexion, which is a larger share than the anterior cruciate holds for its direction.</t>
        </is>
      </c>
      <c r="F3" s="4" t="inlineStr"/>
      <c r="G3" s="4" t="inlineStr"/>
      <c r="H3" s="4" t="inlineStr"/>
    </row>
    <row r="4">
      <c r="A4" s="4" t="inlineStr">
        <is>
          <t>3.8.1-F2</t>
        </is>
      </c>
      <c r="B4" s="4" t="inlineStr">
        <is>
          <t>3.8.1</t>
        </is>
      </c>
      <c r="C4" s="4" t="inlineStr">
        <is>
          <t>mrcs</t>
        </is>
      </c>
      <c r="D4" s="4" t="inlineStr">
        <is>
          <t>90 degrees</t>
        </is>
      </c>
      <c r="E4" s="4" t="inlineStr">
        <is>
          <t>Conventional teaching gives the posterior cruciate roughly 95 per cent of the restraint to posterior translation at 90 degrees of flexion, which is a larger share than the anterior cruciate holds for its direction.</t>
        </is>
      </c>
      <c r="F4" s="4" t="inlineStr"/>
      <c r="G4" s="4" t="inlineStr"/>
      <c r="H4" s="4" t="inlineStr"/>
    </row>
    <row r="5">
      <c r="A5" s="4" t="inlineStr">
        <is>
          <t>3.8.2-F1</t>
        </is>
      </c>
      <c r="B5" s="4" t="inlineStr">
        <is>
          <t>3.8.2</t>
        </is>
      </c>
      <c r="C5" s="4" t="inlineStr">
        <is>
          <t>medical_student</t>
        </is>
      </c>
      <c r="D5" s="4" t="inlineStr">
        <is>
          <t>95 per cent</t>
        </is>
      </c>
      <c r="E5" s="4" t="inlineStr">
        <is>
          <t>Conventional teaching gives it roughly 95 per cent at 90 degrees.</t>
        </is>
      </c>
      <c r="F5" s="4" t="inlineStr"/>
      <c r="G5" s="4" t="inlineStr"/>
      <c r="H5" s="4" t="inlineStr"/>
    </row>
    <row r="6">
      <c r="A6" s="4" t="inlineStr">
        <is>
          <t>3.8.2-F2</t>
        </is>
      </c>
      <c r="B6" s="4" t="inlineStr">
        <is>
          <t>3.8.2</t>
        </is>
      </c>
      <c r="C6" s="4" t="inlineStr">
        <is>
          <t>medical_student</t>
        </is>
      </c>
      <c r="D6" s="4" t="inlineStr">
        <is>
          <t>90 degrees</t>
        </is>
      </c>
      <c r="E6" s="4" t="inlineStr">
        <is>
          <t>Conventional teaching gives it roughly 95 per cent at 90 degrees.</t>
        </is>
      </c>
      <c r="F6" s="4" t="inlineStr"/>
      <c r="G6" s="4" t="inlineStr"/>
      <c r="H6" s="4" t="inlineStr"/>
    </row>
    <row r="7">
      <c r="A7" s="4" t="inlineStr">
        <is>
          <t>3.8.2-F3</t>
        </is>
      </c>
      <c r="B7" s="4" t="inlineStr">
        <is>
          <t>3.8.2</t>
        </is>
      </c>
      <c r="C7" s="4" t="inlineStr">
        <is>
          <t>medical_student</t>
        </is>
      </c>
      <c r="D7" s="4" t="inlineStr">
        <is>
          <t>0</t>
        </is>
      </c>
      <c r="E7" s="4" t="inlineStr">
        <is>
          <t>Conventional teaching grades the loss by that step off: 0 to 5 millimetres, 5 to 10, and more than 10, which correspond to grades one to three.</t>
        </is>
      </c>
      <c r="F7" s="4" t="inlineStr"/>
      <c r="G7" s="4" t="inlineStr"/>
      <c r="H7" s="4" t="inlineStr"/>
    </row>
    <row r="8">
      <c r="A8" s="4" t="inlineStr">
        <is>
          <t>3.8.2-F4</t>
        </is>
      </c>
      <c r="B8" s="4" t="inlineStr">
        <is>
          <t>3.8.2</t>
        </is>
      </c>
      <c r="C8" s="4" t="inlineStr">
        <is>
          <t>mrcs</t>
        </is>
      </c>
      <c r="D8" s="4" t="inlineStr">
        <is>
          <t>30 degrees</t>
        </is>
      </c>
      <c r="E8" s="4" t="inlineStr">
        <is>
          <t>Corner integrity, which adds external rotation at 30 degrees.</t>
        </is>
      </c>
      <c r="F8" s="4" t="inlineStr"/>
      <c r="G8" s="4" t="inlineStr"/>
      <c r="H8" s="4" t="inlineStr"/>
    </row>
    <row r="9">
      <c r="A9" s="4" t="inlineStr">
        <is>
          <t>3.8.2-F5</t>
        </is>
      </c>
      <c r="B9" s="4" t="inlineStr">
        <is>
          <t>3.8.2</t>
        </is>
      </c>
      <c r="C9" s="4" t="inlineStr">
        <is>
          <t>frcs</t>
        </is>
      </c>
      <c r="D9" s="4" t="inlineStr">
        <is>
          <t>12</t>
        </is>
      </c>
      <c r="E9" s="4" t="inlineStr">
        <is>
          <t>Conventional teaching holds that a side to side difference above roughly 12 millimetres on stress radiography suggests a combined rather than an isolated injury, which converts a grade into an anatomical inference.</t>
        </is>
      </c>
      <c r="F9" s="4" t="inlineStr"/>
      <c r="G9" s="4" t="inlineStr"/>
      <c r="H9" s="4" t="inlineStr"/>
    </row>
    <row r="10">
      <c r="A10" s="4" t="inlineStr">
        <is>
          <t>3.8.3-F1</t>
        </is>
      </c>
      <c r="B10" s="4" t="inlineStr">
        <is>
          <t>3.8.3</t>
        </is>
      </c>
      <c r="C10" s="4" t="inlineStr">
        <is>
          <t>medical_student</t>
        </is>
      </c>
      <c r="D10" s="4" t="inlineStr">
        <is>
          <t>90 degrees</t>
        </is>
      </c>
      <c r="E10" s="4" t="inlineStr">
        <is>
          <t>Testing at 90 degrees samples the anterolateral bundle, which is the one that matters most.</t>
        </is>
      </c>
      <c r="F10" s="4" t="inlineStr"/>
      <c r="G10" s="4" t="inlineStr"/>
      <c r="H10" s="4" t="inlineStr"/>
    </row>
    <row r="11">
      <c r="A11" s="4" t="inlineStr">
        <is>
          <t>3.8.3-F2</t>
        </is>
      </c>
      <c r="B11" s="4" t="inlineStr">
        <is>
          <t>3.8.3</t>
        </is>
      </c>
      <c r="C11" s="4" t="inlineStr">
        <is>
          <t>mrcs</t>
        </is>
      </c>
      <c r="D11" s="4" t="inlineStr">
        <is>
          <t>70 or 80 degrees</t>
        </is>
      </c>
      <c r="E11" s="4" t="inlineStr">
        <is>
          <t>Conventional teaching gives the anterolateral bundle maximal tension in mid to deep flexion, commonly placed beyond 70 or 80 degrees, and the posteromedial bundle maximal tension near full extension.</t>
        </is>
      </c>
      <c r="F11" s="4" t="inlineStr"/>
      <c r="G11" s="4" t="inlineStr"/>
      <c r="H11" s="4" t="inlineStr"/>
    </row>
    <row r="12">
      <c r="A12" s="4" t="inlineStr">
        <is>
          <t>3.8.4-F1</t>
        </is>
      </c>
      <c r="B12" s="4" t="inlineStr">
        <is>
          <t>3.8.4</t>
        </is>
      </c>
      <c r="C12" s="4" t="inlineStr">
        <is>
          <t>medical_student</t>
        </is>
      </c>
      <c r="D12" s="4" t="inlineStr">
        <is>
          <t>90 degrees</t>
        </is>
      </c>
      <c r="E12" s="4" t="inlineStr">
        <is>
          <t>It is therefore the restraint a posterior drawer at 90 degrees is testing.</t>
        </is>
      </c>
      <c r="F12" s="4" t="inlineStr"/>
      <c r="G12" s="4" t="inlineStr"/>
      <c r="H12" s="4" t="inlineStr"/>
    </row>
    <row r="13">
      <c r="A13" s="4" t="inlineStr">
        <is>
          <t>3.8.4-F2</t>
        </is>
      </c>
      <c r="B13" s="4" t="inlineStr">
        <is>
          <t>3.8.4</t>
        </is>
      </c>
      <c r="C13" s="4" t="inlineStr">
        <is>
          <t>mrcs</t>
        </is>
      </c>
      <c r="D13" s="4" t="inlineStr">
        <is>
          <t>70 degrees</t>
        </is>
      </c>
      <c r="E13" s="4" t="inlineStr">
        <is>
          <t>Conventional teaching places maximal anterolateral bundle tension beyond roughly 70 degrees of flexion, rising through the range from a slack position near extension.</t>
        </is>
      </c>
      <c r="F13" s="4" t="inlineStr"/>
      <c r="G13" s="4" t="inlineStr"/>
      <c r="H13" s="4" t="inlineStr"/>
    </row>
    <row r="14">
      <c r="A14" s="4" t="inlineStr">
        <is>
          <t>3.8.4-F3</t>
        </is>
      </c>
      <c r="B14" s="4" t="inlineStr">
        <is>
          <t>3.8.4</t>
        </is>
      </c>
      <c r="C14" s="4" t="inlineStr">
        <is>
          <t>frcs</t>
        </is>
      </c>
      <c r="D14" s="4" t="inlineStr">
        <is>
          <t>70 to 90 degrees</t>
        </is>
      </c>
      <c r="E14" s="4" t="inlineStr">
        <is>
          <t>Conventional teaching tensions a posterior cruciate graft in flexion, commonly cited around 70 to 90 degrees, with an anterior drawer applied to reduce the sag first.</t>
        </is>
      </c>
      <c r="F14" s="4" t="inlineStr"/>
      <c r="G14" s="4" t="inlineStr"/>
      <c r="H14" s="4" t="inlineStr"/>
    </row>
    <row r="15">
      <c r="A15" s="4" t="inlineStr">
        <is>
          <t>3.8.5-F1</t>
        </is>
      </c>
      <c r="B15" s="4" t="inlineStr">
        <is>
          <t>3.8.5</t>
        </is>
      </c>
      <c r="C15" s="4" t="inlineStr">
        <is>
          <t>mrcs</t>
        </is>
      </c>
      <c r="D15" s="4" t="inlineStr">
        <is>
          <t>90 degrees</t>
        </is>
      </c>
      <c r="E15" s="4" t="inlineStr">
        <is>
          <t>In situ force measurement gives it a small share of the posterior restraint at 90 degrees, where the drawer is performed.</t>
        </is>
      </c>
      <c r="F15" s="4" t="inlineStr"/>
      <c r="G15" s="4" t="inlineStr"/>
      <c r="H15" s="4" t="inlineStr"/>
    </row>
    <row r="16">
      <c r="A16" s="4" t="inlineStr">
        <is>
          <t>3.8.6-F1</t>
        </is>
      </c>
      <c r="B16" s="4" t="inlineStr">
        <is>
          <t>3.8.6</t>
        </is>
      </c>
      <c r="C16" s="4" t="inlineStr">
        <is>
          <t>medical_student</t>
        </is>
      </c>
      <c r="D16" s="4" t="inlineStr">
        <is>
          <t>90
degrees</t>
        </is>
      </c>
      <c r="E16" s="4" t="inlineStr">
        <is>
          <t>Conventional teaching gives the normal step off as around 10 millimetres at 90 degrees of flexion.</t>
        </is>
      </c>
      <c r="F16" s="4" t="inlineStr"/>
      <c r="G16" s="4" t="inlineStr"/>
      <c r="H16" s="4" t="inlineStr"/>
    </row>
    <row r="17">
      <c r="A17" s="4" t="inlineStr">
        <is>
          <t>3.8.6-F2</t>
        </is>
      </c>
      <c r="B17" s="4" t="inlineStr">
        <is>
          <t>3.8.6</t>
        </is>
      </c>
      <c r="C17" s="4" t="inlineStr">
        <is>
          <t>mrcs</t>
        </is>
      </c>
      <c r="D17" s="4" t="inlineStr">
        <is>
          <t>30</t>
        </is>
      </c>
      <c r="E17" s="4" t="inlineStr">
        <is>
          <t>The restraint is greatest at 90 degrees and the corner contributes more at 30.</t>
        </is>
      </c>
      <c r="F17" s="4" t="inlineStr"/>
      <c r="G17" s="4" t="inlineStr"/>
      <c r="H17" s="4" t="inlineStr"/>
    </row>
    <row r="18">
      <c r="A18" s="4" t="inlineStr">
        <is>
          <t>3.8.6-F3</t>
        </is>
      </c>
      <c r="B18" s="4" t="inlineStr">
        <is>
          <t>3.8.6</t>
        </is>
      </c>
      <c r="C18" s="4" t="inlineStr">
        <is>
          <t>mrcs</t>
        </is>
      </c>
      <c r="D18" s="4" t="inlineStr">
        <is>
          <t>30 degrees</t>
        </is>
      </c>
      <c r="E18" s="4" t="inlineStr">
        <is>
          <t>External rotation at 30 degrees separates an isolated cruciate injury from a combined corner injury, which is the distinction that changes the operation.</t>
        </is>
      </c>
      <c r="F18" s="4" t="inlineStr"/>
      <c r="G18" s="4" t="inlineStr"/>
      <c r="H18" s="4" t="inlineStr"/>
    </row>
    <row r="19">
      <c r="A19" s="4" t="inlineStr">
        <is>
          <t>3.8.8-F1</t>
        </is>
      </c>
      <c r="B19" s="4" t="inlineStr">
        <is>
          <t>3.8.8</t>
        </is>
      </c>
      <c r="C19" s="4" t="inlineStr">
        <is>
          <t>mrcs</t>
        </is>
      </c>
      <c r="D19" s="4" t="inlineStr">
        <is>
          <t>70 to 90 degrees</t>
        </is>
      </c>
      <c r="E19" s="4" t="inlineStr">
        <is>
          <t>Graft tensioning is performed in flexion, conventionally around 70 to 90 degrees, with an anterior drawer applied.</t>
        </is>
      </c>
      <c r="F19" s="4" t="inlineStr"/>
      <c r="G19" s="4" t="inlineStr"/>
      <c r="H19" s="4" t="inlineStr"/>
    </row>
  </sheetData>
  <dataValidations count="1">
    <dataValidation sqref="F3:F19"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68</f>
        <v/>
      </c>
      <c r="C2" s="3">
        <f>17</f>
        <v/>
      </c>
    </row>
    <row r="3">
      <c r="A3" s="2" t="inlineStr">
        <is>
          <t>Decided</t>
        </is>
      </c>
      <c r="B3" s="3">
        <f>COUNTIF(Recommendations!E3:E70,"&lt;&gt;")</f>
        <v/>
      </c>
      <c r="C3" s="3">
        <f>COUNTIF(Measurements!F3:F19,"&lt;&gt;")</f>
        <v/>
      </c>
    </row>
    <row r="4">
      <c r="A4" s="2" t="inlineStr">
        <is>
          <t>Still blank</t>
        </is>
      </c>
      <c r="B4" s="3">
        <f>B2-B3</f>
        <v/>
      </c>
      <c r="C4" s="3">
        <f>C2-C3</f>
        <v/>
      </c>
    </row>
    <row r="5">
      <c r="A5" s="2" t="inlineStr">
        <is>
          <t>CONFIRMED</t>
        </is>
      </c>
      <c r="B5" s="3">
        <f>COUNTIF(Recommendations!E3:E70,"CONFIRMED")</f>
        <v/>
      </c>
      <c r="C5" s="3" t="inlineStr"/>
    </row>
    <row r="6">
      <c r="A6" s="2" t="inlineStr">
        <is>
          <t>AMENDED</t>
        </is>
      </c>
      <c r="B6" s="3">
        <f>COUNTIF(Recommendations!E3:E70,"AMENDED")</f>
        <v/>
      </c>
      <c r="C6" s="3" t="inlineStr"/>
    </row>
    <row r="7">
      <c r="A7" s="2" t="inlineStr">
        <is>
          <t>WITHDRAWN</t>
        </is>
      </c>
      <c r="B7" s="3">
        <f>COUNTIF(Recommendations!E3:E70,"WITHDRAWN")</f>
        <v/>
      </c>
      <c r="C7" s="3" t="inlineStr"/>
    </row>
    <row r="8">
      <c r="A8" s="2" t="inlineStr">
        <is>
          <t>NOT_CLINICAL</t>
        </is>
      </c>
      <c r="B8" s="3">
        <f>COUNTIF(Recommendations!E3:E70,"NOT_CLINICAL")</f>
        <v/>
      </c>
      <c r="C8" s="3" t="inlineStr"/>
    </row>
    <row r="9">
      <c r="A9" s="2" t="inlineStr">
        <is>
          <t>VERIFIED</t>
        </is>
      </c>
      <c r="B9" s="3" t="inlineStr"/>
      <c r="C9" s="3">
        <f>COUNTIF(Measurements!F3:F19,"VERIFIED")</f>
        <v/>
      </c>
    </row>
    <row r="10">
      <c r="A10" s="2" t="inlineStr">
        <is>
          <t>CORRECTED</t>
        </is>
      </c>
      <c r="B10" s="3" t="inlineStr"/>
      <c r="C10" s="3">
        <f>COUNTIF(Measurements!F3:F19,"CORRECTED")</f>
        <v/>
      </c>
    </row>
    <row r="11">
      <c r="A11" s="2" t="inlineStr">
        <is>
          <t>REMOVED</t>
        </is>
      </c>
      <c r="B11" s="3" t="inlineStr"/>
      <c r="C11" s="3">
        <f>COUNTIF(Measurements!F3:F19,"REMOVED")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2026-10-10T12:19:59Z</dcterms:created>
  <dcterms:modified xmlns:dcterms="http://purl.org/dc/terms/" xmlns:xsi="http://www.w3.org/2001/XMLSchema-instance" xsi:type="dcterms:W3CDTF">2026-10-10T12:19:59Z</dcterms:modified>
</cp:coreProperties>
</file>