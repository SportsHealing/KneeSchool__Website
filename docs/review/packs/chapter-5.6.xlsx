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5.6 Meniscal MRI</t>
        </is>
      </c>
    </row>
    <row r="3">
      <c r="A3" s="2" t="inlineStr">
        <is>
          <t>Section</t>
        </is>
      </c>
      <c r="B3" s="3" t="inlineStr">
        <is>
          <t>5</t>
        </is>
      </c>
    </row>
    <row r="4">
      <c r="A4" s="2" t="inlineStr">
        <is>
          <t>Chapter</t>
        </is>
      </c>
      <c r="B4" s="3" t="inlineStr">
        <is>
          <t>5.6 Meniscal MRI</t>
        </is>
      </c>
    </row>
    <row r="5">
      <c r="A5" s="2" t="inlineStr">
        <is>
          <t>Pages</t>
        </is>
      </c>
      <c r="B5" s="3" t="n">
        <v>14</v>
      </c>
    </row>
    <row r="6">
      <c r="A6" s="2" t="inlineStr">
        <is>
          <t>Page type</t>
        </is>
      </c>
      <c r="B6" s="3" t="inlineStr">
        <is>
          <t>imaging</t>
        </is>
      </c>
    </row>
    <row r="7">
      <c r="A7" s="2" t="inlineStr">
        <is>
          <t>Tiers</t>
        </is>
      </c>
      <c r="B7" s="3" t="inlineStr">
        <is>
          <t>medical student, mrcs, frcs, fellowship</t>
        </is>
      </c>
    </row>
    <row r="8">
      <c r="A8" s="2" t="inlineStr">
        <is>
          <t>Words</t>
        </is>
      </c>
      <c r="B8" s="3" t="inlineStr">
        <is>
          <t>19,192</t>
        </is>
      </c>
    </row>
    <row r="9">
      <c r="A9" s="2" t="inlineStr">
        <is>
          <t>Style gate</t>
        </is>
      </c>
      <c r="B9" s="3" t="inlineStr">
        <is>
          <t>all pages pass, 48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48</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5.6.1</t>
        </is>
      </c>
      <c r="B2" s="6" t="inlineStr">
        <is>
          <t>Normal Meniscus</t>
        </is>
      </c>
      <c r="C2" s="6" t="n">
        <v>4</v>
      </c>
      <c r="D2" s="6" t="n">
        <v>1468</v>
      </c>
      <c r="E2" s="6" t="inlineStr">
        <is>
          <t>imaging/normal-meniscus-mri.html</t>
        </is>
      </c>
    </row>
    <row r="3">
      <c r="A3" s="6" t="inlineStr">
        <is>
          <t>5.6.2</t>
        </is>
      </c>
      <c r="B3" s="6" t="inlineStr">
        <is>
          <t>Meniscal Signal Grading</t>
        </is>
      </c>
      <c r="C3" s="6" t="n">
        <v>4</v>
      </c>
      <c r="D3" s="6" t="n">
        <v>1413</v>
      </c>
      <c r="E3" s="6" t="inlineStr">
        <is>
          <t>imaging/meniscal-signal-grading.html</t>
        </is>
      </c>
    </row>
    <row r="4">
      <c r="A4" s="6" t="inlineStr">
        <is>
          <t>5.6.3</t>
        </is>
      </c>
      <c r="B4" s="6" t="inlineStr">
        <is>
          <t>Horizontal Tears</t>
        </is>
      </c>
      <c r="C4" s="6" t="n">
        <v>4</v>
      </c>
      <c r="D4" s="6" t="n">
        <v>1355</v>
      </c>
      <c r="E4" s="6" t="inlineStr">
        <is>
          <t>imaging/horizontal-meniscal-tears.html</t>
        </is>
      </c>
    </row>
    <row r="5">
      <c r="A5" s="6" t="inlineStr">
        <is>
          <t>5.6.4</t>
        </is>
      </c>
      <c r="B5" s="6" t="inlineStr">
        <is>
          <t>Vertical Tears</t>
        </is>
      </c>
      <c r="C5" s="6" t="n">
        <v>4</v>
      </c>
      <c r="D5" s="6" t="n">
        <v>1357</v>
      </c>
      <c r="E5" s="6" t="inlineStr">
        <is>
          <t>imaging/vertical-meniscal-tears.html</t>
        </is>
      </c>
    </row>
    <row r="6">
      <c r="A6" s="6" t="inlineStr">
        <is>
          <t>5.6.5</t>
        </is>
      </c>
      <c r="B6" s="6" t="inlineStr">
        <is>
          <t>Radial Tears</t>
        </is>
      </c>
      <c r="C6" s="6" t="n">
        <v>4</v>
      </c>
      <c r="D6" s="6" t="n">
        <v>1327</v>
      </c>
      <c r="E6" s="6" t="inlineStr">
        <is>
          <t>imaging/radial-meniscal-tears.html</t>
        </is>
      </c>
    </row>
    <row r="7">
      <c r="A7" s="6" t="inlineStr">
        <is>
          <t>5.6.6</t>
        </is>
      </c>
      <c r="B7" s="6" t="inlineStr">
        <is>
          <t>Bucket Handle Tears</t>
        </is>
      </c>
      <c r="C7" s="6" t="n">
        <v>4</v>
      </c>
      <c r="D7" s="6" t="n">
        <v>1347</v>
      </c>
      <c r="E7" s="6" t="inlineStr">
        <is>
          <t>imaging/bucket-handle-tears.html</t>
        </is>
      </c>
    </row>
    <row r="8">
      <c r="A8" s="6" t="inlineStr">
        <is>
          <t>5.6.7</t>
        </is>
      </c>
      <c r="B8" s="6" t="inlineStr">
        <is>
          <t>Flap Tears</t>
        </is>
      </c>
      <c r="C8" s="6" t="n">
        <v>4</v>
      </c>
      <c r="D8" s="6" t="n">
        <v>1357</v>
      </c>
      <c r="E8" s="6" t="inlineStr">
        <is>
          <t>imaging/flap-tears.html</t>
        </is>
      </c>
    </row>
    <row r="9">
      <c r="A9" s="6" t="inlineStr">
        <is>
          <t>5.6.8</t>
        </is>
      </c>
      <c r="B9" s="6" t="inlineStr">
        <is>
          <t>Complex Tears</t>
        </is>
      </c>
      <c r="C9" s="6" t="n">
        <v>4</v>
      </c>
      <c r="D9" s="6" t="n">
        <v>1287</v>
      </c>
      <c r="E9" s="6" t="inlineStr">
        <is>
          <t>imaging/complex-meniscal-tears.html</t>
        </is>
      </c>
    </row>
    <row r="10">
      <c r="A10" s="6" t="inlineStr">
        <is>
          <t>5.6.9</t>
        </is>
      </c>
      <c r="B10" s="6" t="inlineStr">
        <is>
          <t>Root Tears</t>
        </is>
      </c>
      <c r="C10" s="6" t="n">
        <v>4</v>
      </c>
      <c r="D10" s="6" t="n">
        <v>1345</v>
      </c>
      <c r="E10" s="6" t="inlineStr">
        <is>
          <t>imaging/meniscal-root-tears.html</t>
        </is>
      </c>
    </row>
    <row r="11">
      <c r="A11" s="6" t="inlineStr">
        <is>
          <t>5.6.10</t>
        </is>
      </c>
      <c r="B11" s="6" t="inlineStr">
        <is>
          <t>Ramp Lesions</t>
        </is>
      </c>
      <c r="C11" s="6" t="n">
        <v>4</v>
      </c>
      <c r="D11" s="6" t="n">
        <v>1363</v>
      </c>
      <c r="E11" s="6" t="inlineStr">
        <is>
          <t>imaging/ramp-lesions.html</t>
        </is>
      </c>
    </row>
    <row r="12">
      <c r="A12" s="6" t="inlineStr">
        <is>
          <t>5.6.11</t>
        </is>
      </c>
      <c r="B12" s="6" t="inlineStr">
        <is>
          <t>Meniscal Extrusion</t>
        </is>
      </c>
      <c r="C12" s="6" t="n">
        <v>4</v>
      </c>
      <c r="D12" s="6" t="n">
        <v>1256</v>
      </c>
      <c r="E12" s="6" t="inlineStr">
        <is>
          <t>imaging/meniscal-extrusion.html</t>
        </is>
      </c>
    </row>
    <row r="13">
      <c r="A13" s="6" t="inlineStr">
        <is>
          <t>5.6.12</t>
        </is>
      </c>
      <c r="B13" s="6" t="inlineStr">
        <is>
          <t>Post-operative Meniscus</t>
        </is>
      </c>
      <c r="C13" s="6" t="n">
        <v>4</v>
      </c>
      <c r="D13" s="6" t="n">
        <v>1480</v>
      </c>
      <c r="E13" s="6" t="inlineStr">
        <is>
          <t>imaging/post-operative-meniscus.html</t>
        </is>
      </c>
    </row>
    <row r="14">
      <c r="A14" s="6" t="inlineStr">
        <is>
          <t>5.6.13</t>
        </is>
      </c>
      <c r="B14" s="6" t="inlineStr">
        <is>
          <t>Meniscal Repair Imaging</t>
        </is>
      </c>
      <c r="C14" s="6" t="n">
        <v>4</v>
      </c>
      <c r="D14" s="6" t="n">
        <v>1428</v>
      </c>
      <c r="E14" s="6" t="inlineStr">
        <is>
          <t>imaging/meniscal-repair-imaging.html</t>
        </is>
      </c>
    </row>
    <row r="15">
      <c r="A15" s="6" t="inlineStr">
        <is>
          <t>5.6.14</t>
        </is>
      </c>
      <c r="B15" s="6" t="inlineStr">
        <is>
          <t>Meniscal Transplantation Imaging</t>
        </is>
      </c>
      <c r="C15" s="6" t="n">
        <v>4</v>
      </c>
      <c r="D15" s="6" t="n">
        <v>1409</v>
      </c>
      <c r="E15" s="6" t="inlineStr">
        <is>
          <t>imaging/meniscal-transplantation-imaging.html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1"/>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5.6.1</t>
        </is>
      </c>
      <c r="B2" s="4" t="inlineStr">
        <is>
          <t>Normal Meniscus</t>
        </is>
      </c>
      <c r="C2" s="4" t="inlineStr">
        <is>
          <t>A meniscus after partial meniscectomy has no normal reference appearance.</t>
        </is>
      </c>
    </row>
    <row r="3">
      <c r="A3" s="4" t="inlineStr">
        <is>
          <t>5.6.1</t>
        </is>
      </c>
      <c r="B3" s="4" t="inlineStr">
        <is>
          <t>Normal Meniscus</t>
        </is>
      </c>
      <c r="C3" s="4" t="inlineStr">
        <is>
          <t>Normal and abnormal are a spectrum in a degenerate meniscus.</t>
        </is>
      </c>
    </row>
    <row r="4">
      <c r="A4" s="4" t="inlineStr">
        <is>
          <t>5.6.1</t>
        </is>
      </c>
      <c r="B4" s="4" t="inlineStr">
        <is>
          <t>Normal Meniscus</t>
        </is>
      </c>
      <c r="C4" s="4" t="inlineStr">
        <is>
          <t>Protocol differences change what counts as confidently normal.</t>
        </is>
      </c>
    </row>
    <row r="5">
      <c r="A5" s="4" t="inlineStr">
        <is>
          <t>5.6.1</t>
        </is>
      </c>
      <c r="B5" s="4" t="inlineStr">
        <is>
          <t>Normal Meniscus</t>
        </is>
      </c>
      <c r="C5" s="4" t="inlineStr">
        <is>
          <t>The roots and the ramp area are where a normal report most often hides a lesion.</t>
        </is>
      </c>
    </row>
    <row r="6">
      <c r="A6" s="4" t="inlineStr">
        <is>
          <t>5.6.1</t>
        </is>
      </c>
      <c r="B6" s="4" t="inlineStr">
        <is>
          <t>Normal Meniscus</t>
        </is>
      </c>
      <c r="C6" s="4" t="inlineStr">
        <is>
          <t>Normal is a statement about a particular knee at a particular age.</t>
        </is>
      </c>
    </row>
    <row r="7">
      <c r="A7" s="4" t="inlineStr">
        <is>
          <t>5.6.2</t>
        </is>
      </c>
      <c r="B7" s="4" t="inlineStr">
        <is>
          <t>Meniscal Signal Grading</t>
        </is>
      </c>
      <c r="C7" s="4" t="inlineStr">
        <is>
          <t>The surface rule identifies mechanical significance, not symptoms.</t>
        </is>
      </c>
    </row>
    <row r="8">
      <c r="A8" s="4" t="inlineStr">
        <is>
          <t>5.6.2</t>
        </is>
      </c>
      <c r="B8" s="4" t="inlineStr">
        <is>
          <t>Meniscal Signal Grading</t>
        </is>
      </c>
      <c r="C8" s="4" t="inlineStr">
        <is>
          <t>In a degenerate knee attributing pain to the meniscus is a choice.</t>
        </is>
      </c>
    </row>
    <row r="9">
      <c r="A9" s="4" t="inlineStr">
        <is>
          <t>5.6.2</t>
        </is>
      </c>
      <c r="B9" s="4" t="inlineStr">
        <is>
          <t>Meniscal Signal Grading</t>
        </is>
      </c>
      <c r="C9" s="4" t="inlineStr">
        <is>
          <t>Agreement falls for the degenerate grades, so a grade is not a measurement.</t>
        </is>
      </c>
    </row>
    <row r="10">
      <c r="A10" s="4" t="inlineStr">
        <is>
          <t>5.6.2</t>
        </is>
      </c>
      <c r="B10" s="4" t="inlineStr">
        <is>
          <t>Meniscal Signal Grading</t>
        </is>
      </c>
      <c r="C10" s="4" t="inlineStr">
        <is>
          <t>Extrusion is a better mechanical marker in the worn knee and is reported less.</t>
        </is>
      </c>
    </row>
    <row r="11">
      <c r="A11" s="4" t="inlineStr">
        <is>
          <t>5.6.2</t>
        </is>
      </c>
      <c r="B11" s="4" t="inlineStr">
        <is>
          <t>Meniscal Signal Grading</t>
        </is>
      </c>
      <c r="C11" s="4" t="inlineStr">
        <is>
          <t>The scheme was defined on images that are not the ones being graded.</t>
        </is>
      </c>
    </row>
    <row r="12">
      <c r="A12" s="4" t="inlineStr">
        <is>
          <t>5.6.3</t>
        </is>
      </c>
      <c r="B12" s="4" t="inlineStr">
        <is>
          <t>Horizontal Tears</t>
        </is>
      </c>
      <c r="C12" s="4" t="inlineStr">
        <is>
          <t>A reported horizontal tear carries almost no weight on its own.</t>
        </is>
      </c>
    </row>
    <row r="13">
      <c r="A13" s="4" t="inlineStr">
        <is>
          <t>5.6.3</t>
        </is>
      </c>
      <c r="B13" s="4" t="inlineStr">
        <is>
          <t>Horizontal Tears</t>
        </is>
      </c>
      <c r="C13" s="4" t="inlineStr">
        <is>
          <t>The compartment's cartilage is the useful information and is reported less.</t>
        </is>
      </c>
    </row>
    <row r="14">
      <c r="A14" s="4" t="inlineStr">
        <is>
          <t>5.6.3</t>
        </is>
      </c>
      <c r="B14" s="4" t="inlineStr">
        <is>
          <t>Horizontal Tears</t>
        </is>
      </c>
      <c r="C14" s="4" t="inlineStr">
        <is>
          <t>Resecting it removes tissue from a compartment already losing load distribution.</t>
        </is>
      </c>
    </row>
    <row r="15">
      <c r="A15" s="4" t="inlineStr">
        <is>
          <t>5.6.3</t>
        </is>
      </c>
      <c r="B15" s="4" t="inlineStr">
        <is>
          <t>Horizontal Tears</t>
        </is>
      </c>
      <c r="C15" s="4" t="inlineStr">
        <is>
          <t>Extrusion predicts the compartment's course better than the morphology.</t>
        </is>
      </c>
    </row>
    <row r="16">
      <c r="A16" s="4" t="inlineStr">
        <is>
          <t>5.6.3</t>
        </is>
      </c>
      <c r="B16" s="4" t="inlineStr">
        <is>
          <t>Horizontal Tears</t>
        </is>
      </c>
      <c r="C16" s="4" t="inlineStr">
        <is>
          <t>The negative literature is about this pattern, not about all meniscal tears.</t>
        </is>
      </c>
    </row>
    <row r="17">
      <c r="A17" s="4" t="inlineStr">
        <is>
          <t>5.6.4</t>
        </is>
      </c>
      <c r="B17" s="4" t="inlineStr">
        <is>
          <t>Vertical Tears</t>
        </is>
      </c>
      <c r="C17" s="4" t="inlineStr">
        <is>
          <t>Imaging estimates length and position and says little about tissue quality.</t>
        </is>
      </c>
    </row>
    <row r="18">
      <c r="A18" s="4" t="inlineStr">
        <is>
          <t>5.6.4</t>
        </is>
      </c>
      <c r="B18" s="4" t="inlineStr">
        <is>
          <t>Vertical Tears</t>
        </is>
      </c>
      <c r="C18" s="4" t="inlineStr">
        <is>
          <t>The peripheral margin that matters is a few millimetres wide.</t>
        </is>
      </c>
    </row>
    <row r="19">
      <c r="A19" s="4" t="inlineStr">
        <is>
          <t>5.6.4</t>
        </is>
      </c>
      <c r="B19" s="4" t="inlineStr">
        <is>
          <t>Vertical Tears</t>
        </is>
      </c>
      <c r="C19" s="4" t="inlineStr">
        <is>
          <t>A chronic tear in a cruciate deficient knee is a different lesion.</t>
        </is>
      </c>
    </row>
    <row r="20">
      <c r="A20" s="4" t="inlineStr">
        <is>
          <t>5.6.4</t>
        </is>
      </c>
      <c r="B20" s="4" t="inlineStr">
        <is>
          <t>Vertical Tears</t>
        </is>
      </c>
      <c r="C20" s="4" t="inlineStr">
        <is>
          <t>The posteromedial meniscocapsular junction is where it is most often missed.</t>
        </is>
      </c>
    </row>
    <row r="21">
      <c r="A21" s="4" t="inlineStr">
        <is>
          <t>5.6.4</t>
        </is>
      </c>
      <c r="B21" s="4" t="inlineStr">
        <is>
          <t>Vertical Tears</t>
        </is>
      </c>
      <c r="C21" s="4" t="inlineStr">
        <is>
          <t>A repairable appearance is not a prediction of repair outcome.</t>
        </is>
      </c>
    </row>
    <row r="22">
      <c r="A22" s="4" t="inlineStr">
        <is>
          <t>5.6.5</t>
        </is>
      </c>
      <c r="B22" s="4" t="inlineStr">
        <is>
          <t>Radial Tears</t>
        </is>
      </c>
      <c r="C22" s="4" t="inlineStr">
        <is>
          <t>A complete radial tear makes the compartment behave as meniscus deficient.</t>
        </is>
      </c>
    </row>
    <row r="23">
      <c r="A23" s="4" t="inlineStr">
        <is>
          <t>5.6.5</t>
        </is>
      </c>
      <c r="B23" s="4" t="inlineStr">
        <is>
          <t>Radial Tears</t>
        </is>
      </c>
      <c r="C23" s="4" t="inlineStr">
        <is>
          <t>Repair is mechanically unfavourable and often still the better option.</t>
        </is>
      </c>
    </row>
    <row r="24">
      <c r="A24" s="4" t="inlineStr">
        <is>
          <t>5.6.5</t>
        </is>
      </c>
      <c r="B24" s="4" t="inlineStr">
        <is>
          <t>Radial Tears</t>
        </is>
      </c>
      <c r="C24" s="4" t="inlineStr">
        <is>
          <t>Where a partial tear becomes mechanically complete is not visible.</t>
        </is>
      </c>
    </row>
    <row r="25">
      <c r="A25" s="4" t="inlineStr">
        <is>
          <t>5.6.5</t>
        </is>
      </c>
      <c r="B25" s="4" t="inlineStr">
        <is>
          <t>Radial Tears</t>
        </is>
      </c>
      <c r="C25" s="4" t="inlineStr">
        <is>
          <t>Extrusion is the best marker available and the least standardised.</t>
        </is>
      </c>
    </row>
    <row r="26">
      <c r="A26" s="4" t="inlineStr">
        <is>
          <t>5.6.5</t>
        </is>
      </c>
      <c r="B26" s="4" t="inlineStr">
        <is>
          <t>Radial Tears</t>
        </is>
      </c>
      <c r="C26" s="4" t="inlineStr">
        <is>
          <t>Which came first, the tear or the wear, is not answerable from the images.</t>
        </is>
      </c>
    </row>
    <row r="27">
      <c r="A27" s="4" t="inlineStr">
        <is>
          <t>5.6.6</t>
        </is>
      </c>
      <c r="B27" s="4" t="inlineStr">
        <is>
          <t>Bucket Handle Tears</t>
        </is>
      </c>
      <c r="C27" s="4" t="inlineStr">
        <is>
          <t>An intermittently locking knee is caught in one state by the scan.</t>
        </is>
      </c>
    </row>
    <row r="28">
      <c r="A28" s="4" t="inlineStr">
        <is>
          <t>5.6.6</t>
        </is>
      </c>
      <c r="B28" s="4" t="inlineStr">
        <is>
          <t>Bucket Handle Tears</t>
        </is>
      </c>
      <c r="C28" s="4" t="inlineStr">
        <is>
          <t>A chronically displaced fragment remodels and is harder to recognise.</t>
        </is>
      </c>
    </row>
    <row r="29">
      <c r="A29" s="4" t="inlineStr">
        <is>
          <t>5.6.6</t>
        </is>
      </c>
      <c r="B29" s="4" t="inlineStr">
        <is>
          <t>Bucket Handle Tears</t>
        </is>
      </c>
      <c r="C29" s="4" t="inlineStr">
        <is>
          <t>Repair depends on tissue quality the imaging cannot assess.</t>
        </is>
      </c>
    </row>
    <row r="30">
      <c r="A30" s="4" t="inlineStr">
        <is>
          <t>5.6.6</t>
        </is>
      </c>
      <c r="B30" s="4" t="inlineStr">
        <is>
          <t>Bucket Handle Tears</t>
        </is>
      </c>
      <c r="C30" s="4" t="inlineStr">
        <is>
          <t>A previous meniscectomy and chronic displacement look alike.</t>
        </is>
      </c>
    </row>
    <row r="31">
      <c r="A31" s="4" t="inlineStr">
        <is>
          <t>5.6.6</t>
        </is>
      </c>
      <c r="B31" s="4" t="inlineStr">
        <is>
          <t>Bucket Handle Tears</t>
        </is>
      </c>
      <c r="C31" s="4" t="inlineStr">
        <is>
          <t>The fragment's position at scanning is not where it will be at operation.</t>
        </is>
      </c>
    </row>
    <row r="32">
      <c r="A32" s="4" t="inlineStr">
        <is>
          <t>5.6.7</t>
        </is>
      </c>
      <c r="B32" s="4" t="inlineStr">
        <is>
          <t>Flap Tears</t>
        </is>
      </c>
      <c r="C32" s="4" t="inlineStr">
        <is>
          <t>Detection depends on the request more than on the protocol.</t>
        </is>
      </c>
    </row>
    <row r="33">
      <c r="A33" s="4" t="inlineStr">
        <is>
          <t>5.6.7</t>
        </is>
      </c>
      <c r="B33" s="4" t="inlineStr">
        <is>
          <t>Flap Tears</t>
        </is>
      </c>
      <c r="C33" s="4" t="inlineStr">
        <is>
          <t>A scan is one sample of a mobile fragment.</t>
        </is>
      </c>
    </row>
    <row r="34">
      <c r="A34" s="4" t="inlineStr">
        <is>
          <t>5.6.7</t>
        </is>
      </c>
      <c r="B34" s="4" t="inlineStr">
        <is>
          <t>Flap Tears</t>
        </is>
      </c>
      <c r="C34" s="4" t="inlineStr">
        <is>
          <t>The gutter is anatomically variable, so a small leaf is hard to call.</t>
        </is>
      </c>
    </row>
    <row r="35">
      <c r="A35" s="4" t="inlineStr">
        <is>
          <t>5.6.7</t>
        </is>
      </c>
      <c r="B35" s="4" t="inlineStr">
        <is>
          <t>Flap Tears</t>
        </is>
      </c>
      <c r="C35" s="4" t="inlineStr">
        <is>
          <t>In a degenerate knee attributing the symptom to the flap is a judgement.</t>
        </is>
      </c>
    </row>
    <row r="36">
      <c r="A36" s="4" t="inlineStr">
        <is>
          <t>5.6.7</t>
        </is>
      </c>
      <c r="B36" s="4" t="inlineStr">
        <is>
          <t>Flap Tears</t>
        </is>
      </c>
      <c r="C36" s="4" t="inlineStr">
        <is>
          <t>Resecting it relieves the catching and does not change the compartment.</t>
        </is>
      </c>
    </row>
    <row r="37">
      <c r="A37" s="4" t="inlineStr">
        <is>
          <t>5.6.8</t>
        </is>
      </c>
      <c r="B37" s="4" t="inlineStr">
        <is>
          <t>Complex Tears</t>
        </is>
      </c>
      <c r="C37" s="4" t="inlineStr">
        <is>
          <t>The classification was built for tears in otherwise normal menisci.</t>
        </is>
      </c>
    </row>
    <row r="38">
      <c r="A38" s="4" t="inlineStr">
        <is>
          <t>5.6.8</t>
        </is>
      </c>
      <c r="B38" s="4" t="inlineStr">
        <is>
          <t>Complex Tears</t>
        </is>
      </c>
      <c r="C38" s="4" t="inlineStr">
        <is>
          <t>Extrusion, cartilage and alignment carry the prognosis and are reported less.</t>
        </is>
      </c>
    </row>
    <row r="39">
      <c r="A39" s="4" t="inlineStr">
        <is>
          <t>5.6.8</t>
        </is>
      </c>
      <c r="B39" s="4" t="inlineStr">
        <is>
          <t>Complex Tears</t>
        </is>
      </c>
      <c r="C39" s="4" t="inlineStr">
        <is>
          <t>A complex tear in a young knee after injury is a different lesion with the same name.</t>
        </is>
      </c>
    </row>
    <row r="40">
      <c r="A40" s="4" t="inlineStr">
        <is>
          <t>5.6.8</t>
        </is>
      </c>
      <c r="B40" s="4" t="inlineStr">
        <is>
          <t>Complex Tears</t>
        </is>
      </c>
      <c r="C40" s="4" t="inlineStr">
        <is>
          <t>Resecting here removes tissue from an already compromised compartment.</t>
        </is>
      </c>
    </row>
    <row r="41">
      <c r="A41" s="4" t="inlineStr">
        <is>
          <t>5.6.8</t>
        </is>
      </c>
      <c r="B41" s="4" t="inlineStr">
        <is>
          <t>Complex Tears</t>
        </is>
      </c>
      <c r="C41" s="4" t="inlineStr">
        <is>
          <t>The question worth asking is whether anything is displaced.</t>
        </is>
      </c>
    </row>
    <row r="42">
      <c r="A42" s="4" t="inlineStr">
        <is>
          <t>5.6.9</t>
        </is>
      </c>
      <c r="B42" s="4" t="inlineStr">
        <is>
          <t>Root Tears</t>
        </is>
      </c>
      <c r="C42" s="4" t="inlineStr">
        <is>
          <t>Detection improved through a reporting change, which is not uniform between centres.</t>
        </is>
      </c>
    </row>
    <row r="43">
      <c r="A43" s="4" t="inlineStr">
        <is>
          <t>5.6.9</t>
        </is>
      </c>
      <c r="B43" s="4" t="inlineStr">
        <is>
          <t>Root Tears</t>
        </is>
      </c>
      <c r="C43" s="4" t="inlineStr">
        <is>
          <t>A degenerate root and a torn root are a continuum.</t>
        </is>
      </c>
    </row>
    <row r="44">
      <c r="A44" s="4" t="inlineStr">
        <is>
          <t>5.6.9</t>
        </is>
      </c>
      <c r="B44" s="4" t="inlineStr">
        <is>
          <t>Root Tears</t>
        </is>
      </c>
      <c r="C44" s="4" t="inlineStr">
        <is>
          <t>Repair restores the anchor and does not reliably reverse extrusion.</t>
        </is>
      </c>
    </row>
    <row r="45">
      <c r="A45" s="4" t="inlineStr">
        <is>
          <t>5.6.9</t>
        </is>
      </c>
      <c r="B45" s="4" t="inlineStr">
        <is>
          <t>Root Tears</t>
        </is>
      </c>
      <c r="C45" s="4" t="inlineStr">
        <is>
          <t>Whether repair changes the long term course is a literature question.</t>
        </is>
      </c>
    </row>
    <row r="46">
      <c r="A46" s="4" t="inlineStr">
        <is>
          <t>5.6.9</t>
        </is>
      </c>
      <c r="B46" s="4" t="inlineStr">
        <is>
          <t>Root Tears</t>
        </is>
      </c>
      <c r="C46" s="4" t="inlineStr">
        <is>
          <t>The root tear is the nameable part of a larger mechanical failure.</t>
        </is>
      </c>
    </row>
    <row r="47">
      <c r="A47" s="4" t="inlineStr">
        <is>
          <t>5.6.10</t>
        </is>
      </c>
      <c r="B47" s="4" t="inlineStr">
        <is>
          <t>Ramp Lesions</t>
        </is>
      </c>
      <c r="C47" s="4" t="inlineStr">
        <is>
          <t>Imaging and arthroscopic detection differ enough to justify inspecting regardless.</t>
        </is>
      </c>
    </row>
    <row r="48">
      <c r="A48" s="4" t="inlineStr">
        <is>
          <t>5.6.10</t>
        </is>
      </c>
      <c r="B48" s="4" t="inlineStr">
        <is>
          <t>Ramp Lesions</t>
        </is>
      </c>
      <c r="C48" s="4" t="inlineStr">
        <is>
          <t>The lesion's definition is not uniform across the literature.</t>
        </is>
      </c>
    </row>
    <row r="49">
      <c r="A49" s="4" t="inlineStr">
        <is>
          <t>5.6.10</t>
        </is>
      </c>
      <c r="B49" s="4" t="inlineStr">
        <is>
          <t>Ramp Lesions</t>
        </is>
      </c>
      <c r="C49" s="4" t="inlineStr">
        <is>
          <t>Whether an asymptomatic ramp lesion needs repair is open.</t>
        </is>
      </c>
    </row>
    <row r="50">
      <c r="A50" s="4" t="inlineStr">
        <is>
          <t>5.6.10</t>
        </is>
      </c>
      <c r="B50" s="4" t="inlineStr">
        <is>
          <t>Ramp Lesions</t>
        </is>
      </c>
      <c r="C50" s="4" t="inlineStr">
        <is>
          <t>Secondary signs give a probability rather than a diagnosis.</t>
        </is>
      </c>
    </row>
    <row r="51">
      <c r="A51" s="4" t="inlineStr">
        <is>
          <t>5.6.10</t>
        </is>
      </c>
      <c r="B51" s="4" t="inlineStr">
        <is>
          <t>Ramp Lesions</t>
        </is>
      </c>
      <c r="C51" s="4" t="inlineStr">
        <is>
          <t>Improving detection is a protocol and a reporting problem together.</t>
        </is>
      </c>
    </row>
    <row r="52">
      <c r="A52" s="4" t="inlineStr">
        <is>
          <t>5.6.11</t>
        </is>
      </c>
      <c r="B52" s="4" t="inlineStr">
        <is>
          <t>Meniscal Extrusion</t>
        </is>
      </c>
      <c r="C52" s="4" t="inlineStr">
        <is>
          <t>The measurement depends on a slice chosen by eye.</t>
        </is>
      </c>
    </row>
    <row r="53">
      <c r="A53" s="4" t="inlineStr">
        <is>
          <t>5.6.11</t>
        </is>
      </c>
      <c r="B53" s="4" t="inlineStr">
        <is>
          <t>Meniscal Extrusion</t>
        </is>
      </c>
      <c r="C53" s="4" t="inlineStr">
        <is>
          <t>Osteophyte corrupts the landmark in the knees where it matters most.</t>
        </is>
      </c>
    </row>
    <row r="54">
      <c r="A54" s="4" t="inlineStr">
        <is>
          <t>5.6.11</t>
        </is>
      </c>
      <c r="B54" s="4" t="inlineStr">
        <is>
          <t>Meniscal Extrusion</t>
        </is>
      </c>
      <c r="C54" s="4" t="inlineStr">
        <is>
          <t>The relevant quantity is the loaded position, which is rarely imaged.</t>
        </is>
      </c>
    </row>
    <row r="55">
      <c r="A55" s="4" t="inlineStr">
        <is>
          <t>5.6.11</t>
        </is>
      </c>
      <c r="B55" s="4" t="inlineStr">
        <is>
          <t>Meniscal Extrusion</t>
        </is>
      </c>
      <c r="C55" s="4" t="inlineStr">
        <is>
          <t>Published thresholds come from specific cohorts and protocols.</t>
        </is>
      </c>
    </row>
    <row r="56">
      <c r="A56" s="4" t="inlineStr">
        <is>
          <t>5.6.11</t>
        </is>
      </c>
      <c r="B56" s="4" t="inlineStr">
        <is>
          <t>Meniscal Extrusion</t>
        </is>
      </c>
      <c r="C56" s="4" t="inlineStr">
        <is>
          <t>Whether reducing extrusion changes the course is unanswered.</t>
        </is>
      </c>
    </row>
    <row r="57">
      <c r="A57" s="4" t="inlineStr">
        <is>
          <t>5.6.12</t>
        </is>
      </c>
      <c r="B57" s="4" t="inlineStr">
        <is>
          <t>Post-operative Meniscus</t>
        </is>
      </c>
      <c r="C57" s="4" t="inlineStr">
        <is>
          <t>The operation note changes the report, so it is part of the investigation.</t>
        </is>
      </c>
    </row>
    <row r="58">
      <c r="A58" s="4" t="inlineStr">
        <is>
          <t>5.6.12</t>
        </is>
      </c>
      <c r="B58" s="4" t="inlineStr">
        <is>
          <t>Post-operative Meniscus</t>
        </is>
      </c>
      <c r="C58" s="4" t="inlineStr">
        <is>
          <t>There is no agreed imaging definition of a re-tear.</t>
        </is>
      </c>
    </row>
    <row r="59">
      <c r="A59" s="4" t="inlineStr">
        <is>
          <t>5.6.12</t>
        </is>
      </c>
      <c r="B59" s="4" t="inlineStr">
        <is>
          <t>Post-operative Meniscus</t>
        </is>
      </c>
      <c r="C59" s="4" t="inlineStr">
        <is>
          <t>Contrast helps and is rarely available where the question arises.</t>
        </is>
      </c>
    </row>
    <row r="60">
      <c r="A60" s="4" t="inlineStr">
        <is>
          <t>5.6.12</t>
        </is>
      </c>
      <c r="B60" s="4" t="inlineStr">
        <is>
          <t>Post-operative Meniscus</t>
        </is>
      </c>
      <c r="C60" s="4" t="inlineStr">
        <is>
          <t>The compartment's state predicts more than the search for a tear.</t>
        </is>
      </c>
    </row>
    <row r="61">
      <c r="A61" s="4" t="inlineStr">
        <is>
          <t>5.6.12</t>
        </is>
      </c>
      <c r="B61" s="4" t="inlineStr">
        <is>
          <t>Post-operative Meniscus</t>
        </is>
      </c>
      <c r="C61" s="4" t="inlineStr">
        <is>
          <t>Automated reading is weakest on the studies it was not trained on.</t>
        </is>
      </c>
    </row>
    <row r="62">
      <c r="A62" s="4" t="inlineStr">
        <is>
          <t>5.6.13</t>
        </is>
      </c>
      <c r="B62" s="4" t="inlineStr">
        <is>
          <t>Meniscal Repair Imaging</t>
        </is>
      </c>
      <c r="C62" s="4" t="inlineStr">
        <is>
          <t>Repairs that look unhealed are often intact at arthroscopy.</t>
        </is>
      </c>
    </row>
    <row r="63">
      <c r="A63" s="4" t="inlineStr">
        <is>
          <t>5.6.13</t>
        </is>
      </c>
      <c r="B63" s="4" t="inlineStr">
        <is>
          <t>Meniscal Repair Imaging</t>
        </is>
      </c>
      <c r="C63" s="4" t="inlineStr">
        <is>
          <t>There is no agreed imaging definition of healing.</t>
        </is>
      </c>
    </row>
    <row r="64">
      <c r="A64" s="4" t="inlineStr">
        <is>
          <t>5.6.13</t>
        </is>
      </c>
      <c r="B64" s="4" t="inlineStr">
        <is>
          <t>Meniscal Repair Imaging</t>
        </is>
      </c>
      <c r="C64" s="4" t="inlineStr">
        <is>
          <t>Normal repair signal is long lived and variable.</t>
        </is>
      </c>
    </row>
    <row r="65">
      <c r="A65" s="4" t="inlineStr">
        <is>
          <t>5.6.13</t>
        </is>
      </c>
      <c r="B65" s="4" t="inlineStr">
        <is>
          <t>Meniscal Repair Imaging</t>
        </is>
      </c>
      <c r="C65" s="4" t="inlineStr">
        <is>
          <t>Root repair is judged by a supine measurement of a standing problem.</t>
        </is>
      </c>
    </row>
    <row r="66">
      <c r="A66" s="4" t="inlineStr">
        <is>
          <t>5.6.13</t>
        </is>
      </c>
      <c r="B66" s="4" t="inlineStr">
        <is>
          <t>Meniscal Repair Imaging</t>
        </is>
      </c>
      <c r="C66" s="4" t="inlineStr">
        <is>
          <t>Quantitative sequences do not answer a mechanical question.</t>
        </is>
      </c>
    </row>
    <row r="67">
      <c r="A67" s="4" t="inlineStr">
        <is>
          <t>5.6.14</t>
        </is>
      </c>
      <c r="B67" s="4" t="inlineStr">
        <is>
          <t>Meniscal Transplantation Imaging</t>
        </is>
      </c>
      <c r="C67" s="4" t="inlineStr">
        <is>
          <t>There is no established normal appearance for a transplanted meniscus.</t>
        </is>
      </c>
    </row>
    <row r="68">
      <c r="A68" s="4" t="inlineStr">
        <is>
          <t>5.6.14</t>
        </is>
      </c>
      <c r="B68" s="4" t="inlineStr">
        <is>
          <t>Meniscal Transplantation Imaging</t>
        </is>
      </c>
      <c r="C68" s="4" t="inlineStr">
        <is>
          <t>Graft extrusion is near universal and its meaning is unsettled.</t>
        </is>
      </c>
    </row>
    <row r="69">
      <c r="A69" s="4" t="inlineStr">
        <is>
          <t>5.6.14</t>
        </is>
      </c>
      <c r="B69" s="4" t="inlineStr">
        <is>
          <t>Meniscal Transplantation Imaging</t>
        </is>
      </c>
      <c r="C69" s="4" t="inlineStr">
        <is>
          <t>The outcome that matters is chondroprotection measured over years.</t>
        </is>
      </c>
    </row>
    <row r="70">
      <c r="A70" s="4" t="inlineStr">
        <is>
          <t>5.6.14</t>
        </is>
      </c>
      <c r="B70" s="4" t="inlineStr">
        <is>
          <t>Meniscal Transplantation Imaging</t>
        </is>
      </c>
      <c r="C70" s="4" t="inlineStr">
        <is>
          <t>Alignment and cartilage state determine the result more than graft appearance.</t>
        </is>
      </c>
    </row>
    <row r="71">
      <c r="A71" s="4" t="inlineStr">
        <is>
          <t>5.6.14</t>
        </is>
      </c>
      <c r="B71" s="4" t="inlineStr">
        <is>
          <t>Meniscal Transplantation Imaging</t>
        </is>
      </c>
      <c r="C71" s="4" t="inlineStr">
        <is>
          <t>The population is too small to have validated quantitative assessment.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5.6.2-P1</t>
        </is>
      </c>
      <c r="B3" s="4" t="inlineStr">
        <is>
          <t>5.6.2</t>
        </is>
      </c>
      <c r="C3" s="4" t="inlineStr">
        <is>
          <t>medical_student</t>
        </is>
      </c>
      <c r="D3" s="4" t="inlineStr">
        <is>
          <t>Assess internal signal on the proton density or intermediate weighted images, where degenerate tissue and a tear both produce signal against a dark background.</t>
        </is>
      </c>
      <c r="E3" s="4" t="inlineStr"/>
      <c r="F3" s="4" t="inlineStr"/>
      <c r="G3" s="4" t="inlineStr"/>
    </row>
    <row r="4">
      <c r="A4" s="4" t="inlineStr">
        <is>
          <t>5.6.2-P2</t>
        </is>
      </c>
      <c r="B4" s="4" t="inlineStr">
        <is>
          <t>5.6.2</t>
        </is>
      </c>
      <c r="C4" s="4" t="inlineStr">
        <is>
          <t>medical_student</t>
        </is>
      </c>
      <c r="D4" s="4" t="inlineStr">
        <is>
          <t>Confirm on a fluid sensitive sequence, since a tear filled with fluid is bright there.</t>
        </is>
      </c>
      <c r="E4" s="4" t="inlineStr"/>
      <c r="F4" s="4" t="inlineStr"/>
      <c r="G4" s="4" t="inlineStr"/>
    </row>
    <row r="5">
      <c r="A5" s="4" t="inlineStr">
        <is>
          <t>5.6.2-P3</t>
        </is>
      </c>
      <c r="B5" s="4" t="inlineStr">
        <is>
          <t>5.6.2</t>
        </is>
      </c>
      <c r="C5" s="4" t="inlineStr">
        <is>
          <t>medical_student</t>
        </is>
      </c>
      <c r="D5" s="4" t="inlineStr">
        <is>
          <t>Decide, for each area of signal, whether it reaches an articular surface, which is the question the grade turns on.</t>
        </is>
      </c>
      <c r="E5" s="4" t="inlineStr"/>
      <c r="F5" s="4" t="inlineStr"/>
      <c r="G5" s="4" t="inlineStr"/>
    </row>
    <row r="6">
      <c r="A6" s="4" t="inlineStr">
        <is>
          <t>5.6.2-P4</t>
        </is>
      </c>
      <c r="B6" s="4" t="inlineStr">
        <is>
          <t>5.6.2</t>
        </is>
      </c>
      <c r="C6" s="4" t="inlineStr">
        <is>
          <t>medical_student</t>
        </is>
      </c>
      <c r="D6" s="4" t="inlineStr">
        <is>
          <t>Check it on two consecutive slices and in both planes, because signal on one slice in one plane is usually artefact or partial volume.</t>
        </is>
      </c>
      <c r="E6" s="4" t="inlineStr"/>
      <c r="F6" s="4" t="inlineStr"/>
      <c r="G6" s="4" t="inlineStr"/>
    </row>
    <row r="7">
      <c r="A7" s="4" t="inlineStr">
        <is>
          <t>5.6.2-P5</t>
        </is>
      </c>
      <c r="B7" s="4" t="inlineStr">
        <is>
          <t>5.6.2</t>
        </is>
      </c>
      <c r="C7" s="4" t="inlineStr">
        <is>
          <t>medical_student</t>
        </is>
      </c>
      <c r="D7" s="4" t="inlineStr">
        <is>
          <t>Record the location by horn and by zone, since the zone predicts whether a tear can heal.</t>
        </is>
      </c>
      <c r="E7" s="4" t="inlineStr"/>
      <c r="F7" s="4" t="inlineStr"/>
      <c r="G7" s="4" t="inlineStr"/>
    </row>
    <row r="8">
      <c r="A8" s="4" t="inlineStr">
        <is>
          <t>5.6.3-P1</t>
        </is>
      </c>
      <c r="B8" s="4" t="inlineStr">
        <is>
          <t>5.6.3</t>
        </is>
      </c>
      <c r="C8" s="4" t="inlineStr">
        <is>
          <t>medical_student</t>
        </is>
      </c>
      <c r="D8" s="4" t="inlineStr">
        <is>
          <t>Confirm on the coronal images, where the same tear appears as a line running from the free edge towards the capsule.</t>
        </is>
      </c>
      <c r="E8" s="4" t="inlineStr"/>
      <c r="F8" s="4" t="inlineStr"/>
      <c r="G8" s="4" t="inlineStr"/>
    </row>
    <row r="9">
      <c r="A9" s="4" t="inlineStr">
        <is>
          <t>5.6.3-P2</t>
        </is>
      </c>
      <c r="B9" s="4" t="inlineStr">
        <is>
          <t>5.6.3</t>
        </is>
      </c>
      <c r="C9" s="4" t="inlineStr">
        <is>
          <t>medical_student</t>
        </is>
      </c>
      <c r="D9" s="4" t="inlineStr">
        <is>
          <t>Decide whether the line reaches an articular surface, since that is what makes it a tear rather than intrasubstance degeneration.</t>
        </is>
      </c>
      <c r="E9" s="4" t="inlineStr"/>
      <c r="F9" s="4" t="inlineStr"/>
      <c r="G9" s="4" t="inlineStr"/>
    </row>
    <row r="10">
      <c r="A10" s="4" t="inlineStr">
        <is>
          <t>5.6.3-P3</t>
        </is>
      </c>
      <c r="B10" s="4" t="inlineStr">
        <is>
          <t>5.6.3</t>
        </is>
      </c>
      <c r="C10" s="4" t="inlineStr">
        <is>
          <t>medical_student</t>
        </is>
      </c>
      <c r="D10" s="4" t="inlineStr">
        <is>
          <t>Assess the cartilage in the same compartment, because the tear and the wear usually travel together.</t>
        </is>
      </c>
      <c r="E10" s="4" t="inlineStr"/>
      <c r="F10" s="4" t="inlineStr"/>
      <c r="G10" s="4" t="inlineStr"/>
    </row>
    <row r="11">
      <c r="A11" s="4" t="inlineStr">
        <is>
          <t>5.6.3-P4</t>
        </is>
      </c>
      <c r="B11" s="4" t="inlineStr">
        <is>
          <t>5.6.3</t>
        </is>
      </c>
      <c r="C11" s="4" t="inlineStr">
        <is>
          <t>frcs</t>
        </is>
      </c>
      <c r="D11" s="4" t="inlineStr">
        <is>
          <t>A displaced leaf is a different proposition from a stable split, and displacement is what the imaging should be asked about.</t>
        </is>
      </c>
      <c r="E11" s="4" t="inlineStr"/>
      <c r="F11" s="4" t="inlineStr"/>
      <c r="G11" s="4" t="inlineStr"/>
    </row>
    <row r="12">
      <c r="A12" s="4" t="inlineStr">
        <is>
          <t>5.6.4-P1</t>
        </is>
      </c>
      <c r="B12" s="4" t="inlineStr">
        <is>
          <t>5.6.4</t>
        </is>
      </c>
      <c r="C12" s="4" t="inlineStr">
        <is>
          <t>medical_student</t>
        </is>
      </c>
      <c r="D12" s="4" t="inlineStr">
        <is>
          <t>Follow it across consecutive sagittal images to establish its length, since a longitudinal tear runs along the meniscus and its length is the surgical question.</t>
        </is>
      </c>
      <c r="E12" s="4" t="inlineStr"/>
      <c r="F12" s="4" t="inlineStr"/>
      <c r="G12" s="4" t="inlineStr"/>
    </row>
    <row r="13">
      <c r="A13" s="4" t="inlineStr">
        <is>
          <t>5.6.4-P2</t>
        </is>
      </c>
      <c r="B13" s="4" t="inlineStr">
        <is>
          <t>5.6.4</t>
        </is>
      </c>
      <c r="C13" s="4" t="inlineStr">
        <is>
          <t>medical_student</t>
        </is>
      </c>
      <c r="D13" s="4" t="inlineStr">
        <is>
          <t>Decide how peripheral it is, because a tear at the capsular margin is in vascular tissue and one at the free edge is not.</t>
        </is>
      </c>
      <c r="E13" s="4" t="inlineStr"/>
      <c r="F13" s="4" t="inlineStr"/>
      <c r="G13" s="4" t="inlineStr"/>
    </row>
    <row r="14">
      <c r="A14" s="4" t="inlineStr">
        <is>
          <t>5.6.4-P3</t>
        </is>
      </c>
      <c r="B14" s="4" t="inlineStr">
        <is>
          <t>5.6.4</t>
        </is>
      </c>
      <c r="C14" s="4" t="inlineStr">
        <is>
          <t>medical_student</t>
        </is>
      </c>
      <c r="D14" s="4" t="inlineStr">
        <is>
          <t>Assess the cruciate, because this pattern and a cruciate tear travel together.</t>
        </is>
      </c>
      <c r="E14" s="4" t="inlineStr"/>
      <c r="F14" s="4" t="inlineStr"/>
      <c r="G14" s="4" t="inlineStr"/>
    </row>
    <row r="15">
      <c r="A15" s="4" t="inlineStr">
        <is>
          <t>5.6.4-P4</t>
        </is>
      </c>
      <c r="B15" s="4" t="inlineStr">
        <is>
          <t>5.6.4</t>
        </is>
      </c>
      <c r="C15" s="4" t="inlineStr">
        <is>
          <t>fellowship</t>
        </is>
      </c>
      <c r="D15" s="4" t="inlineStr">
        <is>
          <t>Repair outcome depends on factors the imaging does not show, including the patient's age and the cruciate's state, so a repairable appearance is not a prediction.</t>
        </is>
      </c>
      <c r="E15" s="4" t="inlineStr"/>
      <c r="F15" s="4" t="inlineStr"/>
      <c r="G15" s="4" t="inlineStr"/>
    </row>
    <row r="16">
      <c r="A16" s="4" t="inlineStr">
        <is>
          <t>5.6.5-P1</t>
        </is>
      </c>
      <c r="B16" s="4" t="inlineStr">
        <is>
          <t>5.6.5</t>
        </is>
      </c>
      <c r="C16" s="4" t="inlineStr">
        <is>
          <t>medical_student</t>
        </is>
      </c>
      <c r="D16" s="4" t="inlineStr">
        <is>
          <t>Assess extrusion, because a radial tear releases the hoop and the meniscus then moves out of the joint.</t>
        </is>
      </c>
      <c r="E16" s="4" t="inlineStr"/>
      <c r="F16" s="4" t="inlineStr"/>
      <c r="G16" s="4" t="inlineStr"/>
    </row>
    <row r="17">
      <c r="A17" s="4" t="inlineStr">
        <is>
          <t>5.6.5-P2</t>
        </is>
      </c>
      <c r="B17" s="4" t="inlineStr">
        <is>
          <t>5.6.5</t>
        </is>
      </c>
      <c r="C17" s="4" t="inlineStr">
        <is>
          <t>mrcs</t>
        </is>
      </c>
      <c r="D17" s="4" t="inlineStr">
        <is>
          <t>Repair is harder because the fibres being approximated run across the repair rather than along it.</t>
        </is>
      </c>
      <c r="E17" s="4" t="inlineStr"/>
      <c r="F17" s="4" t="inlineStr"/>
      <c r="G17" s="4" t="inlineStr"/>
    </row>
    <row r="18">
      <c r="A18" s="4" t="inlineStr">
        <is>
          <t>5.6.5-P3</t>
        </is>
      </c>
      <c r="B18" s="4" t="inlineStr">
        <is>
          <t>5.6.5</t>
        </is>
      </c>
      <c r="C18" s="4" t="inlineStr">
        <is>
          <t>fellowship</t>
        </is>
      </c>
      <c r="D18" s="4" t="inlineStr">
        <is>
          <t>Repair of a radial tear is mechanically unfavourable and is still often the better option in a young knee, which is a judgement the imaging informs and does not make.</t>
        </is>
      </c>
      <c r="E18" s="4" t="inlineStr"/>
      <c r="F18" s="4" t="inlineStr"/>
      <c r="G18" s="4" t="inlineStr"/>
    </row>
    <row r="19">
      <c r="A19" s="4" t="inlineStr">
        <is>
          <t>5.6.6-P1</t>
        </is>
      </c>
      <c r="B19" s="4" t="inlineStr">
        <is>
          <t>5.6.6</t>
        </is>
      </c>
      <c r="C19" s="4" t="inlineStr">
        <is>
          <t>medical_student</t>
        </is>
      </c>
      <c r="D19" s="4" t="inlineStr">
        <is>
          <t>Count the bow tie appearances on the peripheral sagittal images, since an absent bow tie indicates the body of the meniscus has gone.</t>
        </is>
      </c>
      <c r="E19" s="4" t="inlineStr"/>
      <c r="F19" s="4" t="inlineStr"/>
      <c r="G19" s="4" t="inlineStr"/>
    </row>
    <row r="20">
      <c r="A20" s="4" t="inlineStr">
        <is>
          <t>5.6.6-P2</t>
        </is>
      </c>
      <c r="B20" s="4" t="inlineStr">
        <is>
          <t>5.6.6</t>
        </is>
      </c>
      <c r="C20" s="4" t="inlineStr">
        <is>
          <t>fellowship</t>
        </is>
      </c>
      <c r="D20" s="4" t="inlineStr">
        <is>
          <t>Repair after chronic displacement depends on tissue that has been out of position for months, which the imaging cannot assess.</t>
        </is>
      </c>
      <c r="E20" s="4" t="inlineStr"/>
      <c r="F20" s="4" t="inlineStr"/>
      <c r="G20" s="4" t="inlineStr"/>
    </row>
    <row r="21">
      <c r="A21" s="4" t="inlineStr">
        <is>
          <t>5.6.7-P1</t>
        </is>
      </c>
      <c r="B21" s="4" t="inlineStr">
        <is>
          <t>5.6.7</t>
        </is>
      </c>
      <c r="C21" s="4" t="inlineStr">
        <is>
          <t>medical_student</t>
        </is>
      </c>
      <c r="D21" s="4" t="inlineStr">
        <is>
          <t>Assess the meniscus itself first, since the parent tear is usually a horizontal or oblique split.</t>
        </is>
      </c>
      <c r="E21" s="4" t="inlineStr"/>
      <c r="F21" s="4" t="inlineStr"/>
      <c r="G21" s="4" t="inlineStr"/>
    </row>
    <row r="22">
      <c r="A22" s="4" t="inlineStr">
        <is>
          <t>5.6.7-P2</t>
        </is>
      </c>
      <c r="B22" s="4" t="inlineStr">
        <is>
          <t>5.6.7</t>
        </is>
      </c>
      <c r="C22" s="4" t="inlineStr">
        <is>
          <t>medical_student</t>
        </is>
      </c>
      <c r="D22" s="4" t="inlineStr">
        <is>
          <t>Compare the meniscal height across the slices, since a leaf lifted away makes the parent thinner.</t>
        </is>
      </c>
      <c r="E22" s="4" t="inlineStr"/>
      <c r="F22" s="4" t="inlineStr"/>
      <c r="G22" s="4" t="inlineStr"/>
    </row>
    <row r="23">
      <c r="A23" s="4" t="inlineStr">
        <is>
          <t>5.6.7-P3</t>
        </is>
      </c>
      <c r="B23" s="4" t="inlineStr">
        <is>
          <t>5.6.7</t>
        </is>
      </c>
      <c r="C23" s="4" t="inlineStr">
        <is>
          <t>medical_student</t>
        </is>
      </c>
      <c r="D23" s="4" t="inlineStr">
        <is>
          <t>Assess both the coronal and sagittal images, because a leaf is often visible in only one.</t>
        </is>
      </c>
      <c r="E23" s="4" t="inlineStr"/>
      <c r="F23" s="4" t="inlineStr"/>
      <c r="G23" s="4" t="inlineStr"/>
    </row>
    <row r="24">
      <c r="A24" s="4" t="inlineStr">
        <is>
          <t>5.6.8-P1</t>
        </is>
      </c>
      <c r="B24" s="4" t="inlineStr">
        <is>
          <t>5.6.8</t>
        </is>
      </c>
      <c r="C24" s="4" t="inlineStr">
        <is>
          <t>medical_student</t>
        </is>
      </c>
      <c r="D24" s="4" t="inlineStr">
        <is>
          <t>Assess the meniscus in both planes and establish how many distinct tear planes are present.</t>
        </is>
      </c>
      <c r="E24" s="4" t="inlineStr"/>
      <c r="F24" s="4" t="inlineStr"/>
      <c r="G24" s="4" t="inlineStr"/>
    </row>
    <row r="25">
      <c r="A25" s="4" t="inlineStr">
        <is>
          <t>5.6.8-P2</t>
        </is>
      </c>
      <c r="B25" s="4" t="inlineStr">
        <is>
          <t>5.6.8</t>
        </is>
      </c>
      <c r="C25" s="4" t="inlineStr">
        <is>
          <t>medical_student</t>
        </is>
      </c>
      <c r="D25" s="4" t="inlineStr">
        <is>
          <t>Identify whether any component reaches the capsular margin, since a complete radial component changes the mechanics.</t>
        </is>
      </c>
      <c r="E25" s="4" t="inlineStr"/>
      <c r="F25" s="4" t="inlineStr"/>
      <c r="G25" s="4" t="inlineStr"/>
    </row>
    <row r="26">
      <c r="A26" s="4" t="inlineStr">
        <is>
          <t>5.6.8-P3</t>
        </is>
      </c>
      <c r="B26" s="4" t="inlineStr">
        <is>
          <t>5.6.8</t>
        </is>
      </c>
      <c r="C26" s="4" t="inlineStr">
        <is>
          <t>medical_student</t>
        </is>
      </c>
      <c r="D26" s="4" t="inlineStr">
        <is>
          <t>Measure extrusion, which in this setting is more informative than the tear description.</t>
        </is>
      </c>
      <c r="E26" s="4" t="inlineStr"/>
      <c r="F26" s="4" t="inlineStr"/>
      <c r="G26" s="4" t="inlineStr"/>
    </row>
    <row r="27">
      <c r="A27" s="4" t="inlineStr">
        <is>
          <t>5.6.8-P4</t>
        </is>
      </c>
      <c r="B27" s="4" t="inlineStr">
        <is>
          <t>5.6.8</t>
        </is>
      </c>
      <c r="C27" s="4" t="inlineStr">
        <is>
          <t>medical_student</t>
        </is>
      </c>
      <c r="D27" s="4" t="inlineStr">
        <is>
          <t>Assess the cartilage and the bone in the compartment, because they are the reason this meniscus looks like this.</t>
        </is>
      </c>
      <c r="E27" s="4" t="inlineStr"/>
      <c r="F27" s="4" t="inlineStr"/>
      <c r="G27" s="4" t="inlineStr"/>
    </row>
    <row r="28">
      <c r="A28" s="4" t="inlineStr">
        <is>
          <t>5.6.9-P1</t>
        </is>
      </c>
      <c r="B28" s="4" t="inlineStr">
        <is>
          <t>5.6.9</t>
        </is>
      </c>
      <c r="C28" s="4" t="inlineStr">
        <is>
          <t>medical_student</t>
        </is>
      </c>
      <c r="D28" s="4" t="inlineStr">
        <is>
          <t>Follow the root on consecutive sagittal images, since the posterior medial root is the commonest site and is small.</t>
        </is>
      </c>
      <c r="E28" s="4" t="inlineStr"/>
      <c r="F28" s="4" t="inlineStr"/>
      <c r="G28" s="4" t="inlineStr"/>
    </row>
    <row r="29">
      <c r="A29" s="4" t="inlineStr">
        <is>
          <t>5.6.9-P2</t>
        </is>
      </c>
      <c r="B29" s="4" t="inlineStr">
        <is>
          <t>5.6.9</t>
        </is>
      </c>
      <c r="C29" s="4" t="inlineStr">
        <is>
          <t>medical_student</t>
        </is>
      </c>
      <c r="D29" s="4" t="inlineStr">
        <is>
          <t>Measure extrusion on the coronal image, because extrusion is the consequence and is often more conspicuous than the tear.</t>
        </is>
      </c>
      <c r="E29" s="4" t="inlineStr"/>
      <c r="F29" s="4" t="inlineStr"/>
      <c r="G29" s="4" t="inlineStr"/>
    </row>
    <row r="30">
      <c r="A30" s="4" t="inlineStr">
        <is>
          <t>5.6.9-P3</t>
        </is>
      </c>
      <c r="B30" s="4" t="inlineStr">
        <is>
          <t>5.6.9</t>
        </is>
      </c>
      <c r="C30" s="4" t="inlineStr">
        <is>
          <t>fellowship</t>
        </is>
      </c>
      <c r="D30" s="4" t="inlineStr">
        <is>
          <t>Repair restores the anchor and does not reliably reverse extrusion, so the mechanical correction is partial and the imaging after repair reflects that.</t>
        </is>
      </c>
      <c r="E30" s="4" t="inlineStr"/>
      <c r="F30" s="4" t="inlineStr"/>
      <c r="G30" s="4" t="inlineStr"/>
    </row>
    <row r="31">
      <c r="A31" s="4" t="inlineStr">
        <is>
          <t>5.6.10-P1</t>
        </is>
      </c>
      <c r="B31" s="4" t="inlineStr">
        <is>
          <t>5.6.10</t>
        </is>
      </c>
      <c r="C31" s="4" t="inlineStr">
        <is>
          <t>medical_student</t>
        </is>
      </c>
      <c r="D31" s="4" t="inlineStr">
        <is>
          <t>Assess the cruciate, because the association runs both ways and a ramp lesion should prompt a careful cruciate review.</t>
        </is>
      </c>
      <c r="E31" s="4" t="inlineStr"/>
      <c r="F31" s="4" t="inlineStr"/>
      <c r="G31" s="4" t="inlineStr"/>
    </row>
    <row r="32">
      <c r="A32" s="4" t="inlineStr">
        <is>
          <t>5.6.11-P1</t>
        </is>
      </c>
      <c r="B32" s="4" t="inlineStr">
        <is>
          <t>5.6.11</t>
        </is>
      </c>
      <c r="C32" s="4" t="inlineStr">
        <is>
          <t>medical_student</t>
        </is>
      </c>
      <c r="D32" s="4" t="inlineStr">
        <is>
          <t>Measure on the coronal image through the mid body of the meniscus, where the tibial margin is a clear landmark.</t>
        </is>
      </c>
      <c r="E32" s="4" t="inlineStr"/>
      <c r="F32" s="4" t="inlineStr"/>
      <c r="G32" s="4" t="inlineStr"/>
    </row>
    <row r="33">
      <c r="A33" s="4" t="inlineStr">
        <is>
          <t>5.6.11-P2</t>
        </is>
      </c>
      <c r="B33" s="4" t="inlineStr">
        <is>
          <t>5.6.11</t>
        </is>
      </c>
      <c r="C33" s="4" t="inlineStr">
        <is>
          <t>medical_student</t>
        </is>
      </c>
      <c r="D33" s="4" t="inlineStr">
        <is>
          <t>Measure from the edge of the tibial plateau to the outer edge of the meniscus, excluding osteophyte from the tibial landmark.</t>
        </is>
      </c>
      <c r="E33" s="4" t="inlineStr"/>
      <c r="F33" s="4" t="inlineStr"/>
      <c r="G33" s="4" t="inlineStr"/>
    </row>
    <row r="34">
      <c r="A34" s="4" t="inlineStr">
        <is>
          <t>5.6.11-P3</t>
        </is>
      </c>
      <c r="B34" s="4" t="inlineStr">
        <is>
          <t>5.6.11</t>
        </is>
      </c>
      <c r="C34" s="4" t="inlineStr">
        <is>
          <t>medical_student</t>
        </is>
      </c>
      <c r="D34" s="4" t="inlineStr">
        <is>
          <t>Record which compartment, because medial extrusion is much more common and carries the clearer association with cartilage loss.</t>
        </is>
      </c>
      <c r="E34" s="4" t="inlineStr"/>
      <c r="F34" s="4" t="inlineStr"/>
      <c r="G34" s="4" t="inlineStr"/>
    </row>
    <row r="35">
      <c r="A35" s="4" t="inlineStr">
        <is>
          <t>5.6.11-P4</t>
        </is>
      </c>
      <c r="B35" s="4" t="inlineStr">
        <is>
          <t>5.6.11</t>
        </is>
      </c>
      <c r="C35" s="4" t="inlineStr">
        <is>
          <t>medical_student</t>
        </is>
      </c>
      <c r="D35" s="4" t="inlineStr">
        <is>
          <t>- Osteophyte must be excluded from the tibial landmark.</t>
        </is>
      </c>
      <c r="E35" s="4" t="inlineStr"/>
      <c r="F35" s="4" t="inlineStr"/>
      <c r="G35" s="4" t="inlineStr"/>
    </row>
    <row r="36">
      <c r="A36" s="4" t="inlineStr">
        <is>
          <t>5.6.12-P1</t>
        </is>
      </c>
      <c r="B36" s="4" t="inlineStr">
        <is>
          <t>5.6.12</t>
        </is>
      </c>
      <c r="C36" s="4" t="inlineStr">
        <is>
          <t>medical_student</t>
        </is>
      </c>
      <c r="D36" s="4" t="inlineStr">
        <is>
          <t>Compare with the pre-operative study where one exists, which converts a question about appearance into a question about change.</t>
        </is>
      </c>
      <c r="E36" s="4" t="inlineStr"/>
      <c r="F36" s="4" t="inlineStr"/>
      <c r="G36" s="4" t="inlineStr"/>
    </row>
    <row r="37">
      <c r="A37" s="4" t="inlineStr">
        <is>
          <t>5.6.12-P2</t>
        </is>
      </c>
      <c r="B37" s="4" t="inlineStr">
        <is>
          <t>5.6.12</t>
        </is>
      </c>
      <c r="C37" s="4" t="inlineStr">
        <is>
          <t>medical_student</t>
        </is>
      </c>
      <c r="D37" s="4" t="inlineStr">
        <is>
          <t>Use the post-operative protocol rather than the standard one, since metal artefact from fixation and the altered shape both need accommodating.</t>
        </is>
      </c>
      <c r="E37" s="4" t="inlineStr"/>
      <c r="F37" s="4" t="inlineStr"/>
      <c r="G37" s="4" t="inlineStr"/>
    </row>
    <row r="38">
      <c r="A38" s="4" t="inlineStr">
        <is>
          <t>5.6.12-P3</t>
        </is>
      </c>
      <c r="B38" s="4" t="inlineStr">
        <is>
          <t>5.6.12</t>
        </is>
      </c>
      <c r="C38" s="4" t="inlineStr">
        <is>
          <t>medical_student</t>
        </is>
      </c>
      <c r="D38" s="4" t="inlineStr">
        <is>
          <t>Assess the remaining meniscus for its size and its position as well as for signal within it.</t>
        </is>
      </c>
      <c r="E38" s="4" t="inlineStr"/>
      <c r="F38" s="4" t="inlineStr"/>
      <c r="G38" s="4" t="inlineStr"/>
    </row>
    <row r="39">
      <c r="A39" s="4" t="inlineStr">
        <is>
          <t>5.6.12-P4</t>
        </is>
      </c>
      <c r="B39" s="4" t="inlineStr">
        <is>
          <t>5.6.12</t>
        </is>
      </c>
      <c r="C39" s="4" t="inlineStr">
        <is>
          <t>medical_student</t>
        </is>
      </c>
      <c r="D39" s="4" t="inlineStr">
        <is>
          <t>Assess the compartment, because what happens to the cartilage after meniscal surgery is the outcome the patient notices.</t>
        </is>
      </c>
      <c r="E39" s="4" t="inlineStr"/>
      <c r="F39" s="4" t="inlineStr"/>
      <c r="G39" s="4" t="inlineStr"/>
    </row>
    <row r="40">
      <c r="A40" s="4" t="inlineStr">
        <is>
          <t>5.6.12-P5</t>
        </is>
      </c>
      <c r="B40" s="4" t="inlineStr">
        <is>
          <t>5.6.12</t>
        </is>
      </c>
      <c r="C40" s="4" t="inlineStr">
        <is>
          <t>fellowship</t>
        </is>
      </c>
      <c r="D40" s="4" t="inlineStr">
        <is>
          <t>Automated reading is being applied to post-operative studies that were excluded from the training sets, which is the setting where it should be trusted least.</t>
        </is>
      </c>
      <c r="E40" s="4" t="inlineStr"/>
      <c r="F40" s="4" t="inlineStr"/>
      <c r="G40" s="4" t="inlineStr"/>
    </row>
    <row r="41">
      <c r="A41" s="4" t="inlineStr">
        <is>
          <t>5.6.13-P1</t>
        </is>
      </c>
      <c r="B41" s="4" t="inlineStr">
        <is>
          <t>5.6.13</t>
        </is>
      </c>
      <c r="C41" s="4" t="inlineStr">
        <is>
          <t>medical_student</t>
        </is>
      </c>
      <c r="D41" s="4" t="inlineStr">
        <is>
          <t>Use the post-operative protocol, since suture material and any implant produce local artefact at exactly the site in question.</t>
        </is>
      </c>
      <c r="E41" s="4" t="inlineStr"/>
      <c r="F41" s="4" t="inlineStr"/>
      <c r="G41" s="4" t="inlineStr"/>
    </row>
    <row r="42">
      <c r="A42" s="4" t="inlineStr">
        <is>
          <t>5.6.13-P2</t>
        </is>
      </c>
      <c r="B42" s="4" t="inlineStr">
        <is>
          <t>5.6.13</t>
        </is>
      </c>
      <c r="C42" s="4" t="inlineStr">
        <is>
          <t>medical_student</t>
        </is>
      </c>
      <c r="D42" s="4" t="inlineStr">
        <is>
          <t>Compare with the earliest post-operative study available, which turns the appearance into a trend.</t>
        </is>
      </c>
      <c r="E42" s="4" t="inlineStr"/>
      <c r="F42" s="4" t="inlineStr"/>
      <c r="G42" s="4" t="inlineStr"/>
    </row>
    <row r="43">
      <c r="A43" s="4" t="inlineStr">
        <is>
          <t>5.6.13-P3</t>
        </is>
      </c>
      <c r="B43" s="4" t="inlineStr">
        <is>
          <t>5.6.13</t>
        </is>
      </c>
      <c r="C43" s="4" t="inlineStr">
        <is>
          <t>medical_student</t>
        </is>
      </c>
      <c r="D43" s="4" t="inlineStr">
        <is>
          <t>Assess for displacement, which is the finding that does not depend on signal.</t>
        </is>
      </c>
      <c r="E43" s="4" t="inlineStr"/>
      <c r="F43" s="4" t="inlineStr"/>
      <c r="G43" s="4" t="inlineStr"/>
    </row>
    <row r="44">
      <c r="A44" s="4" t="inlineStr">
        <is>
          <t>5.6.13-P4</t>
        </is>
      </c>
      <c r="B44" s="4" t="inlineStr">
        <is>
          <t>5.6.13</t>
        </is>
      </c>
      <c r="C44" s="4" t="inlineStr">
        <is>
          <t>medical_student</t>
        </is>
      </c>
      <c r="D44" s="4" t="inlineStr">
        <is>
          <t>Assess the position of the body, because a repair that has not restored the anchor leaves the meniscus extruded.</t>
        </is>
      </c>
      <c r="E44" s="4" t="inlineStr"/>
      <c r="F44" s="4" t="inlineStr"/>
      <c r="G44" s="4" t="inlineStr"/>
    </row>
    <row r="45">
      <c r="A45" s="4" t="inlineStr">
        <is>
          <t>5.6.13-P5</t>
        </is>
      </c>
      <c r="B45" s="4" t="inlineStr">
        <is>
          <t>5.6.13</t>
        </is>
      </c>
      <c r="C45" s="4" t="inlineStr">
        <is>
          <t>mrcs</t>
        </is>
      </c>
      <c r="D45" s="4" t="inlineStr">
        <is>
          <t>Repair restores continuity, so it should restore the circumferential tension, and persistent extrusion after repair says it has not.</t>
        </is>
      </c>
      <c r="E45" s="4" t="inlineStr"/>
      <c r="F45" s="4" t="inlineStr"/>
      <c r="G45" s="4" t="inlineStr"/>
    </row>
    <row r="46">
      <c r="A46" s="4" t="inlineStr">
        <is>
          <t>5.6.14-P1</t>
        </is>
      </c>
      <c r="B46" s="4" t="inlineStr">
        <is>
          <t>5.6.14</t>
        </is>
      </c>
      <c r="C46" s="4" t="inlineStr">
        <is>
          <t>medical_student</t>
        </is>
      </c>
      <c r="D46" s="4" t="inlineStr">
        <is>
          <t>Compare with the earliest post-operative study, since the graft's size and position change over time and the baseline is what makes that readable.</t>
        </is>
      </c>
      <c r="E46" s="4" t="inlineStr"/>
      <c r="F46" s="4" t="inlineStr"/>
      <c r="G46" s="4" t="inlineStr"/>
    </row>
    <row r="47">
      <c r="A47" s="4" t="inlineStr">
        <is>
          <t>5.6.14-P2</t>
        </is>
      </c>
      <c r="B47" s="4" t="inlineStr">
        <is>
          <t>5.6.14</t>
        </is>
      </c>
      <c r="C47" s="4" t="inlineStr">
        <is>
          <t>medical_student</t>
        </is>
      </c>
      <c r="D47" s="4" t="inlineStr">
        <is>
          <t>Measure extrusion of the graft, which is the finding with the clearest mechanical meaning.</t>
        </is>
      </c>
      <c r="E47" s="4" t="inlineStr"/>
      <c r="F47" s="4" t="inlineStr"/>
      <c r="G47" s="4" t="inlineStr"/>
    </row>
    <row r="48">
      <c r="A48" s="4" t="inlineStr">
        <is>
          <t>5.6.14-P3</t>
        </is>
      </c>
      <c r="B48" s="4" t="inlineStr">
        <is>
          <t>5.6.14</t>
        </is>
      </c>
      <c r="C48" s="4" t="inlineStr">
        <is>
          <t>medical_student</t>
        </is>
      </c>
      <c r="D48" s="4" t="inlineStr">
        <is>
          <t>Assess the horn attachments, because a graft that has lost an attachment has lost its function whatever the body looks like.</t>
        </is>
      </c>
      <c r="E48" s="4" t="inlineStr"/>
      <c r="F48" s="4" t="inlineStr"/>
      <c r="G48" s="4" t="inlineStr"/>
    </row>
    <row r="49">
      <c r="A49" s="4" t="inlineStr">
        <is>
          <t>5.6.14-P4</t>
        </is>
      </c>
      <c r="B49" s="4" t="inlineStr">
        <is>
          <t>5.6.14</t>
        </is>
      </c>
      <c r="C49" s="4" t="inlineStr">
        <is>
          <t>medical_student</t>
        </is>
      </c>
      <c r="D49" s="4" t="inlineStr">
        <is>
          <t>Assess the compartment's cartilage and marrow, which is the outcome the transplant was meant to influence.</t>
        </is>
      </c>
      <c r="E49" s="4" t="inlineStr"/>
      <c r="F49" s="4" t="inlineStr"/>
      <c r="G49" s="4" t="inlineStr"/>
    </row>
    <row r="50">
      <c r="A50" s="4" t="inlineStr">
        <is>
          <t>5.6.14-P5</t>
        </is>
      </c>
      <c r="B50" s="4" t="inlineStr">
        <is>
          <t>5.6.14</t>
        </is>
      </c>
      <c r="C50" s="4" t="inlineStr">
        <is>
          <t>mrcs</t>
        </is>
      </c>
      <c r="D50" s="4" t="inlineStr">
        <is>
          <t>In a viva the expected opening is that a transplanted meniscus does not look like a native one and should not be read as though it does.</t>
        </is>
      </c>
      <c r="E50" s="4" t="inlineStr"/>
      <c r="F50" s="4" t="inlineStr"/>
      <c r="G50" s="4" t="inlineStr"/>
    </row>
  </sheetData>
  <dataValidations count="1">
    <dataValidation sqref="E3:E50"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48</f>
        <v/>
      </c>
      <c r="C2" s="3">
        <f>0</f>
        <v/>
      </c>
    </row>
    <row r="3">
      <c r="A3" s="2" t="inlineStr">
        <is>
          <t>Decided</t>
        </is>
      </c>
      <c r="B3" s="3">
        <f>COUNTIF(Recommendations!E3:E50,"&lt;&gt;")</f>
        <v/>
      </c>
      <c r="C3" s="3">
        <f>COUNTIF(Measurements!F3:F2,"&lt;&gt;")</f>
        <v/>
      </c>
    </row>
    <row r="4">
      <c r="A4" s="2" t="inlineStr">
        <is>
          <t>Still blank</t>
        </is>
      </c>
      <c r="B4" s="3">
        <f>B2-B3</f>
        <v/>
      </c>
      <c r="C4" s="3">
        <f>C2-C3</f>
        <v/>
      </c>
    </row>
    <row r="5">
      <c r="A5" s="2" t="inlineStr">
        <is>
          <t>CONFIRMED</t>
        </is>
      </c>
      <c r="B5" s="3">
        <f>COUNTIF(Recommendations!E3:E50,"CONFIRMED")</f>
        <v/>
      </c>
      <c r="C5" s="3" t="inlineStr"/>
    </row>
    <row r="6">
      <c r="A6" s="2" t="inlineStr">
        <is>
          <t>AMENDED</t>
        </is>
      </c>
      <c r="B6" s="3">
        <f>COUNTIF(Recommendations!E3:E50,"AMENDED")</f>
        <v/>
      </c>
      <c r="C6" s="3" t="inlineStr"/>
    </row>
    <row r="7">
      <c r="A7" s="2" t="inlineStr">
        <is>
          <t>WITHDRAWN</t>
        </is>
      </c>
      <c r="B7" s="3">
        <f>COUNTIF(Recommendations!E3:E50,"WITHDRAWN")</f>
        <v/>
      </c>
      <c r="C7" s="3" t="inlineStr"/>
    </row>
    <row r="8">
      <c r="A8" s="2" t="inlineStr">
        <is>
          <t>NOT_CLINICAL</t>
        </is>
      </c>
      <c r="B8" s="3">
        <f>COUNTIF(Recommendations!E3:E50,"NOT_CLINICAL")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2026-10-15T20:29:32Z</dcterms:created>
  <dcterms:modified xmlns:dcterms="http://purl.org/dc/terms/" xmlns:xsi="http://www.w3.org/2001/XMLSchema-instance" xsi:type="dcterms:W3CDTF">2026-10-15T20:29:32Z</dcterms:modified>
</cp:coreProperties>
</file>