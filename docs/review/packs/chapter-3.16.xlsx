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3.16 Advanced Biomechanics</t>
        </is>
      </c>
    </row>
    <row r="3">
      <c r="A3" s="2" t="inlineStr">
        <is>
          <t>Section</t>
        </is>
      </c>
      <c r="B3" s="3" t="inlineStr">
        <is>
          <t>3</t>
        </is>
      </c>
    </row>
    <row r="4">
      <c r="A4" s="2" t="inlineStr">
        <is>
          <t>Chapter</t>
        </is>
      </c>
      <c r="B4" s="3" t="inlineStr">
        <is>
          <t>3.16 Advanced Biomechanics</t>
        </is>
      </c>
    </row>
    <row r="5">
      <c r="A5" s="2" t="inlineStr">
        <is>
          <t>Pages</t>
        </is>
      </c>
      <c r="B5" s="3" t="n">
        <v>10</v>
      </c>
    </row>
    <row r="6">
      <c r="A6" s="2" t="inlineStr">
        <is>
          <t>Page type</t>
        </is>
      </c>
      <c r="B6" s="3" t="inlineStr">
        <is>
          <t>biomechanics</t>
        </is>
      </c>
    </row>
    <row r="7">
      <c r="A7" s="2" t="inlineStr">
        <is>
          <t>Tiers</t>
        </is>
      </c>
      <c r="B7" s="3" t="inlineStr">
        <is>
          <t>frcs, fellowship, consultant</t>
        </is>
      </c>
    </row>
    <row r="8">
      <c r="A8" s="2" t="inlineStr">
        <is>
          <t>Words</t>
        </is>
      </c>
      <c r="B8" s="3" t="inlineStr">
        <is>
          <t>12,530</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1</v>
      </c>
    </row>
    <row r="12">
      <c r="A12" s="2" t="inlineStr">
        <is>
          <t>Recommendations to sign</t>
        </is>
      </c>
      <c r="B12" s="3" t="n">
        <v>105</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3.16.1</t>
        </is>
      </c>
      <c r="B2" s="6" t="inlineStr">
        <is>
          <t>Cadaveric Testing</t>
        </is>
      </c>
      <c r="C2" s="6" t="n">
        <v>3</v>
      </c>
      <c r="D2" s="6" t="n">
        <v>1301</v>
      </c>
      <c r="E2" s="6" t="inlineStr">
        <is>
          <t>biomechanics/cadaveric-testing.html</t>
        </is>
      </c>
    </row>
    <row r="3">
      <c r="A3" s="6" t="inlineStr">
        <is>
          <t>3.16.2</t>
        </is>
      </c>
      <c r="B3" s="6" t="inlineStr">
        <is>
          <t>Robotic Testing Systems</t>
        </is>
      </c>
      <c r="C3" s="6" t="n">
        <v>3</v>
      </c>
      <c r="D3" s="6" t="n">
        <v>1251</v>
      </c>
      <c r="E3" s="6" t="inlineStr">
        <is>
          <t>biomechanics/robotic-testing-systems.html</t>
        </is>
      </c>
    </row>
    <row r="4">
      <c r="A4" s="6" t="inlineStr">
        <is>
          <t>3.16.3</t>
        </is>
      </c>
      <c r="B4" s="6" t="inlineStr">
        <is>
          <t>Navigation Systems</t>
        </is>
      </c>
      <c r="C4" s="6" t="n">
        <v>3</v>
      </c>
      <c r="D4" s="6" t="n">
        <v>1260</v>
      </c>
      <c r="E4" s="6" t="inlineStr">
        <is>
          <t>biomechanics/navigation-systems.html</t>
        </is>
      </c>
    </row>
    <row r="5">
      <c r="A5" s="6" t="inlineStr">
        <is>
          <t>3.16.4</t>
        </is>
      </c>
      <c r="B5" s="6" t="inlineStr">
        <is>
          <t>Finite Element Modelling</t>
        </is>
      </c>
      <c r="C5" s="6" t="n">
        <v>3</v>
      </c>
      <c r="D5" s="6" t="n">
        <v>1215</v>
      </c>
      <c r="E5" s="6" t="inlineStr">
        <is>
          <t>biomechanics/finite-element-modelling.html</t>
        </is>
      </c>
    </row>
    <row r="6">
      <c r="A6" s="6" t="inlineStr">
        <is>
          <t>3.16.5</t>
        </is>
      </c>
      <c r="B6" s="6" t="inlineStr">
        <is>
          <t>Computational Biomechanics</t>
        </is>
      </c>
      <c r="C6" s="6" t="n">
        <v>3</v>
      </c>
      <c r="D6" s="6" t="n">
        <v>1221</v>
      </c>
      <c r="E6" s="6" t="inlineStr">
        <is>
          <t>biomechanics/computational-biomechanics.html</t>
        </is>
      </c>
    </row>
    <row r="7">
      <c r="A7" s="6" t="inlineStr">
        <is>
          <t>3.16.6</t>
        </is>
      </c>
      <c r="B7" s="6" t="inlineStr">
        <is>
          <t>Artificial Intelligence</t>
        </is>
      </c>
      <c r="C7" s="6" t="n">
        <v>3</v>
      </c>
      <c r="D7" s="6" t="n">
        <v>1221</v>
      </c>
      <c r="E7" s="6" t="inlineStr">
        <is>
          <t>biomechanics/artificial-intelligence-in-biomechanics.html</t>
        </is>
      </c>
    </row>
    <row r="8">
      <c r="A8" s="6" t="inlineStr">
        <is>
          <t>3.16.7</t>
        </is>
      </c>
      <c r="B8" s="6" t="inlineStr">
        <is>
          <t>Motion Capture</t>
        </is>
      </c>
      <c r="C8" s="6" t="n">
        <v>3</v>
      </c>
      <c r="D8" s="6" t="n">
        <v>1195</v>
      </c>
      <c r="E8" s="6" t="inlineStr">
        <is>
          <t>biomechanics/motion-capture.html</t>
        </is>
      </c>
    </row>
    <row r="9">
      <c r="A9" s="6" t="inlineStr">
        <is>
          <t>3.16.8</t>
        </is>
      </c>
      <c r="B9" s="6" t="inlineStr">
        <is>
          <t>Wearable Technology</t>
        </is>
      </c>
      <c r="C9" s="6" t="n">
        <v>3</v>
      </c>
      <c r="D9" s="6" t="n">
        <v>1213</v>
      </c>
      <c r="E9" s="6" t="inlineStr">
        <is>
          <t>biomechanics/wearable-technology.html</t>
        </is>
      </c>
    </row>
    <row r="10">
      <c r="A10" s="6" t="inlineStr">
        <is>
          <t>3.16.9</t>
        </is>
      </c>
      <c r="B10" s="6" t="inlineStr">
        <is>
          <t>Digital Twins</t>
        </is>
      </c>
      <c r="C10" s="6" t="n">
        <v>3</v>
      </c>
      <c r="D10" s="6" t="n">
        <v>1314</v>
      </c>
      <c r="E10" s="6" t="inlineStr">
        <is>
          <t>biomechanics/digital-twins.html</t>
        </is>
      </c>
    </row>
    <row r="11">
      <c r="A11" s="6" t="inlineStr">
        <is>
          <t>3.16.10</t>
        </is>
      </c>
      <c r="B11" s="6" t="inlineStr">
        <is>
          <t>Future Directions</t>
        </is>
      </c>
      <c r="C11" s="6" t="n">
        <v>3</v>
      </c>
      <c r="D11" s="6" t="n">
        <v>1339</v>
      </c>
      <c r="E11" s="6" t="inlineStr">
        <is>
          <t>biomechanics/future-directions-in-measurement.html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3.16.1</t>
        </is>
      </c>
      <c r="B2" s="4" t="inlineStr">
        <is>
          <t>Cadaveric Testing</t>
        </is>
      </c>
      <c r="C2" s="4" t="inlineStr">
        <is>
          <t>Each cut changes the knee the next cut is made in.</t>
        </is>
      </c>
    </row>
    <row r="3">
      <c r="A3" s="4" t="inlineStr">
        <is>
          <t>3.16.1</t>
        </is>
      </c>
      <c r="B3" s="4" t="inlineStr">
        <is>
          <t>Cadaveric Testing</t>
        </is>
      </c>
      <c r="C3" s="4" t="inlineStr">
        <is>
          <t>Randomising the order addresses it and halves the usable data, so many studies do not.</t>
        </is>
      </c>
    </row>
    <row r="4">
      <c r="A4" s="4" t="inlineStr">
        <is>
          <t>3.16.1</t>
        </is>
      </c>
      <c r="B4" s="4" t="inlineStr">
        <is>
          <t>Cadaveric Testing</t>
        </is>
      </c>
      <c r="C4" s="4" t="inlineStr">
        <is>
          <t>Specimen numbers are small: a precise measurement of a few knees, not a population estimate.</t>
        </is>
      </c>
    </row>
    <row r="5">
      <c r="A5" s="4" t="inlineStr">
        <is>
          <t>3.16.1</t>
        </is>
      </c>
      <c r="B5" s="4" t="inlineStr">
        <is>
          <t>Cadaveric Testing</t>
        </is>
      </c>
      <c r="C5" s="4" t="inlineStr">
        <is>
          <t>Between specimen variation often exceeds the effect, which is why paired designs are used.</t>
        </is>
      </c>
    </row>
    <row r="6">
      <c r="A6" s="4" t="inlineStr">
        <is>
          <t>3.16.1</t>
        </is>
      </c>
      <c r="B6" s="4" t="inlineStr">
        <is>
          <t>Cadaveric Testing</t>
        </is>
      </c>
      <c r="C6" s="4" t="inlineStr">
        <is>
          <t>Reported precision is the rig's, not the biology's.</t>
        </is>
      </c>
    </row>
    <row r="7">
      <c r="A7" s="4" t="inlineStr">
        <is>
          <t>3.16.2</t>
        </is>
      </c>
      <c r="B7" s="4" t="inlineStr">
        <is>
          <t>Robotic Testing Systems</t>
        </is>
      </c>
      <c r="C7" s="4" t="inlineStr">
        <is>
          <t>Superposition assumes the repeated path behaves the same, which preconditioning addresses.</t>
        </is>
      </c>
    </row>
    <row r="8">
      <c r="A8" s="4" t="inlineStr">
        <is>
          <t>3.16.2</t>
        </is>
      </c>
      <c r="B8" s="4" t="inlineStr">
        <is>
          <t>Robotic Testing Systems</t>
        </is>
      </c>
      <c r="C8" s="4" t="inlineStr">
        <is>
          <t>Precision is excellent and accuracy relative to a living knee is unknown.</t>
        </is>
      </c>
    </row>
    <row r="9">
      <c r="A9" s="4" t="inlineStr">
        <is>
          <t>3.16.2</t>
        </is>
      </c>
      <c r="B9" s="4" t="inlineStr">
        <is>
          <t>Robotic Testing Systems</t>
        </is>
      </c>
      <c r="C9" s="4" t="inlineStr">
        <is>
          <t>Simulated muscle loads change contributions for muscle associated structures.</t>
        </is>
      </c>
    </row>
    <row r="10">
      <c r="A10" s="4" t="inlineStr">
        <is>
          <t>3.16.2</t>
        </is>
      </c>
      <c r="B10" s="4" t="inlineStr">
        <is>
          <t>Robotic Testing Systems</t>
        </is>
      </c>
      <c r="C10" s="4" t="inlineStr">
        <is>
          <t>The simulated pivot shift converted a clinical sign into a repeatable input.</t>
        </is>
      </c>
    </row>
    <row r="11">
      <c r="A11" s="4" t="inlineStr">
        <is>
          <t>3.16.2</t>
        </is>
      </c>
      <c r="B11" s="4" t="inlineStr">
        <is>
          <t>Robotic Testing Systems</t>
        </is>
      </c>
      <c r="C11" s="4" t="inlineStr">
        <is>
          <t>No study has validated robotic kinematics against the same knees in vivo.</t>
        </is>
      </c>
    </row>
    <row r="12">
      <c r="A12" s="4" t="inlineStr">
        <is>
          <t>3.16.3</t>
        </is>
      </c>
      <c r="B12" s="4" t="inlineStr">
        <is>
          <t>Navigation Systems</t>
        </is>
      </c>
      <c r="C12" s="4" t="inlineStr">
        <is>
          <t>Navigation improves precision of hitting a target and says nothing about the target.</t>
        </is>
      </c>
    </row>
    <row r="13">
      <c r="A13" s="4" t="inlineStr">
        <is>
          <t>3.16.3</t>
        </is>
      </c>
      <c r="B13" s="4" t="inlineStr">
        <is>
          <t>Navigation Systems</t>
        </is>
      </c>
      <c r="C13" s="4" t="inlineStr">
        <is>
          <t>Outliers fall, mean alignment improves, patient reported outcomes move very little.</t>
        </is>
      </c>
    </row>
    <row r="14">
      <c r="A14" s="4" t="inlineStr">
        <is>
          <t>3.16.3</t>
        </is>
      </c>
      <c r="B14" s="4" t="inlineStr">
        <is>
          <t>Navigation Systems</t>
        </is>
      </c>
      <c r="C14" s="4" t="inlineStr">
        <is>
          <t>Its second use is as a measurement tool generating otherwise unobtainable data.</t>
        </is>
      </c>
    </row>
    <row r="15">
      <c r="A15" s="4" t="inlineStr">
        <is>
          <t>3.16.3</t>
        </is>
      </c>
      <c r="B15" s="4" t="inlineStr">
        <is>
          <t>Navigation Systems</t>
        </is>
      </c>
      <c r="C15" s="4" t="inlineStr">
        <is>
          <t>That data supported the kinematic alignment argument.</t>
        </is>
      </c>
    </row>
    <row r="16">
      <c r="A16" s="4" t="inlineStr">
        <is>
          <t>3.16.3</t>
        </is>
      </c>
      <c r="B16" s="4" t="inlineStr">
        <is>
          <t>Navigation Systems</t>
        </is>
      </c>
      <c r="C16" s="4" t="inlineStr">
        <is>
          <t>Accuracy studies compare two measurements, so neither is ground truth.</t>
        </is>
      </c>
    </row>
    <row r="17">
      <c r="A17" s="4" t="inlineStr">
        <is>
          <t>3.16.4</t>
        </is>
      </c>
      <c r="B17" s="4" t="inlineStr">
        <is>
          <t>Finite Element Modelling</t>
        </is>
      </c>
      <c r="C17" s="4" t="inlineStr">
        <is>
          <t>A model can put the same knee in two conditions, which no experiment can.</t>
        </is>
      </c>
    </row>
    <row r="18">
      <c r="A18" s="4" t="inlineStr">
        <is>
          <t>3.16.4</t>
        </is>
      </c>
      <c r="B18" s="4" t="inlineStr">
        <is>
          <t>Finite Element Modelling</t>
        </is>
      </c>
      <c r="C18" s="4" t="inlineStr">
        <is>
          <t>Every absolute number carries assumptions that are rarely varied to test their weight.</t>
        </is>
      </c>
    </row>
    <row r="19">
      <c r="A19" s="4" t="inlineStr">
        <is>
          <t>3.16.4</t>
        </is>
      </c>
      <c r="B19" s="4" t="inlineStr">
        <is>
          <t>Finite Element Modelling</t>
        </is>
      </c>
      <c r="C19" s="4" t="inlineStr">
        <is>
          <t>Sensitivity analysis is the honest response and appears in a minority of papers.</t>
        </is>
      </c>
    </row>
    <row r="20">
      <c r="A20" s="4" t="inlineStr">
        <is>
          <t>3.16.4</t>
        </is>
      </c>
      <c r="B20" s="4" t="inlineStr">
        <is>
          <t>Finite Element Modelling</t>
        </is>
      </c>
      <c r="C20" s="4" t="inlineStr">
        <is>
          <t>Subject specific geometry with generic material properties is partial specificity.</t>
        </is>
      </c>
    </row>
    <row r="21">
      <c r="A21" s="4" t="inlineStr">
        <is>
          <t>3.16.4</t>
        </is>
      </c>
      <c r="B21" s="4" t="inlineStr">
        <is>
          <t>Finite Element Modelling</t>
        </is>
      </c>
      <c r="C21" s="4" t="inlineStr">
        <is>
          <t>Internal stress has never been validated directly, because there is nothing to validate against.</t>
        </is>
      </c>
    </row>
    <row r="22">
      <c r="A22" s="4" t="inlineStr">
        <is>
          <t>3.16.5</t>
        </is>
      </c>
      <c r="B22" s="4" t="inlineStr">
        <is>
          <t>Computational Biomechanics</t>
        </is>
      </c>
      <c r="C22" s="4" t="inlineStr">
        <is>
          <t>Electromyography driven models replace the optimisation assumption with measurement.</t>
        </is>
      </c>
    </row>
    <row r="23">
      <c r="A23" s="4" t="inlineStr">
        <is>
          <t>3.16.5</t>
        </is>
      </c>
      <c r="B23" s="4" t="inlineStr">
        <is>
          <t>Computational Biomechanics</t>
        </is>
      </c>
      <c r="C23" s="4" t="inlineStr">
        <is>
          <t>That matters most in the arthritic knee, where co-contraction is raised.</t>
        </is>
      </c>
    </row>
    <row r="24">
      <c r="A24" s="4" t="inlineStr">
        <is>
          <t>3.16.5</t>
        </is>
      </c>
      <c r="B24" s="4" t="inlineStr">
        <is>
          <t>Computational Biomechanics</t>
        </is>
      </c>
      <c r="C24" s="4" t="inlineStr">
        <is>
          <t>Blind prediction competitions found no single model accurate across subjects and activities.</t>
        </is>
      </c>
    </row>
    <row r="25">
      <c r="A25" s="4" t="inlineStr">
        <is>
          <t>3.16.5</t>
        </is>
      </c>
      <c r="B25" s="4" t="inlineStr">
        <is>
          <t>Computational Biomechanics</t>
        </is>
      </c>
      <c r="C25" s="4" t="inlineStr">
        <is>
          <t>Scaled generic models carry the original specimen's muscle geometry.</t>
        </is>
      </c>
    </row>
    <row r="26">
      <c r="A26" s="4" t="inlineStr">
        <is>
          <t>3.16.5</t>
        </is>
      </c>
      <c r="B26" s="4" t="inlineStr">
        <is>
          <t>Computational Biomechanics</t>
        </is>
      </c>
      <c r="C26" s="4" t="inlineStr">
        <is>
          <t>The native knee's contact forces remain unvalidated, because validation comes from implants.</t>
        </is>
      </c>
    </row>
    <row r="27">
      <c r="A27" s="4" t="inlineStr">
        <is>
          <t>3.16.6</t>
        </is>
      </c>
      <c r="B27" s="4" t="inlineStr">
        <is>
          <t>Artificial Intelligence</t>
        </is>
      </c>
      <c r="C27" s="4" t="inlineStr">
        <is>
          <t>The dataset is the model, and it is the part least often published.</t>
        </is>
      </c>
    </row>
    <row r="28">
      <c r="A28" s="4" t="inlineStr">
        <is>
          <t>3.16.6</t>
        </is>
      </c>
      <c r="B28" s="4" t="inlineStr">
        <is>
          <t>Artificial Intelligence</t>
        </is>
      </c>
      <c r="C28" s="4" t="inlineStr">
        <is>
          <t>Knee datasets come from populations selected by reaching imaging and surgery.</t>
        </is>
      </c>
    </row>
    <row r="29">
      <c r="A29" s="4" t="inlineStr">
        <is>
          <t>3.16.6</t>
        </is>
      </c>
      <c r="B29" s="4" t="inlineStr">
        <is>
          <t>Artificial Intelligence</t>
        </is>
      </c>
      <c r="C29" s="4" t="inlineStr">
        <is>
          <t>External validation is the test that matters; cross validation is reported in its place.</t>
        </is>
      </c>
    </row>
    <row r="30">
      <c r="A30" s="4" t="inlineStr">
        <is>
          <t>3.16.6</t>
        </is>
      </c>
      <c r="B30" s="4" t="inlineStr">
        <is>
          <t>Artificial Intelligence</t>
        </is>
      </c>
      <c r="C30" s="4" t="inlineStr">
        <is>
          <t>A model trained on radiologist labels learns radiologists.</t>
        </is>
      </c>
    </row>
    <row r="31">
      <c r="A31" s="4" t="inlineStr">
        <is>
          <t>3.16.6</t>
        </is>
      </c>
      <c r="B31" s="4" t="inlineStr">
        <is>
          <t>Artificial Intelligence</t>
        </is>
      </c>
      <c r="C31" s="4" t="inlineStr">
        <is>
          <t>Explainability usually describes what was attended to rather than why.</t>
        </is>
      </c>
    </row>
    <row r="32">
      <c r="A32" s="4" t="inlineStr">
        <is>
          <t>3.16.7</t>
        </is>
      </c>
      <c r="B32" s="4" t="inlineStr">
        <is>
          <t>Motion Capture</t>
        </is>
      </c>
      <c r="C32" s="4" t="inlineStr">
        <is>
          <t>Reliability is good sagittally, acceptable coronally and poor in the transverse plane.</t>
        </is>
      </c>
    </row>
    <row r="33">
      <c r="A33" s="4" t="inlineStr">
        <is>
          <t>3.16.7</t>
        </is>
      </c>
      <c r="B33" s="4" t="inlineStr">
        <is>
          <t>Motion Capture</t>
        </is>
      </c>
      <c r="C33" s="4" t="inlineStr">
        <is>
          <t>The contested rotational questions sit in the plane this method measures worst.</t>
        </is>
      </c>
    </row>
    <row r="34">
      <c r="A34" s="4" t="inlineStr">
        <is>
          <t>3.16.7</t>
        </is>
      </c>
      <c r="B34" s="4" t="inlineStr">
        <is>
          <t>Motion Capture</t>
        </is>
      </c>
      <c r="C34" s="4" t="inlineStr">
        <is>
          <t>Biplanar fluoroscopy tracks bone directly at a radiation cost and over a few paces.</t>
        </is>
      </c>
    </row>
    <row r="35">
      <c r="A35" s="4" t="inlineStr">
        <is>
          <t>3.16.7</t>
        </is>
      </c>
      <c r="B35" s="4" t="inlineStr">
        <is>
          <t>Motion Capture</t>
        </is>
      </c>
      <c r="C35" s="4" t="inlineStr">
        <is>
          <t>Markerless capture removes placement variation and not soft tissue artefact.</t>
        </is>
      </c>
    </row>
    <row r="36">
      <c r="A36" s="4" t="inlineStr">
        <is>
          <t>3.16.7</t>
        </is>
      </c>
      <c r="B36" s="4" t="inlineStr">
        <is>
          <t>Motion Capture</t>
        </is>
      </c>
      <c r="C36" s="4" t="inlineStr">
        <is>
          <t>Artefact is estimated and sometimes modelled, not corrected.</t>
        </is>
      </c>
    </row>
    <row r="37">
      <c r="A37" s="4" t="inlineStr">
        <is>
          <t>3.16.8</t>
        </is>
      </c>
      <c r="B37" s="4" t="inlineStr">
        <is>
          <t>Wearable Technology</t>
        </is>
      </c>
      <c r="C37" s="4" t="inlineStr">
        <is>
          <t>The transformative possibility is continuous measurement rather than better measurement.</t>
        </is>
      </c>
    </row>
    <row r="38">
      <c r="A38" s="4" t="inlineStr">
        <is>
          <t>3.16.8</t>
        </is>
      </c>
      <c r="B38" s="4" t="inlineStr">
        <is>
          <t>Wearable Technology</t>
        </is>
      </c>
      <c r="C38" s="4" t="inlineStr">
        <is>
          <t>A wearable samples the behaviour that produced the problem.</t>
        </is>
      </c>
    </row>
    <row r="39">
      <c r="A39" s="4" t="inlineStr">
        <is>
          <t>3.16.8</t>
        </is>
      </c>
      <c r="B39" s="4" t="inlineStr">
        <is>
          <t>Wearable Technology</t>
        </is>
      </c>
      <c r="C39" s="4" t="inlineStr">
        <is>
          <t>Validation is uneven: steps well, angles moderately, loads barely.</t>
        </is>
      </c>
    </row>
    <row r="40">
      <c r="A40" s="4" t="inlineStr">
        <is>
          <t>3.16.8</t>
        </is>
      </c>
      <c r="B40" s="4" t="inlineStr">
        <is>
          <t>Wearable Technology</t>
        </is>
      </c>
      <c r="C40" s="4" t="inlineStr">
        <is>
          <t>Sparse sensor data becomes a joint estimate through machine learning.</t>
        </is>
      </c>
    </row>
    <row r="41">
      <c r="A41" s="4" t="inlineStr">
        <is>
          <t>3.16.8</t>
        </is>
      </c>
      <c r="B41" s="4" t="inlineStr">
        <is>
          <t>Wearable Technology</t>
        </is>
      </c>
      <c r="C41" s="4" t="inlineStr">
        <is>
          <t>Validating a field device in a laboratory is the field's standing awkwardness.</t>
        </is>
      </c>
    </row>
    <row r="42">
      <c r="A42" s="4" t="inlineStr">
        <is>
          <t>3.16.9</t>
        </is>
      </c>
      <c r="B42" s="4" t="inlineStr">
        <is>
          <t>Digital Twins</t>
        </is>
      </c>
      <c r="C42" s="4" t="inlineStr">
        <is>
          <t>The plausible version is narrow: one tissue, one data stream, one question.</t>
        </is>
      </c>
    </row>
    <row r="43">
      <c r="A43" s="4" t="inlineStr">
        <is>
          <t>3.16.9</t>
        </is>
      </c>
      <c r="B43" s="4" t="inlineStr">
        <is>
          <t>Digital Twins</t>
        </is>
      </c>
      <c r="C43" s="4" t="inlineStr">
        <is>
          <t>The hard part is estimating this person's material properties without a biopsy.</t>
        </is>
      </c>
    </row>
    <row r="44">
      <c r="A44" s="4" t="inlineStr">
        <is>
          <t>3.16.9</t>
        </is>
      </c>
      <c r="B44" s="4" t="inlineStr">
        <is>
          <t>Digital Twins</t>
        </is>
      </c>
      <c r="C44" s="4" t="inlineStr">
        <is>
          <t>Without them, a twin is a population model wearing one patient's shape.</t>
        </is>
      </c>
    </row>
    <row r="45">
      <c r="A45" s="4" t="inlineStr">
        <is>
          <t>3.16.9</t>
        </is>
      </c>
      <c r="B45" s="4" t="inlineStr">
        <is>
          <t>Digital Twins</t>
        </is>
      </c>
      <c r="C45" s="4" t="inlineStr">
        <is>
          <t>Validating an individual prediction needs prospective follow up of that individual.</t>
        </is>
      </c>
    </row>
    <row r="46">
      <c r="A46" s="4" t="inlineStr">
        <is>
          <t>3.16.9</t>
        </is>
      </c>
      <c r="B46" s="4" t="inlineStr">
        <is>
          <t>Digital Twins</t>
        </is>
      </c>
      <c r="C46" s="4" t="inlineStr">
        <is>
          <t>No knee twin has been prospectively validated to predict an individual's outcome.</t>
        </is>
      </c>
    </row>
    <row r="47">
      <c r="A47" s="4" t="inlineStr">
        <is>
          <t>3.16.10</t>
        </is>
      </c>
      <c r="B47" s="4" t="inlineStr">
        <is>
          <t>Future Directions</t>
        </is>
      </c>
      <c r="C47" s="4" t="inlineStr">
        <is>
          <t>Measurement capability has outrun validation for twenty years and the gap is widening.</t>
        </is>
      </c>
    </row>
    <row r="48">
      <c r="A48" s="4" t="inlineStr">
        <is>
          <t>3.16.10</t>
        </is>
      </c>
      <c r="B48" s="4" t="inlineStr">
        <is>
          <t>Future Directions</t>
        </is>
      </c>
      <c r="C48" s="4" t="inlineStr">
        <is>
          <t>Producing a new method is publishable and validating an old one is not.</t>
        </is>
      </c>
    </row>
    <row r="49">
      <c r="A49" s="4" t="inlineStr">
        <is>
          <t>3.16.10</t>
        </is>
      </c>
      <c r="B49" s="4" t="inlineStr">
        <is>
          <t>Future Directions</t>
        </is>
      </c>
      <c r="C49" s="4" t="inlineStr">
        <is>
          <t>The named gaps are robotic external validity, internal stress, native contact force and wearable thresholds.</t>
        </is>
      </c>
    </row>
    <row r="50">
      <c r="A50" s="4" t="inlineStr">
        <is>
          <t>3.16.10</t>
        </is>
      </c>
      <c r="B50" s="4" t="inlineStr">
        <is>
          <t>Future Directions</t>
        </is>
      </c>
      <c r="C50" s="4" t="inlineStr">
        <is>
          <t>None is impossible; each is unfunded relative to the next novel method.</t>
        </is>
      </c>
    </row>
    <row r="51">
      <c r="A51" s="4" t="inlineStr">
        <is>
          <t>3.16.10</t>
        </is>
      </c>
      <c r="B51" s="4" t="inlineStr">
        <is>
          <t>Future Directions</t>
        </is>
      </c>
      <c r="C51" s="4" t="inlineStr">
        <is>
          <t>There is no accepted metric for how well validated a field 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3.16.1-P1</t>
        </is>
      </c>
      <c r="B3" s="4" t="inlineStr">
        <is>
          <t>3.16.1</t>
        </is>
      </c>
      <c r="C3" s="4" t="inlineStr">
        <is>
          <t>frcs</t>
        </is>
      </c>
      <c r="D3" s="4" t="inlineStr">
        <is>
          <t>Read a sectioning result as what a structure restrains, not as how much a patient will feel.</t>
        </is>
      </c>
      <c r="E3" s="4" t="inlineStr"/>
      <c r="F3" s="4" t="inlineStr"/>
      <c r="G3" s="4" t="inlineStr"/>
    </row>
    <row r="4">
      <c r="A4" s="4" t="inlineStr">
        <is>
          <t>3.16.1-P2</t>
        </is>
      </c>
      <c r="B4" s="4" t="inlineStr">
        <is>
          <t>3.16.1</t>
        </is>
      </c>
      <c r="C4" s="4" t="inlineStr">
        <is>
          <t>frcs</t>
        </is>
      </c>
      <c r="D4" s="4" t="inlineStr">
        <is>
          <t>Expect the magnitude of a cadaveric laxity change to exceed what examination finds in a patient, because muscle is absent.</t>
        </is>
      </c>
      <c r="E4" s="4" t="inlineStr"/>
      <c r="F4" s="4" t="inlineStr"/>
      <c r="G4" s="4" t="inlineStr"/>
    </row>
    <row r="5">
      <c r="A5" s="4" t="inlineStr">
        <is>
          <t>3.16.1-P3</t>
        </is>
      </c>
      <c r="B5" s="4" t="inlineStr">
        <is>
          <t>3.16.1</t>
        </is>
      </c>
      <c r="C5" s="4" t="inlineStr">
        <is>
          <t>frcs</t>
        </is>
      </c>
      <c r="D5" s="4" t="inlineStr">
        <is>
          <t>State the loading condition alongside any cadaveric figure, since the figure is specific to it.</t>
        </is>
      </c>
      <c r="E5" s="4" t="inlineStr"/>
      <c r="F5" s="4" t="inlineStr"/>
      <c r="G5" s="4" t="inlineStr"/>
    </row>
    <row r="6">
      <c r="A6" s="4" t="inlineStr">
        <is>
          <t>3.16.1-P4</t>
        </is>
      </c>
      <c r="B6" s="4" t="inlineStr">
        <is>
          <t>3.16.1</t>
        </is>
      </c>
      <c r="C6" s="4" t="inlineStr">
        <is>
          <t>fellowship</t>
        </is>
      </c>
      <c r="D6" s="4" t="inlineStr">
        <is>
          <t>Check specimen number and whether the design was paired before weighing a cadaveric finding.</t>
        </is>
      </c>
      <c r="E6" s="4" t="inlineStr"/>
      <c r="F6" s="4" t="inlineStr"/>
      <c r="G6" s="4" t="inlineStr"/>
    </row>
    <row r="7">
      <c r="A7" s="4" t="inlineStr">
        <is>
          <t>3.16.1-P5</t>
        </is>
      </c>
      <c r="B7" s="4" t="inlineStr">
        <is>
          <t>3.16.1</t>
        </is>
      </c>
      <c r="C7" s="4" t="inlineStr">
        <is>
          <t>fellowship</t>
        </is>
      </c>
      <c r="D7" s="4" t="inlineStr">
        <is>
          <t>Ask whether sectioning order was randomised in a sequential study.</t>
        </is>
      </c>
      <c r="E7" s="4" t="inlineStr"/>
      <c r="F7" s="4" t="inlineStr"/>
      <c r="G7" s="4" t="inlineStr"/>
    </row>
    <row r="8">
      <c r="A8" s="4" t="inlineStr">
        <is>
          <t>3.16.1-P6</t>
        </is>
      </c>
      <c r="B8" s="4" t="inlineStr">
        <is>
          <t>3.16.1</t>
        </is>
      </c>
      <c r="C8" s="4" t="inlineStr">
        <is>
          <t>fellowship</t>
        </is>
      </c>
      <c r="D8" s="4" t="inlineStr">
        <is>
          <t>Treat reported precision as a property of the rig rather than of the knee.</t>
        </is>
      </c>
      <c r="E8" s="4" t="inlineStr"/>
      <c r="F8" s="4" t="inlineStr"/>
      <c r="G8" s="4" t="inlineStr"/>
    </row>
    <row r="9">
      <c r="A9" s="4" t="inlineStr">
        <is>
          <t>3.16.1-P7</t>
        </is>
      </c>
      <c r="B9" s="4" t="inlineStr">
        <is>
          <t>3.16.1</t>
        </is>
      </c>
      <c r="C9" s="4" t="inlineStr">
        <is>
          <t>consultant</t>
        </is>
      </c>
      <c r="D9" s="4" t="inlineStr">
        <is>
          <t>Treat a cadaveric result as mechanism where a clinical study exists on the same question.</t>
        </is>
      </c>
      <c r="E9" s="4" t="inlineStr"/>
      <c r="F9" s="4" t="inlineStr"/>
      <c r="G9" s="4" t="inlineStr"/>
    </row>
    <row r="10">
      <c r="A10" s="4" t="inlineStr">
        <is>
          <t>3.16.1-P8</t>
        </is>
      </c>
      <c r="B10" s="4" t="inlineStr">
        <is>
          <t>3.16.1</t>
        </is>
      </c>
      <c r="C10" s="4" t="inlineStr">
        <is>
          <t>consultant</t>
        </is>
      </c>
      <c r="D10" s="4" t="inlineStr">
        <is>
          <t>State that the bench to patient gap is argued rather than quantified.</t>
        </is>
      </c>
      <c r="E10" s="4" t="inlineStr"/>
      <c r="F10" s="4" t="inlineStr"/>
      <c r="G10" s="4" t="inlineStr"/>
    </row>
    <row r="11">
      <c r="A11" s="4" t="inlineStr">
        <is>
          <t>3.16.1-P9</t>
        </is>
      </c>
      <c r="B11" s="4" t="inlineStr">
        <is>
          <t>3.16.1</t>
        </is>
      </c>
      <c r="C11" s="4" t="inlineStr">
        <is>
          <t>consultant</t>
        </is>
      </c>
      <c r="D11" s="4" t="inlineStr">
        <is>
          <t>Avoid giving a patient a cadaveric displacement as a prediction of their own knee.</t>
        </is>
      </c>
      <c r="E11" s="4" t="inlineStr"/>
      <c r="F11" s="4" t="inlineStr"/>
      <c r="G11" s="4" t="inlineStr"/>
    </row>
    <row r="12">
      <c r="A12" s="4" t="inlineStr">
        <is>
          <t>3.16.1-P10</t>
        </is>
      </c>
      <c r="B12" s="4" t="inlineStr">
        <is>
          <t>3.16.1</t>
        </is>
      </c>
      <c r="C12" s="4" t="inlineStr">
        <is>
          <t>consultant</t>
        </is>
      </c>
      <c r="D12" s="4" t="inlineStr">
        <is>
          <t>Weigh the patient's age and physiology, comorbidities, knee demand, psychological state and their own ideas, concerns and expectations when deciding how much of this evidence to put into a conversation, because a specimen has none of them and the person in front of you is made of them.</t>
        </is>
      </c>
      <c r="E12" s="4" t="inlineStr"/>
      <c r="F12" s="4" t="inlineStr"/>
      <c r="G12" s="4" t="inlineStr"/>
    </row>
    <row r="13">
      <c r="A13" s="4" t="inlineStr">
        <is>
          <t>3.16.2-P1</t>
        </is>
      </c>
      <c r="B13" s="4" t="inlineStr">
        <is>
          <t>3.16.2</t>
        </is>
      </c>
      <c r="C13" s="4" t="inlineStr">
        <is>
          <t>frcs</t>
        </is>
      </c>
      <c r="D13" s="4" t="inlineStr">
        <is>
          <t>Read a percentage contribution figure as the output of a superposition experiment under a stated load.</t>
        </is>
      </c>
      <c r="E13" s="4" t="inlineStr"/>
      <c r="F13" s="4" t="inlineStr"/>
      <c r="G13" s="4" t="inlineStr"/>
    </row>
    <row r="14">
      <c r="A14" s="4" t="inlineStr">
        <is>
          <t>3.16.2-P2</t>
        </is>
      </c>
      <c r="B14" s="4" t="inlineStr">
        <is>
          <t>3.16.2</t>
        </is>
      </c>
      <c r="C14" s="4" t="inlineStr">
        <is>
          <t>frcs</t>
        </is>
      </c>
      <c r="D14" s="4" t="inlineStr">
        <is>
          <t>Expect the same structure to contribute different proportions under different loads and at different flexion angles.</t>
        </is>
      </c>
      <c r="E14" s="4" t="inlineStr"/>
      <c r="F14" s="4" t="inlineStr"/>
      <c r="G14" s="4" t="inlineStr"/>
    </row>
    <row r="15">
      <c r="A15" s="4" t="inlineStr">
        <is>
          <t>3.16.2-P3</t>
        </is>
      </c>
      <c r="B15" s="4" t="inlineStr">
        <is>
          <t>3.16.2</t>
        </is>
      </c>
      <c r="C15" s="4" t="inlineStr">
        <is>
          <t>frcs</t>
        </is>
      </c>
      <c r="D15" s="4" t="inlineStr">
        <is>
          <t>Treat robotic results as the best available attribution of restraint and not as a measure of clinical laxity.</t>
        </is>
      </c>
      <c r="E15" s="4" t="inlineStr"/>
      <c r="F15" s="4" t="inlineStr"/>
      <c r="G15" s="4" t="inlineStr"/>
    </row>
    <row r="16">
      <c r="A16" s="4" t="inlineStr">
        <is>
          <t>3.16.2-P4</t>
        </is>
      </c>
      <c r="B16" s="4" t="inlineStr">
        <is>
          <t>3.16.2</t>
        </is>
      </c>
      <c r="C16" s="4" t="inlineStr">
        <is>
          <t>fellowship</t>
        </is>
      </c>
      <c r="D16" s="4" t="inlineStr">
        <is>
          <t>Ask how the simulated clinical test was defined, since laboratories differ and the definition drives the result.</t>
        </is>
      </c>
      <c r="E16" s="4" t="inlineStr"/>
      <c r="F16" s="4" t="inlineStr"/>
      <c r="G16" s="4" t="inlineStr"/>
    </row>
    <row r="17">
      <c r="A17" s="4" t="inlineStr">
        <is>
          <t>3.16.2-P5</t>
        </is>
      </c>
      <c r="B17" s="4" t="inlineStr">
        <is>
          <t>3.16.2</t>
        </is>
      </c>
      <c r="C17" s="4" t="inlineStr">
        <is>
          <t>fellowship</t>
        </is>
      </c>
      <c r="D17" s="4" t="inlineStr">
        <is>
          <t>Expect muscle simulation to change the contribution of muscle associated structures materially.</t>
        </is>
      </c>
      <c r="E17" s="4" t="inlineStr"/>
      <c r="F17" s="4" t="inlineStr"/>
      <c r="G17" s="4" t="inlineStr"/>
    </row>
    <row r="18">
      <c r="A18" s="4" t="inlineStr">
        <is>
          <t>3.16.2-P6</t>
        </is>
      </c>
      <c r="B18" s="4" t="inlineStr">
        <is>
          <t>3.16.2</t>
        </is>
      </c>
      <c r="C18" s="4" t="inlineStr">
        <is>
          <t>fellowship</t>
        </is>
      </c>
      <c r="D18" s="4" t="inlineStr">
        <is>
          <t>Compare robotic findings within a laboratory's protocol rather than across laboratories.</t>
        </is>
      </c>
      <c r="E18" s="4" t="inlineStr"/>
      <c r="F18" s="4" t="inlineStr"/>
      <c r="G18" s="4" t="inlineStr"/>
    </row>
    <row r="19">
      <c r="A19" s="4" t="inlineStr">
        <is>
          <t>3.16.2-P7</t>
        </is>
      </c>
      <c r="B19" s="4" t="inlineStr">
        <is>
          <t>3.16.2</t>
        </is>
      </c>
      <c r="C19" s="4" t="inlineStr">
        <is>
          <t>consultant</t>
        </is>
      </c>
      <c r="D19" s="4" t="inlineStr">
        <is>
          <t>Use robotic findings to explain mechanism and clinical studies to establish outcome, and keep the two roles separate in discussion.</t>
        </is>
      </c>
      <c r="E19" s="4" t="inlineStr"/>
      <c r="F19" s="4" t="inlineStr"/>
      <c r="G19" s="4" t="inlineStr"/>
    </row>
    <row r="20">
      <c r="A20" s="4" t="inlineStr">
        <is>
          <t>3.16.2-P8</t>
        </is>
      </c>
      <c r="B20" s="4" t="inlineStr">
        <is>
          <t>3.16.2</t>
        </is>
      </c>
      <c r="C20" s="4" t="inlineStr">
        <is>
          <t>consultant</t>
        </is>
      </c>
      <c r="D20" s="4" t="inlineStr">
        <is>
          <t>Treat a construct designed from robotic data as mechanically rational and clinically unproven until a trial says otherwise.</t>
        </is>
      </c>
      <c r="E20" s="4" t="inlineStr"/>
      <c r="F20" s="4" t="inlineStr"/>
      <c r="G20" s="4" t="inlineStr"/>
    </row>
    <row r="21">
      <c r="A21" s="4" t="inlineStr">
        <is>
          <t>3.16.2-P9</t>
        </is>
      </c>
      <c r="B21" s="4" t="inlineStr">
        <is>
          <t>3.16.2</t>
        </is>
      </c>
      <c r="C21" s="4" t="inlineStr">
        <is>
          <t>consultant</t>
        </is>
      </c>
      <c r="D21" s="4" t="inlineStr">
        <is>
          <t>State that the method's external validity has never been measured.</t>
        </is>
      </c>
      <c r="E21" s="4" t="inlineStr"/>
      <c r="F21" s="4" t="inlineStr"/>
      <c r="G21" s="4" t="inlineStr"/>
    </row>
    <row r="22">
      <c r="A22" s="4" t="inlineStr">
        <is>
          <t>3.16.2-P10</t>
        </is>
      </c>
      <c r="B22" s="4" t="inlineStr">
        <is>
          <t>3.16.2</t>
        </is>
      </c>
      <c r="C22" s="4" t="inlineStr">
        <is>
          <t>consultant</t>
        </is>
      </c>
      <c r="D22" s="4" t="inlineStr">
        <is>
          <t>Expect cross laboratory figures to disagree, and compare within a protocol.</t>
        </is>
      </c>
      <c r="E22" s="4" t="inlineStr"/>
      <c r="F22" s="4" t="inlineStr"/>
      <c r="G22" s="4" t="inlineStr"/>
    </row>
    <row r="23">
      <c r="A23" s="4" t="inlineStr">
        <is>
          <t>3.16.2-P11</t>
        </is>
      </c>
      <c r="B23" s="4" t="inlineStr">
        <is>
          <t>3.16.2</t>
        </is>
      </c>
      <c r="C23" s="4" t="inlineStr">
        <is>
          <t>consultant</t>
        </is>
      </c>
      <c r="D23" s="4" t="inlineStr">
        <is>
          <t>Weigh the patient's age and physiology, comorbidities, knee demand, psychological state and their own ideas, concerns and expectations when a construct is being chosen on mechanical grounds, because mechanical rationality is not by itself an indication.</t>
        </is>
      </c>
      <c r="E23" s="4" t="inlineStr"/>
      <c r="F23" s="4" t="inlineStr"/>
      <c r="G23" s="4" t="inlineStr"/>
    </row>
    <row r="24">
      <c r="A24" s="4" t="inlineStr">
        <is>
          <t>3.16.3-P1</t>
        </is>
      </c>
      <c r="B24" s="4" t="inlineStr">
        <is>
          <t>3.16.3</t>
        </is>
      </c>
      <c r="C24" s="4" t="inlineStr">
        <is>
          <t>frcs</t>
        </is>
      </c>
      <c r="D24" s="4" t="inlineStr">
        <is>
          <t>Read a navigation figure as the consequence of a registration, since that is where the error enters.</t>
        </is>
      </c>
      <c r="E24" s="4" t="inlineStr"/>
      <c r="F24" s="4" t="inlineStr"/>
      <c r="G24" s="4" t="inlineStr"/>
    </row>
    <row r="25">
      <c r="A25" s="4" t="inlineStr">
        <is>
          <t>3.16.3-P2</t>
        </is>
      </c>
      <c r="B25" s="4" t="inlineStr">
        <is>
          <t>3.16.3</t>
        </is>
      </c>
      <c r="C25" s="4" t="inlineStr">
        <is>
          <t>frcs</t>
        </is>
      </c>
      <c r="D25" s="4" t="inlineStr">
        <is>
          <t>Expect navigated alignment to be more consistent than conventional instrumentation, and the clinical consequence of that consistency to be smaller than expected.</t>
        </is>
      </c>
      <c r="E25" s="4" t="inlineStr"/>
      <c r="F25" s="4" t="inlineStr"/>
      <c r="G25" s="4" t="inlineStr"/>
    </row>
    <row r="26">
      <c r="A26" s="4" t="inlineStr">
        <is>
          <t>3.16.3-P3</t>
        </is>
      </c>
      <c r="B26" s="4" t="inlineStr">
        <is>
          <t>3.16.3</t>
        </is>
      </c>
      <c r="C26" s="4" t="inlineStr">
        <is>
          <t>frcs</t>
        </is>
      </c>
      <c r="D26" s="4" t="inlineStr">
        <is>
          <t>Treat intraoperative laxity figures as measurements of the anaesthetised knee.</t>
        </is>
      </c>
      <c r="E26" s="4" t="inlineStr"/>
      <c r="F26" s="4" t="inlineStr"/>
      <c r="G26" s="4" t="inlineStr"/>
    </row>
    <row r="27">
      <c r="A27" s="4" t="inlineStr">
        <is>
          <t>3.16.3-P4</t>
        </is>
      </c>
      <c r="B27" s="4" t="inlineStr">
        <is>
          <t>3.16.3</t>
        </is>
      </c>
      <c r="C27" s="4" t="inlineStr">
        <is>
          <t>frcs</t>
        </is>
      </c>
      <c r="D27" s="4" t="inlineStr">
        <is>
          <t>Check tracker fixation when a reading changes unexpectedly rather than believing the change.</t>
        </is>
      </c>
      <c r="E27" s="4" t="inlineStr"/>
      <c r="F27" s="4" t="inlineStr"/>
      <c r="G27" s="4" t="inlineStr"/>
    </row>
    <row r="28">
      <c r="A28" s="4" t="inlineStr">
        <is>
          <t>3.16.3-P5</t>
        </is>
      </c>
      <c r="B28" s="4" t="inlineStr">
        <is>
          <t>3.16.3</t>
        </is>
      </c>
      <c r="C28" s="4" t="inlineStr">
        <is>
          <t>fellowship</t>
        </is>
      </c>
      <c r="D28" s="4" t="inlineStr">
        <is>
          <t>Expect reduced outliers and a small outcome effect, and say so when discussing it with a patient.</t>
        </is>
      </c>
      <c r="E28" s="4" t="inlineStr"/>
      <c r="F28" s="4" t="inlineStr"/>
      <c r="G28" s="4" t="inlineStr"/>
    </row>
    <row r="29">
      <c r="A29" s="4" t="inlineStr">
        <is>
          <t>3.16.3-P6</t>
        </is>
      </c>
      <c r="B29" s="4" t="inlineStr">
        <is>
          <t>3.16.3</t>
        </is>
      </c>
      <c r="C29" s="4" t="inlineStr">
        <is>
          <t>fellowship</t>
        </is>
      </c>
      <c r="D29" s="4" t="inlineStr">
        <is>
          <t>Use navigation's kinematic recording as data where a question is being asked, rather than as a guide alone.</t>
        </is>
      </c>
      <c r="E29" s="4" t="inlineStr"/>
      <c r="F29" s="4" t="inlineStr"/>
      <c r="G29" s="4" t="inlineStr"/>
    </row>
    <row r="30">
      <c r="A30" s="4" t="inlineStr">
        <is>
          <t>3.16.3-P7</t>
        </is>
      </c>
      <c r="B30" s="4" t="inlineStr">
        <is>
          <t>3.16.3</t>
        </is>
      </c>
      <c r="C30" s="4" t="inlineStr">
        <is>
          <t>fellowship</t>
        </is>
      </c>
      <c r="D30" s="4" t="inlineStr">
        <is>
          <t>Do not conflate navigation with robotics, since one measures and the other also executes.</t>
        </is>
      </c>
      <c r="E30" s="4" t="inlineStr"/>
      <c r="F30" s="4" t="inlineStr"/>
      <c r="G30" s="4" t="inlineStr"/>
    </row>
    <row r="31">
      <c r="A31" s="4" t="inlineStr">
        <is>
          <t>3.16.3-P8</t>
        </is>
      </c>
      <c r="B31" s="4" t="inlineStr">
        <is>
          <t>3.16.3</t>
        </is>
      </c>
      <c r="C31" s="4" t="inlineStr">
        <is>
          <t>consultant</t>
        </is>
      </c>
      <c r="D31" s="4" t="inlineStr">
        <is>
          <t>Decide on case mix rather than on the precision specification, since precision is not the quantity in question.</t>
        </is>
      </c>
      <c r="E31" s="4" t="inlineStr"/>
      <c r="F31" s="4" t="inlineStr"/>
      <c r="G31" s="4" t="inlineStr"/>
    </row>
    <row r="32">
      <c r="A32" s="4" t="inlineStr">
        <is>
          <t>3.16.3-P9</t>
        </is>
      </c>
      <c r="B32" s="4" t="inlineStr">
        <is>
          <t>3.16.3</t>
        </is>
      </c>
      <c r="C32" s="4" t="inlineStr">
        <is>
          <t>consultant</t>
        </is>
      </c>
      <c r="D32" s="4" t="inlineStr">
        <is>
          <t>State that outlier reduction is a surrogate and that survivorship has not followed it.</t>
        </is>
      </c>
      <c r="E32" s="4" t="inlineStr"/>
      <c r="F32" s="4" t="inlineStr"/>
      <c r="G32" s="4" t="inlineStr"/>
    </row>
    <row r="33">
      <c r="A33" s="4" t="inlineStr">
        <is>
          <t>3.16.3-P10</t>
        </is>
      </c>
      <c r="B33" s="4" t="inlineStr">
        <is>
          <t>3.16.3</t>
        </is>
      </c>
      <c r="C33" s="4" t="inlineStr">
        <is>
          <t>consultant</t>
        </is>
      </c>
      <c r="D33" s="4" t="inlineStr">
        <is>
          <t>Use the kinematic data if adopting, because otherwise half the benefit is unclaimed.</t>
        </is>
      </c>
      <c r="E33" s="4" t="inlineStr"/>
      <c r="F33" s="4" t="inlineStr"/>
      <c r="G33" s="4" t="inlineStr"/>
    </row>
    <row r="34">
      <c r="A34" s="4" t="inlineStr">
        <is>
          <t>3.16.3-P11</t>
        </is>
      </c>
      <c r="B34" s="4" t="inlineStr">
        <is>
          <t>3.16.3</t>
        </is>
      </c>
      <c r="C34" s="4" t="inlineStr">
        <is>
          <t>consultant</t>
        </is>
      </c>
      <c r="D34" s="4" t="inlineStr">
        <is>
          <t>Price operative time into the comparison rather than treating it as free.</t>
        </is>
      </c>
      <c r="E34" s="4" t="inlineStr"/>
      <c r="F34" s="4" t="inlineStr"/>
      <c r="G34" s="4" t="inlineStr"/>
    </row>
    <row r="35">
      <c r="A35" s="4" t="inlineStr">
        <is>
          <t>3.16.3-P12</t>
        </is>
      </c>
      <c r="B35" s="4" t="inlineStr">
        <is>
          <t>3.16.3</t>
        </is>
      </c>
      <c r="C35" s="4" t="inlineStr">
        <is>
          <t>consultant</t>
        </is>
      </c>
      <c r="D35" s="4" t="inlineStr">
        <is>
          <t>Weigh the patient's age and physiology, comorbidities, knee demand, psychological state and their own ideas, concerns and expectations, since a longer operation is not neutral for every patient and a younger one has more years for a surrogate to matter in.</t>
        </is>
      </c>
      <c r="E35" s="4" t="inlineStr"/>
      <c r="F35" s="4" t="inlineStr"/>
      <c r="G35" s="4" t="inlineStr"/>
    </row>
    <row r="36">
      <c r="A36" s="4" t="inlineStr">
        <is>
          <t>3.16.4-P1</t>
        </is>
      </c>
      <c r="B36" s="4" t="inlineStr">
        <is>
          <t>3.16.4</t>
        </is>
      </c>
      <c r="C36" s="4" t="inlineStr">
        <is>
          <t>frcs</t>
        </is>
      </c>
      <c r="D36" s="4" t="inlineStr">
        <is>
          <t>Ask what a model was validated against before quoting its output.</t>
        </is>
      </c>
      <c r="E36" s="4" t="inlineStr"/>
      <c r="F36" s="4" t="inlineStr"/>
      <c r="G36" s="4" t="inlineStr"/>
    </row>
    <row r="37">
      <c r="A37" s="4" t="inlineStr">
        <is>
          <t>3.16.4-P2</t>
        </is>
      </c>
      <c r="B37" s="4" t="inlineStr">
        <is>
          <t>3.16.4</t>
        </is>
      </c>
      <c r="C37" s="4" t="inlineStr">
        <is>
          <t>frcs</t>
        </is>
      </c>
      <c r="D37" s="4" t="inlineStr">
        <is>
          <t>Read a stress figure as the consequence of a material model rather than as a measurement.</t>
        </is>
      </c>
      <c r="E37" s="4" t="inlineStr"/>
      <c r="F37" s="4" t="inlineStr"/>
      <c r="G37" s="4" t="inlineStr"/>
    </row>
    <row r="38">
      <c r="A38" s="4" t="inlineStr">
        <is>
          <t>3.16.4-P3</t>
        </is>
      </c>
      <c r="B38" s="4" t="inlineStr">
        <is>
          <t>3.16.4</t>
        </is>
      </c>
      <c r="C38" s="4" t="inlineStr">
        <is>
          <t>frcs</t>
        </is>
      </c>
      <c r="D38" s="4" t="inlineStr">
        <is>
          <t>Expect models to be good at comparing conditions and weak at absolute values.</t>
        </is>
      </c>
      <c r="E38" s="4" t="inlineStr"/>
      <c r="F38" s="4" t="inlineStr"/>
      <c r="G38" s="4" t="inlineStr"/>
    </row>
    <row r="39">
      <c r="A39" s="4" t="inlineStr">
        <is>
          <t>3.16.4-P4</t>
        </is>
      </c>
      <c r="B39" s="4" t="inlineStr">
        <is>
          <t>3.16.4</t>
        </is>
      </c>
      <c r="C39" s="4" t="inlineStr">
        <is>
          <t>frcs</t>
        </is>
      </c>
      <c r="D39" s="4" t="inlineStr">
        <is>
          <t>State the material model and the load source alongside any finite element figure.</t>
        </is>
      </c>
      <c r="E39" s="4" t="inlineStr"/>
      <c r="F39" s="4" t="inlineStr"/>
      <c r="G39" s="4" t="inlineStr"/>
    </row>
    <row r="40">
      <c r="A40" s="4" t="inlineStr">
        <is>
          <t>3.16.4-P5</t>
        </is>
      </c>
      <c r="B40" s="4" t="inlineStr">
        <is>
          <t>3.16.4</t>
        </is>
      </c>
      <c r="C40" s="4" t="inlineStr">
        <is>
          <t>fellowship</t>
        </is>
      </c>
      <c r="D40" s="4" t="inlineStr">
        <is>
          <t>Treat comparative findings as the model's useful output and absolute stresses as indicative.</t>
        </is>
      </c>
      <c r="E40" s="4" t="inlineStr"/>
      <c r="F40" s="4" t="inlineStr"/>
      <c r="G40" s="4" t="inlineStr"/>
    </row>
    <row r="41">
      <c r="A41" s="4" t="inlineStr">
        <is>
          <t>3.16.4-P6</t>
        </is>
      </c>
      <c r="B41" s="4" t="inlineStr">
        <is>
          <t>3.16.4</t>
        </is>
      </c>
      <c r="C41" s="4" t="inlineStr">
        <is>
          <t>consultant</t>
        </is>
      </c>
      <c r="D41" s="4" t="inlineStr">
        <is>
          <t>Ask whether the claim is comparative or absolute before weighing a modelled result.</t>
        </is>
      </c>
      <c r="E41" s="4" t="inlineStr"/>
      <c r="F41" s="4" t="inlineStr"/>
      <c r="G41" s="4" t="inlineStr"/>
    </row>
    <row r="42">
      <c r="A42" s="4" t="inlineStr">
        <is>
          <t>3.16.4-P7</t>
        </is>
      </c>
      <c r="B42" s="4" t="inlineStr">
        <is>
          <t>3.16.4</t>
        </is>
      </c>
      <c r="C42" s="4" t="inlineStr">
        <is>
          <t>consultant</t>
        </is>
      </c>
      <c r="D42" s="4" t="inlineStr">
        <is>
          <t>State that no agreed threshold exists for when a model is validated enough to act on.</t>
        </is>
      </c>
      <c r="E42" s="4" t="inlineStr"/>
      <c r="F42" s="4" t="inlineStr"/>
      <c r="G42" s="4" t="inlineStr"/>
    </row>
    <row r="43">
      <c r="A43" s="4" t="inlineStr">
        <is>
          <t>3.16.4-P8</t>
        </is>
      </c>
      <c r="B43" s="4" t="inlineStr">
        <is>
          <t>3.16.4</t>
        </is>
      </c>
      <c r="C43" s="4" t="inlineStr">
        <is>
          <t>consultant</t>
        </is>
      </c>
      <c r="D43" s="4" t="inlineStr">
        <is>
          <t>Weigh the patient's age and physiology, comorbidities, knee demand, psychological state and their own ideas, concerns and expectations before letting a modelled result influence an operative choice, because a model has geometry and no person in it.</t>
        </is>
      </c>
      <c r="E43" s="4" t="inlineStr"/>
      <c r="F43" s="4" t="inlineStr"/>
      <c r="G43" s="4" t="inlineStr"/>
    </row>
    <row r="44">
      <c r="A44" s="4" t="inlineStr">
        <is>
          <t>3.16.5-P1</t>
        </is>
      </c>
      <c r="B44" s="4" t="inlineStr">
        <is>
          <t>3.16.5</t>
        </is>
      </c>
      <c r="C44" s="4" t="inlineStr">
        <is>
          <t>frcs</t>
        </is>
      </c>
      <c r="D44" s="4" t="inlineStr">
        <is>
          <t>Read a knee contact force figure as the output of an optimisation rather than a measurement.</t>
        </is>
      </c>
      <c r="E44" s="4" t="inlineStr"/>
      <c r="F44" s="4" t="inlineStr"/>
      <c r="G44" s="4" t="inlineStr"/>
    </row>
    <row r="45">
      <c r="A45" s="4" t="inlineStr">
        <is>
          <t>3.16.5-P2</t>
        </is>
      </c>
      <c r="B45" s="4" t="inlineStr">
        <is>
          <t>3.16.5</t>
        </is>
      </c>
      <c r="C45" s="4" t="inlineStr">
        <is>
          <t>frcs</t>
        </is>
      </c>
      <c r="D45" s="4" t="inlineStr">
        <is>
          <t>Expect models to underestimate co-contraction and therefore joint compression.</t>
        </is>
      </c>
      <c r="E45" s="4" t="inlineStr"/>
      <c r="F45" s="4" t="inlineStr"/>
      <c r="G45" s="4" t="inlineStr"/>
    </row>
    <row r="46">
      <c r="A46" s="4" t="inlineStr">
        <is>
          <t>3.16.5-P3</t>
        </is>
      </c>
      <c r="B46" s="4" t="inlineStr">
        <is>
          <t>3.16.5</t>
        </is>
      </c>
      <c r="C46" s="4" t="inlineStr">
        <is>
          <t>frcs</t>
        </is>
      </c>
      <c r="D46" s="4" t="inlineStr">
        <is>
          <t>Compare contact force figures within a modelling framework rather than between them.</t>
        </is>
      </c>
      <c r="E46" s="4" t="inlineStr"/>
      <c r="F46" s="4" t="inlineStr"/>
      <c r="G46" s="4" t="inlineStr"/>
    </row>
    <row r="47">
      <c r="A47" s="4" t="inlineStr">
        <is>
          <t>3.16.5-P4</t>
        </is>
      </c>
      <c r="B47" s="4" t="inlineStr">
        <is>
          <t>3.16.5</t>
        </is>
      </c>
      <c r="C47" s="4" t="inlineStr">
        <is>
          <t>frcs</t>
        </is>
      </c>
      <c r="D47" s="4" t="inlineStr">
        <is>
          <t>State the model and the optimisation criterion with any contact force number.</t>
        </is>
      </c>
      <c r="E47" s="4" t="inlineStr"/>
      <c r="F47" s="4" t="inlineStr"/>
      <c r="G47" s="4" t="inlineStr"/>
    </row>
    <row r="48">
      <c r="A48" s="4" t="inlineStr">
        <is>
          <t>3.16.5-P5</t>
        </is>
      </c>
      <c r="B48" s="4" t="inlineStr">
        <is>
          <t>3.16.5</t>
        </is>
      </c>
      <c r="C48" s="4" t="inlineStr">
        <is>
          <t>fellowship</t>
        </is>
      </c>
      <c r="D48" s="4" t="inlineStr">
        <is>
          <t>Prefer electromyography driven estimates where co-contraction is part of the question.</t>
        </is>
      </c>
      <c r="E48" s="4" t="inlineStr"/>
      <c r="F48" s="4" t="inlineStr"/>
      <c r="G48" s="4" t="inlineStr"/>
    </row>
    <row r="49">
      <c r="A49" s="4" t="inlineStr">
        <is>
          <t>3.16.5-P6</t>
        </is>
      </c>
      <c r="B49" s="4" t="inlineStr">
        <is>
          <t>3.16.5</t>
        </is>
      </c>
      <c r="C49" s="4" t="inlineStr">
        <is>
          <t>fellowship</t>
        </is>
      </c>
      <c r="D49" s="4" t="inlineStr">
        <is>
          <t>Treat contact force figures for the native knee as unvalidated, since the validation data comes from implants.</t>
        </is>
      </c>
      <c r="E49" s="4" t="inlineStr"/>
      <c r="F49" s="4" t="inlineStr"/>
      <c r="G49" s="4" t="inlineStr"/>
    </row>
    <row r="50">
      <c r="A50" s="4" t="inlineStr">
        <is>
          <t>3.16.5-P7</t>
        </is>
      </c>
      <c r="B50" s="4" t="inlineStr">
        <is>
          <t>3.16.5</t>
        </is>
      </c>
      <c r="C50" s="4" t="inlineStr">
        <is>
          <t>fellowship</t>
        </is>
      </c>
      <c r="D50" s="4" t="inlineStr">
        <is>
          <t>Expect models to agree moderately with each other and to be reported as if they agree well.</t>
        </is>
      </c>
      <c r="E50" s="4" t="inlineStr"/>
      <c r="F50" s="4" t="inlineStr"/>
      <c r="G50" s="4" t="inlineStr"/>
    </row>
    <row r="51">
      <c r="A51" s="4" t="inlineStr">
        <is>
          <t>3.16.5-P8</t>
        </is>
      </c>
      <c r="B51" s="4" t="inlineStr">
        <is>
          <t>3.16.5</t>
        </is>
      </c>
      <c r="C51" s="4" t="inlineStr">
        <is>
          <t>consultant</t>
        </is>
      </c>
      <c r="D51" s="4" t="inlineStr">
        <is>
          <t>Use these estimates for ranking and direction and not for patient specific thresholds.</t>
        </is>
      </c>
      <c r="E51" s="4" t="inlineStr"/>
      <c r="F51" s="4" t="inlineStr"/>
      <c r="G51" s="4" t="inlineStr"/>
    </row>
    <row r="52">
      <c r="A52" s="4" t="inlineStr">
        <is>
          <t>3.16.5-P9</t>
        </is>
      </c>
      <c r="B52" s="4" t="inlineStr">
        <is>
          <t>3.16.5</t>
        </is>
      </c>
      <c r="C52" s="4" t="inlineStr">
        <is>
          <t>consultant</t>
        </is>
      </c>
      <c r="D52" s="4" t="inlineStr">
        <is>
          <t>State that native knee contact forces are unvalidated when quoting one.</t>
        </is>
      </c>
      <c r="E52" s="4" t="inlineStr"/>
      <c r="F52" s="4" t="inlineStr"/>
      <c r="G52" s="4" t="inlineStr"/>
    </row>
    <row r="53">
      <c r="A53" s="4" t="inlineStr">
        <is>
          <t>3.16.5-P10</t>
        </is>
      </c>
      <c r="B53" s="4" t="inlineStr">
        <is>
          <t>3.16.5</t>
        </is>
      </c>
      <c r="C53" s="4" t="inlineStr">
        <is>
          <t>consultant</t>
        </is>
      </c>
      <c r="D53" s="4" t="inlineStr">
        <is>
          <t>Prefer electromyography driven work for arthritic and co-contracting knees.</t>
        </is>
      </c>
      <c r="E53" s="4" t="inlineStr"/>
      <c r="F53" s="4" t="inlineStr"/>
      <c r="G53" s="4" t="inlineStr"/>
    </row>
    <row r="54">
      <c r="A54" s="4" t="inlineStr">
        <is>
          <t>3.16.5-P11</t>
        </is>
      </c>
      <c r="B54" s="4" t="inlineStr">
        <is>
          <t>3.16.5</t>
        </is>
      </c>
      <c r="C54" s="4" t="inlineStr">
        <is>
          <t>consultant</t>
        </is>
      </c>
      <c r="D54" s="4" t="inlineStr">
        <is>
          <t>Weigh the patient's age and physiology, comorbidities, knee demand, psychological state and their own ideas, concerns and expectations before converting a modelled load into advice, since advice derived from an estimate is still advice.</t>
        </is>
      </c>
      <c r="E54" s="4" t="inlineStr"/>
      <c r="F54" s="4" t="inlineStr"/>
      <c r="G54" s="4" t="inlineStr"/>
    </row>
    <row r="55">
      <c r="A55" s="4" t="inlineStr">
        <is>
          <t>3.16.6-P1</t>
        </is>
      </c>
      <c r="B55" s="4" t="inlineStr">
        <is>
          <t>3.16.6</t>
        </is>
      </c>
      <c r="C55" s="4" t="inlineStr">
        <is>
          <t>frcs</t>
        </is>
      </c>
      <c r="D55" s="4" t="inlineStr">
        <is>
          <t>Ask what a model was trained on before asking how well it performed.</t>
        </is>
      </c>
      <c r="E55" s="4" t="inlineStr"/>
      <c r="F55" s="4" t="inlineStr"/>
      <c r="G55" s="4" t="inlineStr"/>
    </row>
    <row r="56">
      <c r="A56" s="4" t="inlineStr">
        <is>
          <t>3.16.6-P2</t>
        </is>
      </c>
      <c r="B56" s="4" t="inlineStr">
        <is>
          <t>3.16.6</t>
        </is>
      </c>
      <c r="C56" s="4" t="inlineStr">
        <is>
          <t>frcs</t>
        </is>
      </c>
      <c r="D56" s="4" t="inlineStr">
        <is>
          <t>Expect performance to fall on a population unlike the training set.</t>
        </is>
      </c>
      <c r="E56" s="4" t="inlineStr"/>
      <c r="F56" s="4" t="inlineStr"/>
      <c r="G56" s="4" t="inlineStr"/>
    </row>
    <row r="57">
      <c r="A57" s="4" t="inlineStr">
        <is>
          <t>3.16.6-P3</t>
        </is>
      </c>
      <c r="B57" s="4" t="inlineStr">
        <is>
          <t>3.16.6</t>
        </is>
      </c>
      <c r="C57" s="4" t="inlineStr">
        <is>
          <t>frcs</t>
        </is>
      </c>
      <c r="D57" s="4" t="inlineStr">
        <is>
          <t>Treat a prediction without a mechanism as a useful signal rather than an explanation.</t>
        </is>
      </c>
      <c r="E57" s="4" t="inlineStr"/>
      <c r="F57" s="4" t="inlineStr"/>
      <c r="G57" s="4" t="inlineStr"/>
    </row>
    <row r="58">
      <c r="A58" s="4" t="inlineStr">
        <is>
          <t>3.16.6-P4</t>
        </is>
      </c>
      <c r="B58" s="4" t="inlineStr">
        <is>
          <t>3.16.6</t>
        </is>
      </c>
      <c r="C58" s="4" t="inlineStr">
        <is>
          <t>fellowship</t>
        </is>
      </c>
      <c r="D58" s="4" t="inlineStr">
        <is>
          <t>Ask for external validation rather than cross validation.</t>
        </is>
      </c>
      <c r="E58" s="4" t="inlineStr"/>
      <c r="F58" s="4" t="inlineStr"/>
      <c r="G58" s="4" t="inlineStr"/>
    </row>
    <row r="59">
      <c r="A59" s="4" t="inlineStr">
        <is>
          <t>3.16.6-P5</t>
        </is>
      </c>
      <c r="B59" s="4" t="inlineStr">
        <is>
          <t>3.16.6</t>
        </is>
      </c>
      <c r="C59" s="4" t="inlineStr">
        <is>
          <t>fellowship</t>
        </is>
      </c>
      <c r="D59" s="4" t="inlineStr">
        <is>
          <t>Check what the comparison clinician baseline was, since it is often weaker than real practice.</t>
        </is>
      </c>
      <c r="E59" s="4" t="inlineStr"/>
      <c r="F59" s="4" t="inlineStr"/>
      <c r="G59" s="4" t="inlineStr"/>
    </row>
    <row r="60">
      <c r="A60" s="4" t="inlineStr">
        <is>
          <t>3.16.6-P6</t>
        </is>
      </c>
      <c r="B60" s="4" t="inlineStr">
        <is>
          <t>3.16.6</t>
        </is>
      </c>
      <c r="C60" s="4" t="inlineStr">
        <is>
          <t>fellowship</t>
        </is>
      </c>
      <c r="D60" s="4" t="inlineStr">
        <is>
          <t>Expect degradation with a change of scanner, protocol or population.</t>
        </is>
      </c>
      <c r="E60" s="4" t="inlineStr"/>
      <c r="F60" s="4" t="inlineStr"/>
      <c r="G60" s="4" t="inlineStr"/>
    </row>
    <row r="61">
      <c r="A61" s="4" t="inlineStr">
        <is>
          <t>3.16.6-P7</t>
        </is>
      </c>
      <c r="B61" s="4" t="inlineStr">
        <is>
          <t>3.16.6</t>
        </is>
      </c>
      <c r="C61" s="4" t="inlineStr">
        <is>
          <t>fellowship</t>
        </is>
      </c>
      <c r="D61" s="4" t="inlineStr">
        <is>
          <t>Treat a label trained model as having learned the labellers, which bounds what it can exceed.</t>
        </is>
      </c>
      <c r="E61" s="4" t="inlineStr"/>
      <c r="F61" s="4" t="inlineStr"/>
      <c r="G61" s="4" t="inlineStr"/>
    </row>
    <row r="62">
      <c r="A62" s="4" t="inlineStr">
        <is>
          <t>3.16.6-P8</t>
        </is>
      </c>
      <c r="B62" s="4" t="inlineStr">
        <is>
          <t>3.16.6</t>
        </is>
      </c>
      <c r="C62" s="4" t="inlineStr">
        <is>
          <t>consultant</t>
        </is>
      </c>
      <c r="D62" s="4" t="inlineStr">
        <is>
          <t>Decide by task and by whether the output is checked before it acts, rather than by the technology.</t>
        </is>
      </c>
      <c r="E62" s="4" t="inlineStr"/>
      <c r="F62" s="4" t="inlineStr"/>
      <c r="G62" s="4" t="inlineStr"/>
    </row>
    <row r="63">
      <c r="A63" s="4" t="inlineStr">
        <is>
          <t>3.16.6-P9</t>
        </is>
      </c>
      <c r="B63" s="4" t="inlineStr">
        <is>
          <t>3.16.6</t>
        </is>
      </c>
      <c r="C63" s="4" t="inlineStr">
        <is>
          <t>consultant</t>
        </is>
      </c>
      <c r="D63" s="4" t="inlineStr">
        <is>
          <t>Ask how the model fails rather than how often, since supervision depends on the first.</t>
        </is>
      </c>
      <c r="E63" s="4" t="inlineStr"/>
      <c r="F63" s="4" t="inlineStr"/>
      <c r="G63" s="4" t="inlineStr"/>
    </row>
    <row r="64">
      <c r="A64" s="4" t="inlineStr">
        <is>
          <t>3.16.6-P10</t>
        </is>
      </c>
      <c r="B64" s="4" t="inlineStr">
        <is>
          <t>3.16.6</t>
        </is>
      </c>
      <c r="C64" s="4" t="inlineStr">
        <is>
          <t>consultant</t>
        </is>
      </c>
      <c r="D64" s="4" t="inlineStr">
        <is>
          <t>State that no standard exists for monitoring a deployed model in a clinical service.</t>
        </is>
      </c>
      <c r="E64" s="4" t="inlineStr"/>
      <c r="F64" s="4" t="inlineStr"/>
      <c r="G64" s="4" t="inlineStr"/>
    </row>
    <row r="65">
      <c r="A65" s="4" t="inlineStr">
        <is>
          <t>3.16.6-P11</t>
        </is>
      </c>
      <c r="B65" s="4" t="inlineStr">
        <is>
          <t>3.16.6</t>
        </is>
      </c>
      <c r="C65" s="4" t="inlineStr">
        <is>
          <t>consultant</t>
        </is>
      </c>
      <c r="D65" s="4" t="inlineStr">
        <is>
          <t>Weigh the patient's age and physiology, comorbidities, knee demand, psychological state and their own ideas, concerns and expectations, and tell them when a tool contributed to a decision about them, because that is their information rather than the service's.</t>
        </is>
      </c>
      <c r="E65" s="4" t="inlineStr"/>
      <c r="F65" s="4" t="inlineStr"/>
      <c r="G65" s="4" t="inlineStr"/>
    </row>
    <row r="66">
      <c r="A66" s="4" t="inlineStr">
        <is>
          <t>3.16.7-P1</t>
        </is>
      </c>
      <c r="B66" s="4" t="inlineStr">
        <is>
          <t>3.16.7</t>
        </is>
      </c>
      <c r="C66" s="4" t="inlineStr">
        <is>
          <t>frcs</t>
        </is>
      </c>
      <c r="D66" s="4" t="inlineStr">
        <is>
          <t>Treat knee rotation from skin markers as indicative rather than precise.</t>
        </is>
      </c>
      <c r="E66" s="4" t="inlineStr"/>
      <c r="F66" s="4" t="inlineStr"/>
      <c r="G66" s="4" t="inlineStr"/>
    </row>
    <row r="67">
      <c r="A67" s="4" t="inlineStr">
        <is>
          <t>3.16.7-P2</t>
        </is>
      </c>
      <c r="B67" s="4" t="inlineStr">
        <is>
          <t>3.16.7</t>
        </is>
      </c>
      <c r="C67" s="4" t="inlineStr">
        <is>
          <t>frcs</t>
        </is>
      </c>
      <c r="D67" s="4" t="inlineStr">
        <is>
          <t>Expect sagittal measurements to be considerably more reliable than transverse ones.</t>
        </is>
      </c>
      <c r="E67" s="4" t="inlineStr"/>
      <c r="F67" s="4" t="inlineStr"/>
      <c r="G67" s="4" t="inlineStr"/>
    </row>
    <row r="68">
      <c r="A68" s="4" t="inlineStr">
        <is>
          <t>3.16.7-P3</t>
        </is>
      </c>
      <c r="B68" s="4" t="inlineStr">
        <is>
          <t>3.16.7</t>
        </is>
      </c>
      <c r="C68" s="4" t="inlineStr">
        <is>
          <t>frcs</t>
        </is>
      </c>
      <c r="D68" s="4" t="inlineStr">
        <is>
          <t>Compare within a laboratory and marker set rather than between them.</t>
        </is>
      </c>
      <c r="E68" s="4" t="inlineStr"/>
      <c r="F68" s="4" t="inlineStr"/>
      <c r="G68" s="4" t="inlineStr"/>
    </row>
    <row r="69">
      <c r="A69" s="4" t="inlineStr">
        <is>
          <t>3.16.7-P4</t>
        </is>
      </c>
      <c r="B69" s="4" t="inlineStr">
        <is>
          <t>3.16.7</t>
        </is>
      </c>
      <c r="C69" s="4" t="inlineStr">
        <is>
          <t>frcs</t>
        </is>
      </c>
      <c r="D69" s="4" t="inlineStr">
        <is>
          <t>State the marker set alongside any joint angle figure.</t>
        </is>
      </c>
      <c r="E69" s="4" t="inlineStr"/>
      <c r="F69" s="4" t="inlineStr"/>
      <c r="G69" s="4" t="inlineStr"/>
    </row>
    <row r="70">
      <c r="A70" s="4" t="inlineStr">
        <is>
          <t>3.16.7-P5</t>
        </is>
      </c>
      <c r="B70" s="4" t="inlineStr">
        <is>
          <t>3.16.7</t>
        </is>
      </c>
      <c r="C70" s="4" t="inlineStr">
        <is>
          <t>fellowship</t>
        </is>
      </c>
      <c r="D70" s="4" t="inlineStr">
        <is>
          <t>Prefer fluoroscopy where rotation is the question and the few paces are enough.</t>
        </is>
      </c>
      <c r="E70" s="4" t="inlineStr"/>
      <c r="F70" s="4" t="inlineStr"/>
      <c r="G70" s="4" t="inlineStr"/>
    </row>
    <row r="71">
      <c r="A71" s="4" t="inlineStr">
        <is>
          <t>3.16.7-P6</t>
        </is>
      </c>
      <c r="B71" s="4" t="inlineStr">
        <is>
          <t>3.16.7</t>
        </is>
      </c>
      <c r="C71" s="4" t="inlineStr">
        <is>
          <t>fellowship</t>
        </is>
      </c>
      <c r="D71" s="4" t="inlineStr">
        <is>
          <t>Expect laboratory walking to differ from everyday walking, including through awareness.</t>
        </is>
      </c>
      <c r="E71" s="4" t="inlineStr"/>
      <c r="F71" s="4" t="inlineStr"/>
      <c r="G71" s="4" t="inlineStr"/>
    </row>
    <row r="72">
      <c r="A72" s="4" t="inlineStr">
        <is>
          <t>3.16.7-P7</t>
        </is>
      </c>
      <c r="B72" s="4" t="inlineStr">
        <is>
          <t>3.16.7</t>
        </is>
      </c>
      <c r="C72" s="4" t="inlineStr">
        <is>
          <t>consultant</t>
        </is>
      </c>
      <c r="D72" s="4" t="inlineStr">
        <is>
          <t>Decide on whether a question exists rather than on the capability, since capability without a question is expensive description.</t>
        </is>
      </c>
      <c r="E72" s="4" t="inlineStr"/>
      <c r="F72" s="4" t="inlineStr"/>
      <c r="G72" s="4" t="inlineStr"/>
    </row>
    <row r="73">
      <c r="A73" s="4" t="inlineStr">
        <is>
          <t>3.16.7-P8</t>
        </is>
      </c>
      <c r="B73" s="4" t="inlineStr">
        <is>
          <t>3.16.7</t>
        </is>
      </c>
      <c r="C73" s="4" t="inlineStr">
        <is>
          <t>consultant</t>
        </is>
      </c>
      <c r="D73" s="4" t="inlineStr">
        <is>
          <t>Consider collaboration before equipping a laboratory of your own.</t>
        </is>
      </c>
      <c r="E73" s="4" t="inlineStr"/>
      <c r="F73" s="4" t="inlineStr"/>
      <c r="G73" s="4" t="inlineStr"/>
    </row>
    <row r="74">
      <c r="A74" s="4" t="inlineStr">
        <is>
          <t>3.16.7-P9</t>
        </is>
      </c>
      <c r="B74" s="4" t="inlineStr">
        <is>
          <t>3.16.7</t>
        </is>
      </c>
      <c r="C74" s="4" t="inlineStr">
        <is>
          <t>consultant</t>
        </is>
      </c>
      <c r="D74" s="4" t="inlineStr">
        <is>
          <t>State that no study shows access to gait analysis changing surgical outcomes.</t>
        </is>
      </c>
      <c r="E74" s="4" t="inlineStr"/>
      <c r="F74" s="4" t="inlineStr"/>
      <c r="G74" s="4" t="inlineStr"/>
    </row>
    <row r="75">
      <c r="A75" s="4" t="inlineStr">
        <is>
          <t>3.16.7-P10</t>
        </is>
      </c>
      <c r="B75" s="4" t="inlineStr">
        <is>
          <t>3.16.7</t>
        </is>
      </c>
      <c r="C75" s="4" t="inlineStr">
        <is>
          <t>consultant</t>
        </is>
      </c>
      <c r="D75" s="4" t="inlineStr">
        <is>
          <t>Weigh the patient's age and physiology, comorbidities, knee demand, psychological state and their own ideas, concerns and expectations before sending one for gait analysis, because a laboratory visit is a real imposition for an output that may not change the plan.</t>
        </is>
      </c>
      <c r="E75" s="4" t="inlineStr"/>
      <c r="F75" s="4" t="inlineStr"/>
      <c r="G75" s="4" t="inlineStr"/>
    </row>
    <row r="76">
      <c r="A76" s="4" t="inlineStr">
        <is>
          <t>3.16.8-P1</t>
        </is>
      </c>
      <c r="B76" s="4" t="inlineStr">
        <is>
          <t>3.16.8</t>
        </is>
      </c>
      <c r="C76" s="4" t="inlineStr">
        <is>
          <t>frcs</t>
        </is>
      </c>
      <c r="D76" s="4" t="inlineStr">
        <is>
          <t>Use wearables for exposure and count data, where they are reliable.</t>
        </is>
      </c>
      <c r="E76" s="4" t="inlineStr"/>
      <c r="F76" s="4" t="inlineStr"/>
      <c r="G76" s="4" t="inlineStr"/>
    </row>
    <row r="77">
      <c r="A77" s="4" t="inlineStr">
        <is>
          <t>3.16.8-P2</t>
        </is>
      </c>
      <c r="B77" s="4" t="inlineStr">
        <is>
          <t>3.16.8</t>
        </is>
      </c>
      <c r="C77" s="4" t="inlineStr">
        <is>
          <t>frcs</t>
        </is>
      </c>
      <c r="D77" s="4" t="inlineStr">
        <is>
          <t>Treat a wearable derived joint moment as a model output rather than a measurement.</t>
        </is>
      </c>
      <c r="E77" s="4" t="inlineStr"/>
      <c r="F77" s="4" t="inlineStr"/>
      <c r="G77" s="4" t="inlineStr"/>
    </row>
    <row r="78">
      <c r="A78" s="4" t="inlineStr">
        <is>
          <t>3.16.8-P3</t>
        </is>
      </c>
      <c r="B78" s="4" t="inlineStr">
        <is>
          <t>3.16.8</t>
        </is>
      </c>
      <c r="C78" s="4" t="inlineStr">
        <is>
          <t>frcs</t>
        </is>
      </c>
      <c r="D78" s="4" t="inlineStr">
        <is>
          <t>Expect transverse plane data from inertial sensors to be weak.</t>
        </is>
      </c>
      <c r="E78" s="4" t="inlineStr"/>
      <c r="F78" s="4" t="inlineStr"/>
      <c r="G78" s="4" t="inlineStr"/>
    </row>
    <row r="79">
      <c r="A79" s="4" t="inlineStr">
        <is>
          <t>3.16.8-P4</t>
        </is>
      </c>
      <c r="B79" s="4" t="inlineStr">
        <is>
          <t>3.16.8</t>
        </is>
      </c>
      <c r="C79" s="4" t="inlineStr">
        <is>
          <t>frcs</t>
        </is>
      </c>
      <c r="D79" s="4" t="inlineStr">
        <is>
          <t>Ask whether the algorithm is published, since a proprietary conversion cannot be appraised.</t>
        </is>
      </c>
      <c r="E79" s="4" t="inlineStr"/>
      <c r="F79" s="4" t="inlineStr"/>
      <c r="G79" s="4" t="inlineStr"/>
    </row>
    <row r="80">
      <c r="A80" s="4" t="inlineStr">
        <is>
          <t>3.16.8-P5</t>
        </is>
      </c>
      <c r="B80" s="4" t="inlineStr">
        <is>
          <t>3.16.8</t>
        </is>
      </c>
      <c r="C80" s="4" t="inlineStr">
        <is>
          <t>fellowship</t>
        </is>
      </c>
      <c r="D80" s="4" t="inlineStr">
        <is>
          <t>Expect laboratory validation to overstate field performance.</t>
        </is>
      </c>
      <c r="E80" s="4" t="inlineStr"/>
      <c r="F80" s="4" t="inlineStr"/>
      <c r="G80" s="4" t="inlineStr"/>
    </row>
    <row r="81">
      <c r="A81" s="4" t="inlineStr">
        <is>
          <t>3.16.8-P6</t>
        </is>
      </c>
      <c r="B81" s="4" t="inlineStr">
        <is>
          <t>3.16.8</t>
        </is>
      </c>
      <c r="C81" s="4" t="inlineStr">
        <is>
          <t>fellowship</t>
        </is>
      </c>
      <c r="D81" s="4" t="inlineStr">
        <is>
          <t>Plan for compliance explicitly, since the method's advantage is entirely in volume.</t>
        </is>
      </c>
      <c r="E81" s="4" t="inlineStr"/>
      <c r="F81" s="4" t="inlineStr"/>
      <c r="G81" s="4" t="inlineStr"/>
    </row>
    <row r="82">
      <c r="A82" s="4" t="inlineStr">
        <is>
          <t>3.16.8-P7</t>
        </is>
      </c>
      <c r="B82" s="4" t="inlineStr">
        <is>
          <t>3.16.8</t>
        </is>
      </c>
      <c r="C82" s="4" t="inlineStr">
        <is>
          <t>consultant</t>
        </is>
      </c>
      <c r="D82" s="4" t="inlineStr">
        <is>
          <t>Use counts and trends now, and wait for validation before using absolute load thresholds.</t>
        </is>
      </c>
      <c r="E82" s="4" t="inlineStr"/>
      <c r="F82" s="4" t="inlineStr"/>
      <c r="G82" s="4" t="inlineStr"/>
    </row>
    <row r="83">
      <c r="A83" s="4" t="inlineStr">
        <is>
          <t>3.16.8-P8</t>
        </is>
      </c>
      <c r="B83" s="4" t="inlineStr">
        <is>
          <t>3.16.8</t>
        </is>
      </c>
      <c r="C83" s="4" t="inlineStr">
        <is>
          <t>consultant</t>
        </is>
      </c>
      <c r="D83" s="4" t="inlineStr">
        <is>
          <t>Read validation by quantity rather than by device.</t>
        </is>
      </c>
      <c r="E83" s="4" t="inlineStr"/>
      <c r="F83" s="4" t="inlineStr"/>
      <c r="G83" s="4" t="inlineStr"/>
    </row>
    <row r="84">
      <c r="A84" s="4" t="inlineStr">
        <is>
          <t>3.16.8-P9</t>
        </is>
      </c>
      <c r="B84" s="4" t="inlineStr">
        <is>
          <t>3.16.8</t>
        </is>
      </c>
      <c r="C84" s="4" t="inlineStr">
        <is>
          <t>consultant</t>
        </is>
      </c>
      <c r="D84" s="4" t="inlineStr">
        <is>
          <t>State that any wearable derived limit given to a patient is currently an informed guess.</t>
        </is>
      </c>
      <c r="E84" s="4" t="inlineStr"/>
      <c r="F84" s="4" t="inlineStr"/>
      <c r="G84" s="4" t="inlineStr"/>
    </row>
    <row r="85">
      <c r="A85" s="4" t="inlineStr">
        <is>
          <t>3.16.8-P10</t>
        </is>
      </c>
      <c r="B85" s="4" t="inlineStr">
        <is>
          <t>3.16.8</t>
        </is>
      </c>
      <c r="C85" s="4" t="inlineStr">
        <is>
          <t>consultant</t>
        </is>
      </c>
      <c r="D85" s="4" t="inlineStr">
        <is>
          <t>Take responsibility for the data governance question rather than treating it as somebody else's.</t>
        </is>
      </c>
      <c r="E85" s="4" t="inlineStr"/>
      <c r="F85" s="4" t="inlineStr"/>
      <c r="G85" s="4" t="inlineStr"/>
    </row>
    <row r="86">
      <c r="A86" s="4" t="inlineStr">
        <is>
          <t>3.16.8-P11</t>
        </is>
      </c>
      <c r="B86" s="4" t="inlineStr">
        <is>
          <t>3.16.8</t>
        </is>
      </c>
      <c r="C86" s="4" t="inlineStr">
        <is>
          <t>consultant</t>
        </is>
      </c>
      <c r="D86" s="4" t="inlineStr">
        <is>
          <t>Weigh the patient's age and physiology, comorbidities, knee demand, psychological state and their own ideas, concerns and expectations before asking someone to wear a monitor for months, because continuous measurement of your own body changes how some people feel about it.</t>
        </is>
      </c>
      <c r="E86" s="4" t="inlineStr"/>
      <c r="F86" s="4" t="inlineStr"/>
      <c r="G86" s="4" t="inlineStr"/>
    </row>
    <row r="87">
      <c r="A87" s="4" t="inlineStr">
        <is>
          <t>3.16.9-P1</t>
        </is>
      </c>
      <c r="B87" s="4" t="inlineStr">
        <is>
          <t>3.16.9</t>
        </is>
      </c>
      <c r="C87" s="4" t="inlineStr">
        <is>
          <t>frcs</t>
        </is>
      </c>
      <c r="D87" s="4" t="inlineStr">
        <is>
          <t>Ask whether a claimed digital twin has an update loop, which is the definition.</t>
        </is>
      </c>
      <c r="E87" s="4" t="inlineStr"/>
      <c r="F87" s="4" t="inlineStr"/>
      <c r="G87" s="4" t="inlineStr"/>
    </row>
    <row r="88">
      <c r="A88" s="4" t="inlineStr">
        <is>
          <t>3.16.9-P2</t>
        </is>
      </c>
      <c r="B88" s="4" t="inlineStr">
        <is>
          <t>3.16.9</t>
        </is>
      </c>
      <c r="C88" s="4" t="inlineStr">
        <is>
          <t>frcs</t>
        </is>
      </c>
      <c r="D88" s="4" t="inlineStr">
        <is>
          <t>Treat patient specific modelling as valuable and as a different thing from a twin.</t>
        </is>
      </c>
      <c r="E88" s="4" t="inlineStr"/>
      <c r="F88" s="4" t="inlineStr"/>
      <c r="G88" s="4" t="inlineStr"/>
    </row>
    <row r="89">
      <c r="A89" s="4" t="inlineStr">
        <is>
          <t>3.16.9-P3</t>
        </is>
      </c>
      <c r="B89" s="4" t="inlineStr">
        <is>
          <t>3.16.9</t>
        </is>
      </c>
      <c r="C89" s="4" t="inlineStr">
        <is>
          <t>frcs</t>
        </is>
      </c>
      <c r="D89" s="4" t="inlineStr">
        <is>
          <t>Expect material properties to be the limiting gap rather than geometry or computation.</t>
        </is>
      </c>
      <c r="E89" s="4" t="inlineStr"/>
      <c r="F89" s="4" t="inlineStr"/>
      <c r="G89" s="4" t="inlineStr"/>
    </row>
    <row r="90">
      <c r="A90" s="4" t="inlineStr">
        <is>
          <t>3.16.9-P4</t>
        </is>
      </c>
      <c r="B90" s="4" t="inlineStr">
        <is>
          <t>3.16.9</t>
        </is>
      </c>
      <c r="C90" s="4" t="inlineStr">
        <is>
          <t>fellowship</t>
        </is>
      </c>
      <c r="D90" s="4" t="inlineStr">
        <is>
          <t>Expect material properties to be assumed from a population, and ask whether they were.</t>
        </is>
      </c>
      <c r="E90" s="4" t="inlineStr"/>
      <c r="F90" s="4" t="inlineStr"/>
      <c r="G90" s="4" t="inlineStr"/>
    </row>
    <row r="91">
      <c r="A91" s="4" t="inlineStr">
        <is>
          <t>3.16.9-P5</t>
        </is>
      </c>
      <c r="B91" s="4" t="inlineStr">
        <is>
          <t>3.16.9</t>
        </is>
      </c>
      <c r="C91" s="4" t="inlineStr">
        <is>
          <t>fellowship</t>
        </is>
      </c>
      <c r="D91" s="4" t="inlineStr">
        <is>
          <t>Treat narrow single tissue twins as the plausible version and general ones as marketing.</t>
        </is>
      </c>
      <c r="E91" s="4" t="inlineStr"/>
      <c r="F91" s="4" t="inlineStr"/>
      <c r="G91" s="4" t="inlineStr"/>
    </row>
    <row r="92">
      <c r="A92" s="4" t="inlineStr">
        <is>
          <t>3.16.9-P6</t>
        </is>
      </c>
      <c r="B92" s="4" t="inlineStr">
        <is>
          <t>3.16.9</t>
        </is>
      </c>
      <c r="C92" s="4" t="inlineStr">
        <is>
          <t>consultant</t>
        </is>
      </c>
      <c r="D92" s="4" t="inlineStr">
        <is>
          <t>There is no agreed standard for what a clinical digital twin must demonstrate, which is why the term is doing work the evidence is not.</t>
        </is>
      </c>
      <c r="E92" s="4" t="inlineStr"/>
      <c r="F92" s="4" t="inlineStr"/>
      <c r="G92" s="4" t="inlineStr"/>
    </row>
    <row r="93">
      <c r="A93" s="4" t="inlineStr">
        <is>
          <t>3.16.9-P7</t>
        </is>
      </c>
      <c r="B93" s="4" t="inlineStr">
        <is>
          <t>3.16.9</t>
        </is>
      </c>
      <c r="C93" s="4" t="inlineStr">
        <is>
          <t>consultant</t>
        </is>
      </c>
      <c r="D93" s="4" t="inlineStr">
        <is>
          <t>Ask for the update loop and for prospective individual validation before accepting the term.</t>
        </is>
      </c>
      <c r="E93" s="4" t="inlineStr"/>
      <c r="F93" s="4" t="inlineStr"/>
      <c r="G93" s="4" t="inlineStr"/>
    </row>
    <row r="94">
      <c r="A94" s="4" t="inlineStr">
        <is>
          <t>3.16.9-P8</t>
        </is>
      </c>
      <c r="B94" s="4" t="inlineStr">
        <is>
          <t>3.16.9</t>
        </is>
      </c>
      <c r="C94" s="4" t="inlineStr">
        <is>
          <t>consultant</t>
        </is>
      </c>
      <c r="D94" s="4" t="inlineStr">
        <is>
          <t>State that no agreed standard exists for what a clinical digital twin must demonstrate.</t>
        </is>
      </c>
      <c r="E94" s="4" t="inlineStr"/>
      <c r="F94" s="4" t="inlineStr"/>
      <c r="G94" s="4" t="inlineStr"/>
    </row>
    <row r="95">
      <c r="A95" s="4" t="inlineStr">
        <is>
          <t>3.16.9-P9</t>
        </is>
      </c>
      <c r="B95" s="4" t="inlineStr">
        <is>
          <t>3.16.9</t>
        </is>
      </c>
      <c r="C95" s="4" t="inlineStr">
        <is>
          <t>consultant</t>
        </is>
      </c>
      <c r="D95" s="4" t="inlineStr">
        <is>
          <t>Weigh the patient's age and physiology, comorbidities, knee demand, psychological state and their own ideas, concerns and expectations before showing them a model of their own knee, because a picture of your own joint failing is a powerful thing to be given.</t>
        </is>
      </c>
      <c r="E95" s="4" t="inlineStr"/>
      <c r="F95" s="4" t="inlineStr"/>
      <c r="G95" s="4" t="inlineStr"/>
    </row>
    <row r="96">
      <c r="A96" s="4" t="inlineStr">
        <is>
          <t>3.16.9-P10</t>
        </is>
      </c>
      <c r="B96" s="4" t="inlineStr">
        <is>
          <t>3.16.9</t>
        </is>
      </c>
      <c r="C96" s="4" t="inlineStr">
        <is>
          <t>consultant</t>
        </is>
      </c>
      <c r="D96" s="4" t="inlineStr">
        <is>
          <t>- No agreed standard exists for what a clinical digital twin must demonstrate.</t>
        </is>
      </c>
      <c r="E96" s="4" t="inlineStr"/>
      <c r="F96" s="4" t="inlineStr"/>
      <c r="G96" s="4" t="inlineStr"/>
    </row>
    <row r="97">
      <c r="A97" s="4" t="inlineStr">
        <is>
          <t>3.16.10-P1</t>
        </is>
      </c>
      <c r="B97" s="4" t="inlineStr">
        <is>
          <t>3.16.10</t>
        </is>
      </c>
      <c r="C97" s="4" t="inlineStr">
        <is>
          <t>frcs</t>
        </is>
      </c>
      <c r="D97" s="4" t="inlineStr">
        <is>
          <t>Expect the next decade's change to come from validation rather than from invention.</t>
        </is>
      </c>
      <c r="E97" s="4" t="inlineStr"/>
      <c r="F97" s="4" t="inlineStr"/>
      <c r="G97" s="4" t="inlineStr"/>
    </row>
    <row r="98">
      <c r="A98" s="4" t="inlineStr">
        <is>
          <t>3.16.10-P2</t>
        </is>
      </c>
      <c r="B98" s="4" t="inlineStr">
        <is>
          <t>3.16.10</t>
        </is>
      </c>
      <c r="C98" s="4" t="inlineStr">
        <is>
          <t>frcs</t>
        </is>
      </c>
      <c r="D98" s="4" t="inlineStr">
        <is>
          <t>Treat material property estimation in vivo as the gap that would change modelling most.</t>
        </is>
      </c>
      <c r="E98" s="4" t="inlineStr"/>
      <c r="F98" s="4" t="inlineStr"/>
      <c r="G98" s="4" t="inlineStr"/>
    </row>
    <row r="99">
      <c r="A99" s="4" t="inlineStr">
        <is>
          <t>3.16.10-P3</t>
        </is>
      </c>
      <c r="B99" s="4" t="inlineStr">
        <is>
          <t>3.16.10</t>
        </is>
      </c>
      <c r="C99" s="4" t="inlineStr">
        <is>
          <t>frcs</t>
        </is>
      </c>
      <c r="D99" s="4" t="inlineStr">
        <is>
          <t>Ask of any new method what reference it was validated against, since that question survives every technology.</t>
        </is>
      </c>
      <c r="E99" s="4" t="inlineStr"/>
      <c r="F99" s="4" t="inlineStr"/>
      <c r="G99" s="4" t="inlineStr"/>
    </row>
    <row r="100">
      <c r="A100" s="4" t="inlineStr">
        <is>
          <t>3.16.10-P4</t>
        </is>
      </c>
      <c r="B100" s="4" t="inlineStr">
        <is>
          <t>3.16.10</t>
        </is>
      </c>
      <c r="C100" s="4" t="inlineStr">
        <is>
          <t>fellowship</t>
        </is>
      </c>
      <c r="D100" s="4" t="inlineStr">
        <is>
          <t>Read a new method's arrival as the start of a validation question rather than the end of one.</t>
        </is>
      </c>
      <c r="E100" s="4" t="inlineStr"/>
      <c r="F100" s="4" t="inlineStr"/>
      <c r="G100" s="4" t="inlineStr"/>
    </row>
    <row r="101">
      <c r="A101" s="4" t="inlineStr">
        <is>
          <t>3.16.10-P5</t>
        </is>
      </c>
      <c r="B101" s="4" t="inlineStr">
        <is>
          <t>3.16.10</t>
        </is>
      </c>
      <c r="C101" s="4" t="inlineStr">
        <is>
          <t>fellowship</t>
        </is>
      </c>
      <c r="D101" s="4" t="inlineStr">
        <is>
          <t>Expect to wait longer for the validation of an existing method than for the arrival of a new one.</t>
        </is>
      </c>
      <c r="E101" s="4" t="inlineStr"/>
      <c r="F101" s="4" t="inlineStr"/>
      <c r="G101" s="4" t="inlineStr"/>
    </row>
    <row r="102">
      <c r="A102" s="4" t="inlineStr">
        <is>
          <t>3.16.10-P6</t>
        </is>
      </c>
      <c r="B102" s="4" t="inlineStr">
        <is>
          <t>3.16.10</t>
        </is>
      </c>
      <c r="C102" s="4" t="inlineStr">
        <is>
          <t>consultant</t>
        </is>
      </c>
      <c r="D102" s="4" t="inlineStr">
        <is>
          <t>Review packs are generated per chapter from those registers, so a reviewer's decisions have a route back in.</t>
        </is>
      </c>
      <c r="E102" s="4" t="inlineStr"/>
      <c r="F102" s="4" t="inlineStr"/>
      <c r="G102" s="4" t="inlineStr"/>
    </row>
    <row r="103">
      <c r="A103" s="4" t="inlineStr">
        <is>
          <t>3.16.10-P7</t>
        </is>
      </c>
      <c r="B103" s="4" t="inlineStr">
        <is>
          <t>3.16.10</t>
        </is>
      </c>
      <c r="C103" s="4" t="inlineStr">
        <is>
          <t>consultant</t>
        </is>
      </c>
      <c r="D103" s="4" t="inlineStr">
        <is>
          <t>Treat every figure on this site as unverified unless its register entry says otherwise, which today none does.</t>
        </is>
      </c>
      <c r="E103" s="4" t="inlineStr"/>
      <c r="F103" s="4" t="inlineStr"/>
      <c r="G103" s="4" t="inlineStr"/>
    </row>
    <row r="104">
      <c r="A104" s="4" t="inlineStr">
        <is>
          <t>3.16.10-P8</t>
        </is>
      </c>
      <c r="B104" s="4" t="inlineStr">
        <is>
          <t>3.16.10</t>
        </is>
      </c>
      <c r="C104" s="4" t="inlineStr">
        <is>
          <t>consultant</t>
        </is>
      </c>
      <c r="D104" s="4" t="inlineStr">
        <is>
          <t>Ask of any source of knee numbers what its verification state is, and notice how rarely that question can be answered.</t>
        </is>
      </c>
      <c r="E104" s="4" t="inlineStr"/>
      <c r="F104" s="4" t="inlineStr"/>
      <c r="G104" s="4" t="inlineStr"/>
    </row>
    <row r="105">
      <c r="A105" s="4" t="inlineStr">
        <is>
          <t>3.16.10-P9</t>
        </is>
      </c>
      <c r="B105" s="4" t="inlineStr">
        <is>
          <t>3.16.10</t>
        </is>
      </c>
      <c r="C105" s="4" t="inlineStr">
        <is>
          <t>consultant</t>
        </is>
      </c>
      <c r="D105" s="4" t="inlineStr">
        <is>
          <t>Use the registers rather than the prose when the question is which claims need checking.</t>
        </is>
      </c>
      <c r="E105" s="4" t="inlineStr"/>
      <c r="F105" s="4" t="inlineStr"/>
      <c r="G105" s="4" t="inlineStr"/>
    </row>
    <row r="106">
      <c r="A106" s="4" t="inlineStr">
        <is>
          <t>3.16.10-P10</t>
        </is>
      </c>
      <c r="B106" s="4" t="inlineStr">
        <is>
          <t>3.16.10</t>
        </is>
      </c>
      <c r="C106" s="4" t="inlineStr">
        <is>
          <t>consultant</t>
        </is>
      </c>
      <c r="D106" s="4" t="inlineStr">
        <is>
          <t>State that a finite visible list of unchecked figures is a weaker claim than a checked one and a stronger one than silence.</t>
        </is>
      </c>
      <c r="E106" s="4" t="inlineStr"/>
      <c r="F106" s="4" t="inlineStr"/>
      <c r="G106" s="4" t="inlineStr"/>
    </row>
    <row r="107">
      <c r="A107" s="4" t="inlineStr">
        <is>
          <t>3.16.10-P11</t>
        </is>
      </c>
      <c r="B107" s="4" t="inlineStr">
        <is>
          <t>3.16.10</t>
        </is>
      </c>
      <c r="C107" s="4" t="inlineStr">
        <is>
          <t>consultant</t>
        </is>
      </c>
      <c r="D107" s="4" t="inlineStr">
        <is>
          <t>Weigh the patient's age and physiology, comorbidities, knee demand, psychological state and their own ideas, concerns and expectations before passing any figure from here into a conversation, because an unverified number spoken aloud to a patient becomes a fact to them.</t>
        </is>
      </c>
      <c r="E107" s="4" t="inlineStr"/>
      <c r="F107" s="4" t="inlineStr"/>
      <c r="G107" s="4" t="inlineStr"/>
    </row>
  </sheetData>
  <dataValidations count="1">
    <dataValidation sqref="E3:E107"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3.16.2-F1</t>
        </is>
      </c>
      <c r="B3" s="4" t="inlineStr">
        <is>
          <t>3.16.2</t>
        </is>
      </c>
      <c r="C3" s="4" t="inlineStr">
        <is>
          <t>frcs</t>
        </is>
      </c>
      <c r="D3" s="4" t="inlineStr">
        <is>
          <t>134</t>
        </is>
      </c>
      <c r="E3" s="4" t="inlineStr">
        <is>
          <t>The load applied, since a 134 newton anterior drawer and a simulated pivot shift are different questions.</t>
        </is>
      </c>
      <c r="F3" s="4" t="inlineStr"/>
      <c r="G3" s="4" t="inlineStr"/>
      <c r="H3" s="4" t="inlineStr"/>
    </row>
  </sheetData>
  <dataValidations count="1">
    <dataValidation sqref="F3"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105</f>
        <v/>
      </c>
      <c r="C2" s="3">
        <f>1</f>
        <v/>
      </c>
    </row>
    <row r="3">
      <c r="A3" s="2" t="inlineStr">
        <is>
          <t>Decided</t>
        </is>
      </c>
      <c r="B3" s="3">
        <f>COUNTIF(Recommendations!E3:E107,"&lt;&gt;")</f>
        <v/>
      </c>
      <c r="C3" s="3">
        <f>COUNTIF(Measurements!F3:F3,"&lt;&gt;")</f>
        <v/>
      </c>
    </row>
    <row r="4">
      <c r="A4" s="2" t="inlineStr">
        <is>
          <t>Still blank</t>
        </is>
      </c>
      <c r="B4" s="3">
        <f>B2-B3</f>
        <v/>
      </c>
      <c r="C4" s="3">
        <f>C2-C3</f>
        <v/>
      </c>
    </row>
    <row r="5">
      <c r="A5" s="2" t="inlineStr">
        <is>
          <t>CONFIRMED</t>
        </is>
      </c>
      <c r="B5" s="3">
        <f>COUNTIF(Recommendations!E3:E107,"CONFIRMED")</f>
        <v/>
      </c>
      <c r="C5" s="3" t="inlineStr"/>
    </row>
    <row r="6">
      <c r="A6" s="2" t="inlineStr">
        <is>
          <t>AMENDED</t>
        </is>
      </c>
      <c r="B6" s="3">
        <f>COUNTIF(Recommendations!E3:E107,"AMENDED")</f>
        <v/>
      </c>
      <c r="C6" s="3" t="inlineStr"/>
    </row>
    <row r="7">
      <c r="A7" s="2" t="inlineStr">
        <is>
          <t>WITHDRAWN</t>
        </is>
      </c>
      <c r="B7" s="3">
        <f>COUNTIF(Recommendations!E3:E107,"WITHDRAWN")</f>
        <v/>
      </c>
      <c r="C7" s="3" t="inlineStr"/>
    </row>
    <row r="8">
      <c r="A8" s="2" t="inlineStr">
        <is>
          <t>NOT_CLINICAL</t>
        </is>
      </c>
      <c r="B8" s="3">
        <f>COUNTIF(Recommendations!E3:E107,"NOT_CLINICAL")</f>
        <v/>
      </c>
      <c r="C8" s="3" t="inlineStr"/>
    </row>
    <row r="9">
      <c r="A9" s="2" t="inlineStr">
        <is>
          <t>VERIFIED</t>
        </is>
      </c>
      <c r="B9" s="3" t="inlineStr"/>
      <c r="C9" s="3">
        <f>COUNTIF(Measurements!F3:F3,"VERIFIED")</f>
        <v/>
      </c>
    </row>
    <row r="10">
      <c r="A10" s="2" t="inlineStr">
        <is>
          <t>CORRECTED</t>
        </is>
      </c>
      <c r="B10" s="3" t="inlineStr"/>
      <c r="C10" s="3">
        <f>COUNTIF(Measurements!F3:F3,"CORRECTED")</f>
        <v/>
      </c>
    </row>
    <row r="11">
      <c r="A11" s="2" t="inlineStr">
        <is>
          <t>REMOVED</t>
        </is>
      </c>
      <c r="B11" s="3" t="inlineStr"/>
      <c r="C11" s="3">
        <f>COUNTIF(Measurements!F3:F3,"REMOVED")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2026-10-10T22:47:02Z</dcterms:created>
  <dcterms:modified xmlns:dcterms="http://purl.org/dc/terms/" xmlns:xsi="http://www.w3.org/2001/XMLSchema-instance" xsi:type="dcterms:W3CDTF">2026-10-10T22:47:02Z</dcterms:modified>
</cp:coreProperties>
</file>