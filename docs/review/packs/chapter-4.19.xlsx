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4.19 Paediatric Knee Examination</t>
        </is>
      </c>
    </row>
    <row r="3">
      <c r="A3" s="2" t="inlineStr">
        <is>
          <t>Section</t>
        </is>
      </c>
      <c r="B3" s="3" t="inlineStr">
        <is>
          <t>4</t>
        </is>
      </c>
    </row>
    <row r="4">
      <c r="A4" s="2" t="inlineStr">
        <is>
          <t>Chapter</t>
        </is>
      </c>
      <c r="B4" s="3" t="inlineStr">
        <is>
          <t>4.19 Paediatric Knee Examination</t>
        </is>
      </c>
    </row>
    <row r="5">
      <c r="A5" s="2" t="inlineStr">
        <is>
          <t>Pages</t>
        </is>
      </c>
      <c r="B5" s="3" t="n">
        <v>7</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10,216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v>
      </c>
    </row>
    <row r="12">
      <c r="A12" s="2" t="inlineStr">
        <is>
          <t>Recommendations to sign</t>
        </is>
      </c>
      <c r="B12" s="3" t="n">
        <v>31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4.19.1</t>
        </is>
      </c>
      <c r="B2" s="6" t="inlineStr">
        <is>
          <t>Growth Plate Assessment</t>
        </is>
      </c>
      <c r="C2" s="6" t="n">
        <v>4</v>
      </c>
      <c r="D2" s="6" t="n">
        <v>1520</v>
      </c>
      <c r="E2" s="6" t="inlineStr">
        <is>
          <t>examination/growth-plate-assessment.html</t>
        </is>
      </c>
    </row>
    <row r="3">
      <c r="A3" s="6" t="inlineStr">
        <is>
          <t>4.19.2</t>
        </is>
      </c>
      <c r="B3" s="6" t="inlineStr">
        <is>
          <t>Paediatric ACL Injury</t>
        </is>
      </c>
      <c r="C3" s="6" t="n">
        <v>4</v>
      </c>
      <c r="D3" s="6" t="n">
        <v>1509</v>
      </c>
      <c r="E3" s="6" t="inlineStr">
        <is>
          <t>examination/paediatric-acl-injury.html</t>
        </is>
      </c>
    </row>
    <row r="4">
      <c r="A4" s="6" t="inlineStr">
        <is>
          <t>4.19.3</t>
        </is>
      </c>
      <c r="B4" s="6" t="inlineStr">
        <is>
          <t>Discoid Meniscus</t>
        </is>
      </c>
      <c r="C4" s="6" t="n">
        <v>4</v>
      </c>
      <c r="D4" s="6" t="n">
        <v>1435</v>
      </c>
      <c r="E4" s="6" t="inlineStr">
        <is>
          <t>examination/discoid-meniscus.html</t>
        </is>
      </c>
    </row>
    <row r="5">
      <c r="A5" s="6" t="inlineStr">
        <is>
          <t>4.19.4</t>
        </is>
      </c>
      <c r="B5" s="6" t="inlineStr">
        <is>
          <t>Patellar Instability</t>
        </is>
      </c>
      <c r="C5" s="6" t="n">
        <v>4</v>
      </c>
      <c r="D5" s="6" t="n">
        <v>1455</v>
      </c>
      <c r="E5" s="6" t="inlineStr">
        <is>
          <t>examination/paediatric-patellar-instability.html</t>
        </is>
      </c>
    </row>
    <row r="6">
      <c r="A6" s="6" t="inlineStr">
        <is>
          <t>4.19.5</t>
        </is>
      </c>
      <c r="B6" s="6" t="inlineStr">
        <is>
          <t>OCD</t>
        </is>
      </c>
      <c r="C6" s="6" t="n">
        <v>4</v>
      </c>
      <c r="D6" s="6" t="n">
        <v>1424</v>
      </c>
      <c r="E6" s="6" t="inlineStr">
        <is>
          <t>examination/paediatric-ocd.html</t>
        </is>
      </c>
    </row>
    <row r="7">
      <c r="A7" s="6" t="inlineStr">
        <is>
          <t>4.19.6</t>
        </is>
      </c>
      <c r="B7" s="6" t="inlineStr">
        <is>
          <t>Developmental Variants</t>
        </is>
      </c>
      <c r="C7" s="6" t="n">
        <v>4</v>
      </c>
      <c r="D7" s="6" t="n">
        <v>1457</v>
      </c>
      <c r="E7" s="6" t="inlineStr">
        <is>
          <t>examination/developmental-variants.html</t>
        </is>
      </c>
    </row>
    <row r="8">
      <c r="A8" s="6" t="inlineStr">
        <is>
          <t>4.19.7</t>
        </is>
      </c>
      <c r="B8" s="6" t="inlineStr">
        <is>
          <t>Torsional Assessment</t>
        </is>
      </c>
      <c r="C8" s="6" t="n">
        <v>4</v>
      </c>
      <c r="D8" s="6" t="n">
        <v>1416</v>
      </c>
      <c r="E8" s="6" t="inlineStr">
        <is>
          <t>examination/torsional-assessment.html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4.19.1</t>
        </is>
      </c>
      <c r="B2" s="4" t="inlineStr">
        <is>
          <t>Growth Plate Assessment</t>
        </is>
      </c>
      <c r="C2" s="4" t="inlineStr">
        <is>
          <t>Chronological age, bone age and pubertal stage diverge.</t>
        </is>
      </c>
    </row>
    <row r="3">
      <c r="A3" s="4" t="inlineStr">
        <is>
          <t>4.19.1</t>
        </is>
      </c>
      <c r="B3" s="4" t="inlineStr">
        <is>
          <t>Growth Plate Assessment</t>
        </is>
      </c>
      <c r="C3" s="4" t="inlineStr">
        <is>
          <t>A healed physeal injury can examine normally while a deformity develops.</t>
        </is>
      </c>
    </row>
    <row r="4">
      <c r="A4" s="4" t="inlineStr">
        <is>
          <t>4.19.1</t>
        </is>
      </c>
      <c r="B4" s="4" t="inlineStr">
        <is>
          <t>Growth Plate Assessment</t>
        </is>
      </c>
      <c r="C4" s="4" t="inlineStr">
        <is>
          <t>Partial arrest is detected by an alignment change over time.</t>
        </is>
      </c>
    </row>
    <row r="5">
      <c r="A5" s="4" t="inlineStr">
        <is>
          <t>4.19.1</t>
        </is>
      </c>
      <c r="B5" s="4" t="inlineStr">
        <is>
          <t>Growth Plate Assessment</t>
        </is>
      </c>
      <c r="C5" s="4" t="inlineStr">
        <is>
          <t>Ligament and physeal injury coexist near maturity.</t>
        </is>
      </c>
    </row>
    <row r="6">
      <c r="A6" s="4" t="inlineStr">
        <is>
          <t>4.19.1</t>
        </is>
      </c>
      <c r="B6" s="4" t="inlineStr">
        <is>
          <t>Growth Plate Assessment</t>
        </is>
      </c>
      <c r="C6" s="4" t="inlineStr">
        <is>
          <t>Every conclusion about the physis is an inference from tenderness and mechanism.</t>
        </is>
      </c>
    </row>
    <row r="7">
      <c r="A7" s="4" t="inlineStr">
        <is>
          <t>4.19.2</t>
        </is>
      </c>
      <c r="B7" s="4" t="inlineStr">
        <is>
          <t>Paediatric ACL Injury</t>
        </is>
      </c>
      <c r="C7" s="4" t="inlineStr">
        <is>
          <t>Physiological laxity varies with age and the examination has no age adjusted reference.</t>
        </is>
      </c>
    </row>
    <row r="8">
      <c r="A8" s="4" t="inlineStr">
        <is>
          <t>4.19.2</t>
        </is>
      </c>
      <c r="B8" s="4" t="inlineStr">
        <is>
          <t>Paediatric ACL Injury</t>
        </is>
      </c>
      <c r="C8" s="4" t="inlineStr">
        <is>
          <t>Partial and complete tears are not reliably separated clinically.</t>
        </is>
      </c>
    </row>
    <row r="9">
      <c r="A9" s="4" t="inlineStr">
        <is>
          <t>4.19.2</t>
        </is>
      </c>
      <c r="B9" s="4" t="inlineStr">
        <is>
          <t>Paediatric ACL Injury</t>
        </is>
      </c>
      <c r="C9" s="4" t="inlineStr">
        <is>
          <t>The physeal status, not the laxity, governs the operation.</t>
        </is>
      </c>
    </row>
    <row r="10">
      <c r="A10" s="4" t="inlineStr">
        <is>
          <t>4.19.2</t>
        </is>
      </c>
      <c r="B10" s="4" t="inlineStr">
        <is>
          <t>Paediatric ACL Injury</t>
        </is>
      </c>
      <c r="C10" s="4" t="inlineStr">
        <is>
          <t>Examination under anaesthesia removes guarding and changes what is measured.</t>
        </is>
      </c>
    </row>
    <row r="11">
      <c r="A11" s="4" t="inlineStr">
        <is>
          <t>4.19.2</t>
        </is>
      </c>
      <c r="B11" s="4" t="inlineStr">
        <is>
          <t>Paediatric ACL Injury</t>
        </is>
      </c>
      <c r="C11" s="4" t="inlineStr">
        <is>
          <t>Parent and patient reports of instability differ.</t>
        </is>
      </c>
    </row>
    <row r="12">
      <c r="A12" s="4" t="inlineStr">
        <is>
          <t>4.19.3</t>
        </is>
      </c>
      <c r="B12" s="4" t="inlineStr">
        <is>
          <t>Discoid Meniscus</t>
        </is>
      </c>
      <c r="C12" s="4" t="inlineStr">
        <is>
          <t>Presence on imaging does not establish causation.</t>
        </is>
      </c>
    </row>
    <row r="13">
      <c r="A13" s="4" t="inlineStr">
        <is>
          <t>4.19.3</t>
        </is>
      </c>
      <c r="B13" s="4" t="inlineStr">
        <is>
          <t>Discoid Meniscus</t>
        </is>
      </c>
      <c r="C13" s="4" t="inlineStr">
        <is>
          <t>The three findings together make the case, and one alone does not.</t>
        </is>
      </c>
    </row>
    <row r="14">
      <c r="A14" s="4" t="inlineStr">
        <is>
          <t>4.19.3</t>
        </is>
      </c>
      <c r="B14" s="4" t="inlineStr">
        <is>
          <t>Discoid Meniscus</t>
        </is>
      </c>
      <c r="C14" s="4" t="inlineStr">
        <is>
          <t>A treated discoid meniscus has a post operative baseline, not a normal one.</t>
        </is>
      </c>
    </row>
    <row r="15">
      <c r="A15" s="4" t="inlineStr">
        <is>
          <t>4.19.3</t>
        </is>
      </c>
      <c r="B15" s="4" t="inlineStr">
        <is>
          <t>Discoid Meniscus</t>
        </is>
      </c>
      <c r="C15" s="4" t="inlineStr">
        <is>
          <t>Long term lateral compartment change overlies the mechanical findings.</t>
        </is>
      </c>
    </row>
    <row r="16">
      <c r="A16" s="4" t="inlineStr">
        <is>
          <t>4.19.3</t>
        </is>
      </c>
      <c r="B16" s="4" t="inlineStr">
        <is>
          <t>Discoid Meniscus</t>
        </is>
      </c>
      <c r="C16" s="4" t="inlineStr">
        <is>
          <t>The peripheral attachment, which determines stability, is not assessable clinically.</t>
        </is>
      </c>
    </row>
    <row r="17">
      <c r="A17" s="4" t="inlineStr">
        <is>
          <t>4.19.4</t>
        </is>
      </c>
      <c r="B17" s="4" t="inlineStr">
        <is>
          <t>Patellar Instability</t>
        </is>
      </c>
      <c r="C17" s="4" t="inlineStr">
        <is>
          <t>Trochlear dysplasia is the strongest predisposing feature and only inferred clinically.</t>
        </is>
      </c>
    </row>
    <row r="18">
      <c r="A18" s="4" t="inlineStr">
        <is>
          <t>4.19.4</t>
        </is>
      </c>
      <c r="B18" s="4" t="inlineStr">
        <is>
          <t>Patellar Instability</t>
        </is>
      </c>
      <c r="C18" s="4" t="inlineStr">
        <is>
          <t>Patellar height is not reliably measurable clinically and changes the treatment.</t>
        </is>
      </c>
    </row>
    <row r="19">
      <c r="A19" s="4" t="inlineStr">
        <is>
          <t>4.19.4</t>
        </is>
      </c>
      <c r="B19" s="4" t="inlineStr">
        <is>
          <t>Patellar Instability</t>
        </is>
      </c>
      <c r="C19" s="4" t="inlineStr">
        <is>
          <t>Opposing femoral and tibial torsion can hide each other.</t>
        </is>
      </c>
    </row>
    <row r="20">
      <c r="A20" s="4" t="inlineStr">
        <is>
          <t>4.19.4</t>
        </is>
      </c>
      <c r="B20" s="4" t="inlineStr">
        <is>
          <t>Patellar Instability</t>
        </is>
      </c>
      <c r="C20" s="4" t="inlineStr">
        <is>
          <t>The laxity threshold is a convention rather than a biological boundary.</t>
        </is>
      </c>
    </row>
    <row r="21">
      <c r="A21" s="4" t="inlineStr">
        <is>
          <t>4.19.4</t>
        </is>
      </c>
      <c r="B21" s="4" t="inlineStr">
        <is>
          <t>Patellar Instability</t>
        </is>
      </c>
      <c r="C21" s="4" t="inlineStr">
        <is>
          <t>A previously operated knee has its own baseline.</t>
        </is>
      </c>
    </row>
    <row r="22">
      <c r="A22" s="4" t="inlineStr">
        <is>
          <t>4.19.5</t>
        </is>
      </c>
      <c r="B22" s="4" t="inlineStr">
        <is>
          <t>OCD</t>
        </is>
      </c>
      <c r="C22" s="4" t="inlineStr">
        <is>
          <t>The mechanical history is an imperfect proxy for fragment stability.</t>
        </is>
      </c>
    </row>
    <row r="23">
      <c r="A23" s="4" t="inlineStr">
        <is>
          <t>4.19.5</t>
        </is>
      </c>
      <c r="B23" s="4" t="inlineStr">
        <is>
          <t>OCD</t>
        </is>
      </c>
      <c r="C23" s="4" t="inlineStr">
        <is>
          <t>Clinical assessment of skeletal maturity is approximate.</t>
        </is>
      </c>
    </row>
    <row r="24">
      <c r="A24" s="4" t="inlineStr">
        <is>
          <t>4.19.5</t>
        </is>
      </c>
      <c r="B24" s="4" t="inlineStr">
        <is>
          <t>OCD</t>
        </is>
      </c>
      <c r="C24" s="4" t="inlineStr">
        <is>
          <t>A healed lesion can remain tender without being active.</t>
        </is>
      </c>
    </row>
    <row r="25">
      <c r="A25" s="4" t="inlineStr">
        <is>
          <t>4.19.5</t>
        </is>
      </c>
      <c r="B25" s="4" t="inlineStr">
        <is>
          <t>OCD</t>
        </is>
      </c>
      <c r="C25" s="4" t="inlineStr">
        <is>
          <t>Pain from the lesion and from the altered loading are not separable clinically.</t>
        </is>
      </c>
    </row>
    <row r="26">
      <c r="A26" s="4" t="inlineStr">
        <is>
          <t>4.19.5</t>
        </is>
      </c>
      <c r="B26" s="4" t="inlineStr">
        <is>
          <t>OCD</t>
        </is>
      </c>
      <c r="C26" s="4" t="inlineStr">
        <is>
          <t>Repeated examination over time beats any single assessment.</t>
        </is>
      </c>
    </row>
    <row r="27">
      <c r="A27" s="4" t="inlineStr">
        <is>
          <t>4.19.6</t>
        </is>
      </c>
      <c r="B27" s="4" t="inlineStr">
        <is>
          <t>Developmental Variants</t>
        </is>
      </c>
      <c r="C27" s="4" t="inlineStr">
        <is>
          <t>The trajectory is the finding, and it needs more than one visit.</t>
        </is>
      </c>
    </row>
    <row r="28">
      <c r="A28" s="4" t="inlineStr">
        <is>
          <t>4.19.6</t>
        </is>
      </c>
      <c r="B28" s="4" t="inlineStr">
        <is>
          <t>Developmental Variants</t>
        </is>
      </c>
      <c r="C28" s="4" t="inlineStr">
        <is>
          <t>Angular and rotational components can compensate and hide each other.</t>
        </is>
      </c>
    </row>
    <row r="29">
      <c r="A29" s="4" t="inlineStr">
        <is>
          <t>4.19.6</t>
        </is>
      </c>
      <c r="B29" s="4" t="inlineStr">
        <is>
          <t>Developmental Variants</t>
        </is>
      </c>
      <c r="C29" s="4" t="inlineStr">
        <is>
          <t>The normal range for an age is a population statement, not a decision rule.</t>
        </is>
      </c>
    </row>
    <row r="30">
      <c r="A30" s="4" t="inlineStr">
        <is>
          <t>4.19.6</t>
        </is>
      </c>
      <c r="B30" s="4" t="inlineStr">
        <is>
          <t>Developmental Variants</t>
        </is>
      </c>
      <c r="C30" s="4" t="inlineStr">
        <is>
          <t>A laxity threshold is a convention rather than a boundary.</t>
        </is>
      </c>
    </row>
    <row r="31">
      <c r="A31" s="4" t="inlineStr">
        <is>
          <t>4.19.6</t>
        </is>
      </c>
      <c r="B31" s="4" t="inlineStr">
        <is>
          <t>Developmental Variants</t>
        </is>
      </c>
      <c r="C31" s="4" t="inlineStr">
        <is>
          <t>A dysplasia can present as a symmetrical variant, and stature separates them.</t>
        </is>
      </c>
    </row>
    <row r="32">
      <c r="A32" s="4" t="inlineStr">
        <is>
          <t>4.19.7</t>
        </is>
      </c>
      <c r="B32" s="4" t="inlineStr">
        <is>
          <t>Torsional Assessment</t>
        </is>
      </c>
      <c r="C32" s="4" t="inlineStr">
        <is>
          <t>The clinical measurement locates the twist only approximately.</t>
        </is>
      </c>
    </row>
    <row r="33">
      <c r="A33" s="4" t="inlineStr">
        <is>
          <t>4.19.7</t>
        </is>
      </c>
      <c r="B33" s="4" t="inlineStr">
        <is>
          <t>Torsional Assessment</t>
        </is>
      </c>
      <c r="C33" s="4" t="inlineStr">
        <is>
          <t>Compensating torsion gives a normal gait with an abnormal limb.</t>
        </is>
      </c>
    </row>
    <row r="34">
      <c r="A34" s="4" t="inlineStr">
        <is>
          <t>4.19.7</t>
        </is>
      </c>
      <c r="B34" s="4" t="inlineStr">
        <is>
          <t>Torsional Assessment</t>
        </is>
      </c>
      <c r="C34" s="4" t="inlineStr">
        <is>
          <t>Rotational and coronal deformity interact and neither describes the load alone.</t>
        </is>
      </c>
    </row>
    <row r="35">
      <c r="A35" s="4" t="inlineStr">
        <is>
          <t>4.19.7</t>
        </is>
      </c>
      <c r="B35" s="4" t="inlineStr">
        <is>
          <t>Torsional Assessment</t>
        </is>
      </c>
      <c r="C35" s="4" t="inlineStr">
        <is>
          <t>Torsion's contribution to patellar instability is not apportionable clinically.</t>
        </is>
      </c>
    </row>
    <row r="36">
      <c r="A36" s="4" t="inlineStr">
        <is>
          <t>4.19.7</t>
        </is>
      </c>
      <c r="B36" s="4" t="inlineStr">
        <is>
          <t>Torsional Assessment</t>
        </is>
      </c>
      <c r="C36" s="4" t="inlineStr">
        <is>
          <t>Contracture limits the measurement, so finding and limitation are recorded together.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4.19.1-P1</t>
        </is>
      </c>
      <c r="B3" s="4" t="inlineStr">
        <is>
          <t>4.19.1</t>
        </is>
      </c>
      <c r="C3" s="4" t="inlineStr">
        <is>
          <t>medical_student</t>
        </is>
      </c>
      <c r="D3" s="4" t="inlineStr">
        <is>
          <t>Take the mechanism and the ability to weightbear, because an inability to weightbear in a child is a stronger sign than in an adult.</t>
        </is>
      </c>
      <c r="E3" s="4" t="inlineStr"/>
      <c r="F3" s="4" t="inlineStr"/>
      <c r="G3" s="4" t="inlineStr"/>
    </row>
    <row r="4">
      <c r="A4" s="4" t="inlineStr">
        <is>
          <t>4.19.1-P2</t>
        </is>
      </c>
      <c r="B4" s="4" t="inlineStr">
        <is>
          <t>4.19.1</t>
        </is>
      </c>
      <c r="C4" s="4" t="inlineStr">
        <is>
          <t>medical_student</t>
        </is>
      </c>
      <c r="D4" s="4" t="inlineStr">
        <is>
          <t>Assess the range gently, and stop at the point of guarding rather than pushing through it.</t>
        </is>
      </c>
      <c r="E4" s="4" t="inlineStr"/>
      <c r="F4" s="4" t="inlineStr"/>
      <c r="G4" s="4" t="inlineStr"/>
    </row>
    <row r="5">
      <c r="A5" s="4" t="inlineStr">
        <is>
          <t>4.19.1-P3</t>
        </is>
      </c>
      <c r="B5" s="4" t="inlineStr">
        <is>
          <t>4.19.1</t>
        </is>
      </c>
      <c r="C5" s="4" t="inlineStr">
        <is>
          <t>medical_student</t>
        </is>
      </c>
      <c r="D5" s="4" t="inlineStr">
        <is>
          <t>Defer stress testing until a radiograph has been seen if the physeal tenderness is convincing, and record that decision.</t>
        </is>
      </c>
      <c r="E5" s="4" t="inlineStr"/>
      <c r="F5" s="4" t="inlineStr"/>
      <c r="G5" s="4" t="inlineStr"/>
    </row>
    <row r="6">
      <c r="A6" s="4" t="inlineStr">
        <is>
          <t>4.19.2-P1</t>
        </is>
      </c>
      <c r="B6" s="4" t="inlineStr">
        <is>
          <t>4.19.2</t>
        </is>
      </c>
      <c r="C6" s="4" t="inlineStr">
        <is>
          <t>medical_student</t>
        </is>
      </c>
      <c r="D6" s="4" t="inlineStr">
        <is>
          <t>Assess the effusion, since an immediate haemarthrosis after a twisting injury narrows the differential sharply.</t>
        </is>
      </c>
      <c r="E6" s="4" t="inlineStr"/>
      <c r="F6" s="4" t="inlineStr"/>
      <c r="G6" s="4" t="inlineStr"/>
    </row>
    <row r="7">
      <c r="A7" s="4" t="inlineStr">
        <is>
          <t>4.19.2-P2</t>
        </is>
      </c>
      <c r="B7" s="4" t="inlineStr">
        <is>
          <t>4.19.2</t>
        </is>
      </c>
      <c r="C7" s="4" t="inlineStr">
        <is>
          <t>medical_student</t>
        </is>
      </c>
      <c r="D7" s="4" t="inlineStr">
        <is>
          <t>Defer the pivot shift in an acute injury, since it needs a relaxed knee and it is uncomfortable.</t>
        </is>
      </c>
      <c r="E7" s="4" t="inlineStr"/>
      <c r="F7" s="4" t="inlineStr"/>
      <c r="G7" s="4" t="inlineStr"/>
    </row>
    <row r="8">
      <c r="A8" s="4" t="inlineStr">
        <is>
          <t>4.19.2-P3</t>
        </is>
      </c>
      <c r="B8" s="4" t="inlineStr">
        <is>
          <t>4.19.2</t>
        </is>
      </c>
      <c r="C8" s="4" t="inlineStr">
        <is>
          <t>medical_student</t>
        </is>
      </c>
      <c r="D8" s="4" t="inlineStr">
        <is>
          <t>Assess the collaterals and the posterior structures gently, so a combined injury is not missed.</t>
        </is>
      </c>
      <c r="E8" s="4" t="inlineStr"/>
      <c r="F8" s="4" t="inlineStr"/>
      <c r="G8" s="4" t="inlineStr"/>
    </row>
    <row r="9">
      <c r="A9" s="4" t="inlineStr">
        <is>
          <t>4.19.2-P4</t>
        </is>
      </c>
      <c r="B9" s="4" t="inlineStr">
        <is>
          <t>4.19.2</t>
        </is>
      </c>
      <c r="C9" s="4" t="inlineStr">
        <is>
          <t>fellowship</t>
        </is>
      </c>
      <c r="D9" s="4" t="inlineStr">
        <is>
          <t>Repeat examination under anaesthesia resolves the guarding problem and introduces its own, because an anaesthetised child's laxity is not the laxity being treated.</t>
        </is>
      </c>
      <c r="E9" s="4" t="inlineStr"/>
      <c r="F9" s="4" t="inlineStr"/>
      <c r="G9" s="4" t="inlineStr"/>
    </row>
    <row r="10">
      <c r="A10" s="4" t="inlineStr">
        <is>
          <t>4.19.3-P1</t>
        </is>
      </c>
      <c r="B10" s="4" t="inlineStr">
        <is>
          <t>4.19.3</t>
        </is>
      </c>
      <c r="C10" s="4" t="inlineStr">
        <is>
          <t>medical_student</t>
        </is>
      </c>
      <c r="D10" s="4" t="inlineStr">
        <is>
          <t>Take the history: the age, whether the knee snaps audibly, whether it has ever locked, and whether the child can straighten it fully.</t>
        </is>
      </c>
      <c r="E10" s="4" t="inlineStr"/>
      <c r="F10" s="4" t="inlineStr"/>
      <c r="G10" s="4" t="inlineStr"/>
    </row>
    <row r="11">
      <c r="A11" s="4" t="inlineStr">
        <is>
          <t>4.19.3-P2</t>
        </is>
      </c>
      <c r="B11" s="4" t="inlineStr">
        <is>
          <t>4.19.3</t>
        </is>
      </c>
      <c r="C11" s="4" t="inlineStr">
        <is>
          <t>medical_student</t>
        </is>
      </c>
      <c r="D11" s="4" t="inlineStr">
        <is>
          <t>Ask the parent as well as the child, since a snapping knee is often noticed by an observer first.</t>
        </is>
      </c>
      <c r="E11" s="4" t="inlineStr"/>
      <c r="F11" s="4" t="inlineStr"/>
      <c r="G11" s="4" t="inlineStr"/>
    </row>
    <row r="12">
      <c r="A12" s="4" t="inlineStr">
        <is>
          <t>4.19.3-P3</t>
        </is>
      </c>
      <c r="B12" s="4" t="inlineStr">
        <is>
          <t>4.19.3</t>
        </is>
      </c>
      <c r="C12" s="4" t="inlineStr">
        <is>
          <t>medical_student</t>
        </is>
      </c>
      <c r="D12" s="4" t="inlineStr">
        <is>
          <t>Measure the extension carefully, comparing with the other side, since a small deficit is the common finding.</t>
        </is>
      </c>
      <c r="E12" s="4" t="inlineStr"/>
      <c r="F12" s="4" t="inlineStr"/>
      <c r="G12" s="4" t="inlineStr"/>
    </row>
    <row r="13">
      <c r="A13" s="4" t="inlineStr">
        <is>
          <t>4.19.3-P4</t>
        </is>
      </c>
      <c r="B13" s="4" t="inlineStr">
        <is>
          <t>4.19.3</t>
        </is>
      </c>
      <c r="C13" s="4" t="inlineStr">
        <is>
          <t>medical_student</t>
        </is>
      </c>
      <c r="D13" s="4" t="inlineStr">
        <is>
          <t>Take the knee through the range with a hand on the lateral joint line, feeling for a palpable clunk.</t>
        </is>
      </c>
      <c r="E13" s="4" t="inlineStr"/>
      <c r="F13" s="4" t="inlineStr"/>
      <c r="G13" s="4" t="inlineStr"/>
    </row>
    <row r="14">
      <c r="A14" s="4" t="inlineStr">
        <is>
          <t>4.19.4-P1</t>
        </is>
      </c>
      <c r="B14" s="4" t="inlineStr">
        <is>
          <t>4.19.4</t>
        </is>
      </c>
      <c r="C14" s="4" t="inlineStr">
        <is>
          <t>medical_student</t>
        </is>
      </c>
      <c r="D14" s="4" t="inlineStr">
        <is>
          <t>Take the history: the age at first episode, how many episodes, what position the knee was in, and whether the patella had to be put back.</t>
        </is>
      </c>
      <c r="E14" s="4" t="inlineStr"/>
      <c r="F14" s="4" t="inlineStr"/>
      <c r="G14" s="4" t="inlineStr"/>
    </row>
    <row r="15">
      <c r="A15" s="4" t="inlineStr">
        <is>
          <t>4.19.4-P2</t>
        </is>
      </c>
      <c r="B15" s="4" t="inlineStr">
        <is>
          <t>4.19.4</t>
        </is>
      </c>
      <c r="C15" s="4" t="inlineStr">
        <is>
          <t>medical_student</t>
        </is>
      </c>
      <c r="D15" s="4" t="inlineStr">
        <is>
          <t>Ask about family history and about generalised laxity, since both are common in this group.</t>
        </is>
      </c>
      <c r="E15" s="4" t="inlineStr"/>
      <c r="F15" s="4" t="inlineStr"/>
      <c r="G15" s="4" t="inlineStr"/>
    </row>
    <row r="16">
      <c r="A16" s="4" t="inlineStr">
        <is>
          <t>4.19.4-P3</t>
        </is>
      </c>
      <c r="B16" s="4" t="inlineStr">
        <is>
          <t>4.19.4</t>
        </is>
      </c>
      <c r="C16" s="4" t="inlineStr">
        <is>
          <t>medical_student</t>
        </is>
      </c>
      <c r="D16" s="4" t="inlineStr">
        <is>
          <t>Assess generalised laxity with the standard joint assessment, because it changes the interpretation of the knee findings.</t>
        </is>
      </c>
      <c r="E16" s="4" t="inlineStr"/>
      <c r="F16" s="4" t="inlineStr"/>
      <c r="G16" s="4" t="inlineStr"/>
    </row>
    <row r="17">
      <c r="A17" s="4" t="inlineStr">
        <is>
          <t>4.19.4-P4</t>
        </is>
      </c>
      <c r="B17" s="4" t="inlineStr">
        <is>
          <t>4.19.4</t>
        </is>
      </c>
      <c r="C17" s="4" t="inlineStr">
        <is>
          <t>medical_student</t>
        </is>
      </c>
      <c r="D17" s="4" t="inlineStr">
        <is>
          <t>Assess patellar translation in extension and at thirty degrees, comparing with the other side.</t>
        </is>
      </c>
      <c r="E17" s="4" t="inlineStr"/>
      <c r="F17" s="4" t="inlineStr"/>
      <c r="G17" s="4" t="inlineStr"/>
    </row>
    <row r="18">
      <c r="A18" s="4" t="inlineStr">
        <is>
          <t>4.19.4-P5</t>
        </is>
      </c>
      <c r="B18" s="4" t="inlineStr">
        <is>
          <t>4.19.4</t>
        </is>
      </c>
      <c r="C18" s="4" t="inlineStr">
        <is>
          <t>medical_student</t>
        </is>
      </c>
      <c r="D18" s="4" t="inlineStr">
        <is>
          <t>Assess apprehension on lateral translation, which is the finding that distinguishes instability from laxity.</t>
        </is>
      </c>
      <c r="E18" s="4" t="inlineStr"/>
      <c r="F18" s="4" t="inlineStr"/>
      <c r="G18" s="4" t="inlineStr"/>
    </row>
    <row r="19">
      <c r="A19" s="4" t="inlineStr">
        <is>
          <t>4.19.5-P1</t>
        </is>
      </c>
      <c r="B19" s="4" t="inlineStr">
        <is>
          <t>4.19.5</t>
        </is>
      </c>
      <c r="C19" s="4" t="inlineStr">
        <is>
          <t>medical_student</t>
        </is>
      </c>
      <c r="D19" s="4" t="inlineStr">
        <is>
          <t>Take the history: the age, the sport, how long the pain has been present, and whether it is worse during or after activity.</t>
        </is>
      </c>
      <c r="E19" s="4" t="inlineStr"/>
      <c r="F19" s="4" t="inlineStr"/>
      <c r="G19" s="4" t="inlineStr"/>
    </row>
    <row r="20">
      <c r="A20" s="4" t="inlineStr">
        <is>
          <t>4.19.5-P2</t>
        </is>
      </c>
      <c r="B20" s="4" t="inlineStr">
        <is>
          <t>4.19.5</t>
        </is>
      </c>
      <c r="C20" s="4" t="inlineStr">
        <is>
          <t>medical_student</t>
        </is>
      </c>
      <c r="D20" s="4" t="inlineStr">
        <is>
          <t>Ask specifically about catching, locking and giving way, since those are the clinical markers of an unstable fragment.</t>
        </is>
      </c>
      <c r="E20" s="4" t="inlineStr"/>
      <c r="F20" s="4" t="inlineStr"/>
      <c r="G20" s="4" t="inlineStr"/>
    </row>
    <row r="21">
      <c r="A21" s="4" t="inlineStr">
        <is>
          <t>4.19.5-P3</t>
        </is>
      </c>
      <c r="B21" s="4" t="inlineStr">
        <is>
          <t>4.19.5</t>
        </is>
      </c>
      <c r="C21" s="4" t="inlineStr">
        <is>
          <t>medical_student</t>
        </is>
      </c>
      <c r="D21" s="4" t="inlineStr">
        <is>
          <t>Assess the effusion, because a recurrent effusion after sport is often the only objective finding.</t>
        </is>
      </c>
      <c r="E21" s="4" t="inlineStr"/>
      <c r="F21" s="4" t="inlineStr"/>
      <c r="G21" s="4" t="inlineStr"/>
    </row>
    <row r="22">
      <c r="A22" s="4" t="inlineStr">
        <is>
          <t>4.19.5-P4</t>
        </is>
      </c>
      <c r="B22" s="4" t="inlineStr">
        <is>
          <t>4.19.5</t>
        </is>
      </c>
      <c r="C22" s="4" t="inlineStr">
        <is>
          <t>medical_student</t>
        </is>
      </c>
      <c r="D22" s="4" t="inlineStr">
        <is>
          <t>Measure the range and note any block or any pain at a particular angle.</t>
        </is>
      </c>
      <c r="E22" s="4" t="inlineStr"/>
      <c r="F22" s="4" t="inlineStr"/>
      <c r="G22" s="4" t="inlineStr"/>
    </row>
    <row r="23">
      <c r="A23" s="4" t="inlineStr">
        <is>
          <t>4.19.5-P5</t>
        </is>
      </c>
      <c r="B23" s="4" t="inlineStr">
        <is>
          <t>4.19.5</t>
        </is>
      </c>
      <c r="C23" s="4" t="inlineStr">
        <is>
          <t>medical_student</t>
        </is>
      </c>
      <c r="D23" s="4" t="inlineStr">
        <is>
          <t>Assess the gait, since a child with a condylar lesion may walk with the limb externally rotated.</t>
        </is>
      </c>
      <c r="E23" s="4" t="inlineStr"/>
      <c r="F23" s="4" t="inlineStr"/>
      <c r="G23" s="4" t="inlineStr"/>
    </row>
    <row r="24">
      <c r="A24" s="4" t="inlineStr">
        <is>
          <t>4.19.5-P6</t>
        </is>
      </c>
      <c r="B24" s="4" t="inlineStr">
        <is>
          <t>4.19.5</t>
        </is>
      </c>
      <c r="C24" s="4" t="inlineStr">
        <is>
          <t>medical_student</t>
        </is>
      </c>
      <c r="D24" s="4" t="inlineStr">
        <is>
          <t>Examine the other knee, because the lesion is bilateral in a proportion of cases.</t>
        </is>
      </c>
      <c r="E24" s="4" t="inlineStr"/>
      <c r="F24" s="4" t="inlineStr"/>
      <c r="G24" s="4" t="inlineStr"/>
    </row>
    <row r="25">
      <c r="A25" s="4" t="inlineStr">
        <is>
          <t>4.19.6-P1</t>
        </is>
      </c>
      <c r="B25" s="4" t="inlineStr">
        <is>
          <t>4.19.6</t>
        </is>
      </c>
      <c r="C25" s="4" t="inlineStr">
        <is>
          <t>medical_student</t>
        </is>
      </c>
      <c r="D25" s="4" t="inlineStr">
        <is>
          <t>Ask what changed and when, because a shape that is improving behaves differently from one that is worsening.</t>
        </is>
      </c>
      <c r="E25" s="4" t="inlineStr"/>
      <c r="F25" s="4" t="inlineStr"/>
      <c r="G25" s="4" t="inlineStr"/>
    </row>
    <row r="26">
      <c r="A26" s="4" t="inlineStr">
        <is>
          <t>4.19.6-P2</t>
        </is>
      </c>
      <c r="B26" s="4" t="inlineStr">
        <is>
          <t>4.19.6</t>
        </is>
      </c>
      <c r="C26" s="4" t="inlineStr">
        <is>
          <t>medical_student</t>
        </is>
      </c>
      <c r="D26" s="4" t="inlineStr">
        <is>
          <t>Record the alignment in both planes and whether it is symmetrical, since asymmetry is the finding that matters most.</t>
        </is>
      </c>
      <c r="E26" s="4" t="inlineStr"/>
      <c r="F26" s="4" t="inlineStr"/>
      <c r="G26" s="4" t="inlineStr"/>
    </row>
    <row r="27">
      <c r="A27" s="4" t="inlineStr">
        <is>
          <t>4.19.6-P3</t>
        </is>
      </c>
      <c r="B27" s="4" t="inlineStr">
        <is>
          <t>4.19.6</t>
        </is>
      </c>
      <c r="C27" s="4" t="inlineStr">
        <is>
          <t>medical_student</t>
        </is>
      </c>
      <c r="D27" s="4" t="inlineStr">
        <is>
          <t>Record the rotational profile, since in toeing and out toeing are the common presenting complaints.</t>
        </is>
      </c>
      <c r="E27" s="4" t="inlineStr"/>
      <c r="F27" s="4" t="inlineStr"/>
      <c r="G27" s="4" t="inlineStr"/>
    </row>
    <row r="28">
      <c r="A28" s="4" t="inlineStr">
        <is>
          <t>4.19.6-P4</t>
        </is>
      </c>
      <c r="B28" s="4" t="inlineStr">
        <is>
          <t>4.19.6</t>
        </is>
      </c>
      <c r="C28" s="4" t="inlineStr">
        <is>
          <t>medical_student</t>
        </is>
      </c>
      <c r="D28" s="4" t="inlineStr">
        <is>
          <t>Measure the limb lengths, because a length difference alongside an angular shape suggests something other than a variant.</t>
        </is>
      </c>
      <c r="E28" s="4" t="inlineStr"/>
      <c r="F28" s="4" t="inlineStr"/>
      <c r="G28" s="4" t="inlineStr"/>
    </row>
    <row r="29">
      <c r="A29" s="4" t="inlineStr">
        <is>
          <t>4.19.6-P5</t>
        </is>
      </c>
      <c r="B29" s="4" t="inlineStr">
        <is>
          <t>4.19.6</t>
        </is>
      </c>
      <c r="C29" s="4" t="inlineStr">
        <is>
          <t>medical_student</t>
        </is>
      </c>
      <c r="D29" s="4" t="inlineStr">
        <is>
          <t>Assess generalised laxity, since hyperextension and apparent instability are often part of it.</t>
        </is>
      </c>
      <c r="E29" s="4" t="inlineStr"/>
      <c r="F29" s="4" t="inlineStr"/>
      <c r="G29" s="4" t="inlineStr"/>
    </row>
    <row r="30">
      <c r="A30" s="4" t="inlineStr">
        <is>
          <t>4.19.7-P1</t>
        </is>
      </c>
      <c r="B30" s="4" t="inlineStr">
        <is>
          <t>4.19.7</t>
        </is>
      </c>
      <c r="C30" s="4" t="inlineStr">
        <is>
          <t>medical_student</t>
        </is>
      </c>
      <c r="D30" s="4" t="inlineStr">
        <is>
          <t>Assess hip rotation with the patient prone and the knees flexed, comparing internal with external rotation.</t>
        </is>
      </c>
      <c r="E30" s="4" t="inlineStr"/>
      <c r="F30" s="4" t="inlineStr"/>
      <c r="G30" s="4" t="inlineStr"/>
    </row>
    <row r="31">
      <c r="A31" s="4" t="inlineStr">
        <is>
          <t>4.19.7-P2</t>
        </is>
      </c>
      <c r="B31" s="4" t="inlineStr">
        <is>
          <t>4.19.7</t>
        </is>
      </c>
      <c r="C31" s="4" t="inlineStr">
        <is>
          <t>medical_student</t>
        </is>
      </c>
      <c r="D31" s="4" t="inlineStr">
        <is>
          <t>Assess the thigh foot angle with the patient prone, which measures the tibial component.</t>
        </is>
      </c>
      <c r="E31" s="4" t="inlineStr"/>
      <c r="F31" s="4" t="inlineStr"/>
      <c r="G31" s="4" t="inlineStr"/>
    </row>
    <row r="32">
      <c r="A32" s="4" t="inlineStr">
        <is>
          <t>4.19.7-P3</t>
        </is>
      </c>
      <c r="B32" s="4" t="inlineStr">
        <is>
          <t>4.19.7</t>
        </is>
      </c>
      <c r="C32" s="4" t="inlineStr">
        <is>
          <t>medical_student</t>
        </is>
      </c>
      <c r="D32" s="4" t="inlineStr">
        <is>
          <t>Record the coronal alignment separately, so the two planes are not confused.</t>
        </is>
      </c>
      <c r="E32" s="4" t="inlineStr"/>
      <c r="F32" s="4" t="inlineStr"/>
      <c r="G32" s="4" t="inlineStr"/>
    </row>
    <row r="33">
      <c r="A33" s="4" t="inlineStr">
        <is>
          <t>4.19.7-P4</t>
        </is>
      </c>
      <c r="B33" s="4" t="inlineStr">
        <is>
          <t>4.19.7</t>
        </is>
      </c>
      <c r="C33" s="4" t="inlineStr">
        <is>
          <t>medical_student</t>
        </is>
      </c>
      <c r="D33" s="4" t="inlineStr">
        <is>
          <t>Compare the two limbs, because asymmetry changes the interpretation.</t>
        </is>
      </c>
      <c r="E33" s="4" t="inlineStr"/>
      <c r="F33" s="4" t="inlineStr"/>
      <c r="G33" s="4" t="inlineStr"/>
    </row>
  </sheetData>
  <dataValidations count="1">
    <dataValidation sqref="E3:E3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4.19.4-F1</t>
        </is>
      </c>
      <c r="B3" s="4" t="inlineStr">
        <is>
          <t>4.19.4</t>
        </is>
      </c>
      <c r="C3" s="4" t="inlineStr">
        <is>
          <t>medical_student</t>
        </is>
      </c>
      <c r="D3" s="4" t="inlineStr">
        <is>
          <t>thirty degrees</t>
        </is>
      </c>
      <c r="E3" s="4" t="inlineStr">
        <is>
          <t>Assess patellar translation in extension and at thirty degrees, comparing with the other side.</t>
        </is>
      </c>
      <c r="F3" s="4" t="inlineStr"/>
      <c r="G3" s="4" t="inlineStr"/>
      <c r="H3" s="4" t="inlineStr"/>
    </row>
  </sheetData>
  <dataValidations count="1">
    <dataValidation sqref="F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31</f>
        <v/>
      </c>
      <c r="C2" s="3">
        <f>1</f>
        <v/>
      </c>
    </row>
    <row r="3">
      <c r="A3" s="2" t="inlineStr">
        <is>
          <t>Decided</t>
        </is>
      </c>
      <c r="B3" s="3">
        <f>COUNTIF(Recommendations!E3:E33,"&lt;&gt;")</f>
        <v/>
      </c>
      <c r="C3" s="3">
        <f>COUNTIF(Measurements!F3:F3,"&lt;&gt;")</f>
        <v/>
      </c>
    </row>
    <row r="4">
      <c r="A4" s="2" t="inlineStr">
        <is>
          <t>Still blank</t>
        </is>
      </c>
      <c r="B4" s="3">
        <f>B2-B3</f>
        <v/>
      </c>
      <c r="C4" s="3">
        <f>C2-C3</f>
        <v/>
      </c>
    </row>
    <row r="5">
      <c r="A5" s="2" t="inlineStr">
        <is>
          <t>CONFIRMED</t>
        </is>
      </c>
      <c r="B5" s="3">
        <f>COUNTIF(Recommendations!E3:E33,"CONFIRMED")</f>
        <v/>
      </c>
      <c r="C5" s="3" t="inlineStr"/>
    </row>
    <row r="6">
      <c r="A6" s="2" t="inlineStr">
        <is>
          <t>AMENDED</t>
        </is>
      </c>
      <c r="B6" s="3">
        <f>COUNTIF(Recommendations!E3:E33,"AMENDED")</f>
        <v/>
      </c>
      <c r="C6" s="3" t="inlineStr"/>
    </row>
    <row r="7">
      <c r="A7" s="2" t="inlineStr">
        <is>
          <t>WITHDRAWN</t>
        </is>
      </c>
      <c r="B7" s="3">
        <f>COUNTIF(Recommendations!E3:E33,"WITHDRAWN")</f>
        <v/>
      </c>
      <c r="C7" s="3" t="inlineStr"/>
    </row>
    <row r="8">
      <c r="A8" s="2" t="inlineStr">
        <is>
          <t>NOT_CLINICAL</t>
        </is>
      </c>
      <c r="B8" s="3">
        <f>COUNTIF(Recommendations!E3:E33,"NOT_CLINICAL")</f>
        <v/>
      </c>
      <c r="C8" s="3" t="inlineStr"/>
    </row>
    <row r="9">
      <c r="A9" s="2" t="inlineStr">
        <is>
          <t>VERIFIED</t>
        </is>
      </c>
      <c r="B9" s="3" t="inlineStr"/>
      <c r="C9" s="3">
        <f>COUNTIF(Measurements!F3:F3,"VERIFIED")</f>
        <v/>
      </c>
    </row>
    <row r="10">
      <c r="A10" s="2" t="inlineStr">
        <is>
          <t>CORRECTED</t>
        </is>
      </c>
      <c r="B10" s="3" t="inlineStr"/>
      <c r="C10" s="3">
        <f>COUNTIF(Measurements!F3:F3,"CORRECTED")</f>
        <v/>
      </c>
    </row>
    <row r="11">
      <c r="A11" s="2" t="inlineStr">
        <is>
          <t>REMOVED</t>
        </is>
      </c>
      <c r="B11" s="3" t="inlineStr"/>
      <c r="C11" s="3">
        <f>COUNTIF(Measurements!F3:F3,"REMOVED")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2026-10-13T21:05:27Z</dcterms:created>
  <dcterms:modified xmlns:dcterms="http://purl.org/dc/terms/" xmlns:xsi="http://www.w3.org/2001/XMLSchema-instance" xsi:type="dcterms:W3CDTF">2026-10-13T21:05:27Z</dcterms:modified>
</cp:coreProperties>
</file>