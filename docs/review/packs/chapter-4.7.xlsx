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ages" sheetId="2" state="visible" r:id="rId2"/>
    <sheet xmlns:r="http://schemas.openxmlformats.org/officeDocument/2006/relationships" name="Claims" sheetId="3" state="visible" r:id="rId3"/>
    <sheet xmlns:r="http://schemas.openxmlformats.org/officeDocument/2006/relationships" name="Recommendations" sheetId="4" state="visible" r:id="rId4"/>
    <sheet xmlns:r="http://schemas.openxmlformats.org/officeDocument/2006/relationships" name="Measurements" sheetId="5" state="visible" r:id="rId5"/>
    <sheet xmlns:r="http://schemas.openxmlformats.org/officeDocument/2006/relationships" name="Progress"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b val="1"/>
    </font>
    <font>
      <name val="Arial"/>
    </font>
    <font>
      <name val="Arial"/>
      <b val="1"/>
      <color rgb="00FFFFFF"/>
    </font>
    <font>
      <name val="Arial"/>
      <i val="1"/>
      <color rgb="008A6A2F"/>
    </font>
  </fonts>
  <fills count="4">
    <fill>
      <patternFill/>
    </fill>
    <fill>
      <patternFill patternType="gray125"/>
    </fill>
    <fill>
      <patternFill patternType="solid">
        <fgColor rgb="0016382D"/>
      </patternFill>
    </fill>
    <fill>
      <patternFill patternType="solid">
        <fgColor rgb="00FAF7EF"/>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vertical="top" wrapText="1"/>
    </xf>
    <xf numFmtId="0" fontId="4" fillId="2" borderId="0" applyAlignment="1" pivotButton="0" quotePrefix="0" xfId="0">
      <alignment vertical="top" wrapText="1"/>
    </xf>
    <xf numFmtId="0" fontId="3" fillId="0" borderId="0" applyAlignment="1" pivotButton="0" quotePrefix="0" xfId="0">
      <alignment vertical="top"/>
    </xf>
    <xf numFmtId="0" fontId="5"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2" customWidth="1" min="1" max="1"/>
    <col width="96" customWidth="1" min="2" max="2"/>
  </cols>
  <sheetData>
    <row r="1">
      <c r="A1" s="1" t="inlineStr">
        <is>
          <t>Consultant review pack: chapter 4.7 Range of Motion</t>
        </is>
      </c>
    </row>
    <row r="3">
      <c r="A3" s="2" t="inlineStr">
        <is>
          <t>Section</t>
        </is>
      </c>
      <c r="B3" s="3" t="inlineStr">
        <is>
          <t>4</t>
        </is>
      </c>
    </row>
    <row r="4">
      <c r="A4" s="2" t="inlineStr">
        <is>
          <t>Chapter</t>
        </is>
      </c>
      <c r="B4" s="3" t="inlineStr">
        <is>
          <t>4.7 Range of Motion</t>
        </is>
      </c>
    </row>
    <row r="5">
      <c r="A5" s="2" t="inlineStr">
        <is>
          <t>Pages</t>
        </is>
      </c>
      <c r="B5" s="3" t="n">
        <v>10</v>
      </c>
    </row>
    <row r="6">
      <c r="A6" s="2" t="inlineStr">
        <is>
          <t>Page type</t>
        </is>
      </c>
      <c r="B6" s="3" t="inlineStr">
        <is>
          <t>examination</t>
        </is>
      </c>
    </row>
    <row r="7">
      <c r="A7" s="2" t="inlineStr">
        <is>
          <t>Tiers</t>
        </is>
      </c>
      <c r="B7" s="3" t="inlineStr">
        <is>
          <t>medical student, mrcs, frcs, fellowship</t>
        </is>
      </c>
    </row>
    <row r="8">
      <c r="A8" s="2" t="inlineStr">
        <is>
          <t>Words</t>
        </is>
      </c>
      <c r="B8" s="3" t="inlineStr">
        <is>
          <t>14,726</t>
        </is>
      </c>
    </row>
    <row r="9">
      <c r="A9" s="2" t="inlineStr">
        <is>
          <t>Style gate</t>
        </is>
      </c>
      <c r="B9" s="3" t="inlineStr">
        <is>
          <t>all pages pass, 0 warnings</t>
        </is>
      </c>
    </row>
    <row r="10">
      <c r="A10" s="2" t="inlineStr">
        <is>
          <t>Evidence verification</t>
        </is>
      </c>
      <c r="B10" s="3" t="inlineStr">
        <is>
          <t>did not run on any page</t>
        </is>
      </c>
    </row>
    <row r="11">
      <c r="A11" s="2" t="inlineStr">
        <is>
          <t>Measurements to check</t>
        </is>
      </c>
      <c r="B11" s="3" t="n">
        <v>0</v>
      </c>
    </row>
    <row r="12">
      <c r="A12" s="2" t="inlineStr">
        <is>
          <t>Recommendations to sign</t>
        </is>
      </c>
      <c r="B12" s="3" t="n">
        <v>28</v>
      </c>
    </row>
    <row r="14">
      <c r="A14" s="2" t="inlineStr">
        <is>
          <t>What this is</t>
        </is>
      </c>
      <c r="B14" s="4" t="inlineStr">
        <is>
          <t>One chapter of KneeSchool, with every measurement and every clinical recommendation on its pages listed for review. Generated from the pages themselves by tools/review_pack.py, so this file cannot disagree with the site.</t>
        </is>
      </c>
    </row>
    <row r="15">
      <c r="A15" s="2" t="inlineStr">
        <is>
          <t>What has not happened</t>
        </is>
      </c>
      <c r="B15" s="4" t="inlineStr">
        <is>
          <t>No source was retrieved for any page in this chapter. The build environment has no access to PubMed, Cochrane, a journal or a textbook, so the pipeline's fact checking stage could not run. Every claim here has been checked by nobody. This pack stands in for the verification stage as well as for the review stage.</t>
        </is>
      </c>
    </row>
    <row r="16">
      <c r="A16" s="2" t="inlineStr">
        <is>
          <t>What to fill in</t>
        </is>
      </c>
      <c r="B16" s="4" t="inlineStr">
        <is>
          <t>The Decision column on the Recommendations and Measurements sheets, and your name. Every other cell is rewritten when the pack is regenerated. A row left blank stays outstanding and comes back in the next pack, so answering part of a sheet is a normal way to use it.</t>
        </is>
      </c>
    </row>
    <row r="17">
      <c r="A17" s="2" t="inlineStr">
        <is>
          <t>Recommendations: allowed decisions</t>
        </is>
      </c>
      <c r="B17" s="4" t="inlineStr">
        <is>
          <t>CONFIRMED, the sentence stands as written. AMENDED, it needs changing and the new wording goes in the Note column. WITHDRAWN, take it off the page. NOT_CLINICAL, it is teaching rather than clinical direction. The detector over collects on purpose, so NOT_CLINICAL is expected and is not a complaint about the page.</t>
        </is>
      </c>
    </row>
    <row r="18">
      <c r="A18" s="2" t="inlineStr">
        <is>
          <t>Measurements: allowed decisions</t>
        </is>
      </c>
      <c r="B18" s="4" t="inlineStr">
        <is>
          <t>VERIFIED, the figure is right and the source goes in the Source column. CORRECTED, the right value goes in the Note column. REMOVED, take the figure off the page.</t>
        </is>
      </c>
    </row>
    <row r="19">
      <c r="A19" s="2" t="inlineStr">
        <is>
          <t>How to return it</t>
        </is>
      </c>
      <c r="B19" s="4" t="inlineStr">
        <is>
          <t>Send the file back. It is read into the registers with: python3 tools/review_pack.py --ingest &lt;this file&gt;. One malformed row stops the whole file, so nothing is written half way.</t>
        </is>
      </c>
    </row>
    <row r="20">
      <c r="A20" s="2" t="inlineStr">
        <is>
          <t>What this cannot do</t>
        </is>
      </c>
      <c r="B20" s="4" t="inlineStr">
        <is>
          <t>It does not change a page. A confirmed recommendation needs nothing; an amended one needs the prose edited, and your wording in the Note column is what the editor works from.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8" customWidth="1" min="3" max="3"/>
    <col width="10" customWidth="1" min="4" max="4"/>
    <col width="52" customWidth="1" min="5" max="5"/>
  </cols>
  <sheetData>
    <row r="1">
      <c r="A1" s="5" t="inlineStr">
        <is>
          <t>Page</t>
        </is>
      </c>
      <c r="B1" s="5" t="inlineStr">
        <is>
          <t>Title</t>
        </is>
      </c>
      <c r="C1" s="5" t="inlineStr">
        <is>
          <t>Tiers</t>
        </is>
      </c>
      <c r="D1" s="5" t="inlineStr">
        <is>
          <t>Words</t>
        </is>
      </c>
      <c r="E1" s="5" t="inlineStr">
        <is>
          <t>Published as</t>
        </is>
      </c>
    </row>
    <row r="2">
      <c r="A2" s="6" t="inlineStr">
        <is>
          <t>4.7.1</t>
        </is>
      </c>
      <c r="B2" s="6" t="inlineStr">
        <is>
          <t>Active Motion</t>
        </is>
      </c>
      <c r="C2" s="6" t="n">
        <v>4</v>
      </c>
      <c r="D2" s="6" t="n">
        <v>1475</v>
      </c>
      <c r="E2" s="6" t="inlineStr">
        <is>
          <t>examination/active-motion.html</t>
        </is>
      </c>
    </row>
    <row r="3">
      <c r="A3" s="6" t="inlineStr">
        <is>
          <t>4.7.2</t>
        </is>
      </c>
      <c r="B3" s="6" t="inlineStr">
        <is>
          <t>Passive Motion</t>
        </is>
      </c>
      <c r="C3" s="6" t="n">
        <v>4</v>
      </c>
      <c r="D3" s="6" t="n">
        <v>1502</v>
      </c>
      <c r="E3" s="6" t="inlineStr">
        <is>
          <t>examination/passive-motion.html</t>
        </is>
      </c>
    </row>
    <row r="4">
      <c r="A4" s="6" t="inlineStr">
        <is>
          <t>4.7.3</t>
        </is>
      </c>
      <c r="B4" s="6" t="inlineStr">
        <is>
          <t>Hyperextension</t>
        </is>
      </c>
      <c r="C4" s="6" t="n">
        <v>4</v>
      </c>
      <c r="D4" s="6" t="n">
        <v>1424</v>
      </c>
      <c r="E4" s="6" t="inlineStr">
        <is>
          <t>examination/hyperextension-range.html</t>
        </is>
      </c>
    </row>
    <row r="5">
      <c r="A5" s="6" t="inlineStr">
        <is>
          <t>4.7.4</t>
        </is>
      </c>
      <c r="B5" s="6" t="inlineStr">
        <is>
          <t>Flexion Assessment</t>
        </is>
      </c>
      <c r="C5" s="6" t="n">
        <v>4</v>
      </c>
      <c r="D5" s="6" t="n">
        <v>1418</v>
      </c>
      <c r="E5" s="6" t="inlineStr">
        <is>
          <t>examination/flexion-assessment.html</t>
        </is>
      </c>
    </row>
    <row r="6">
      <c r="A6" s="6" t="inlineStr">
        <is>
          <t>4.7.5</t>
        </is>
      </c>
      <c r="B6" s="6" t="inlineStr">
        <is>
          <t>End Feel</t>
        </is>
      </c>
      <c r="C6" s="6" t="n">
        <v>4</v>
      </c>
      <c r="D6" s="6" t="n">
        <v>1446</v>
      </c>
      <c r="E6" s="6" t="inlineStr">
        <is>
          <t>examination/end-feel.html</t>
        </is>
      </c>
    </row>
    <row r="7">
      <c r="A7" s="6" t="inlineStr">
        <is>
          <t>4.7.6</t>
        </is>
      </c>
      <c r="B7" s="6" t="inlineStr">
        <is>
          <t>Painful Arc</t>
        </is>
      </c>
      <c r="C7" s="6" t="n">
        <v>4</v>
      </c>
      <c r="D7" s="6" t="n">
        <v>1523</v>
      </c>
      <c r="E7" s="6" t="inlineStr">
        <is>
          <t>examination/painful-arc.html</t>
        </is>
      </c>
    </row>
    <row r="8">
      <c r="A8" s="6" t="inlineStr">
        <is>
          <t>4.7.7</t>
        </is>
      </c>
      <c r="B8" s="6" t="inlineStr">
        <is>
          <t>Contractures</t>
        </is>
      </c>
      <c r="C8" s="6" t="n">
        <v>4</v>
      </c>
      <c r="D8" s="6" t="n">
        <v>1441</v>
      </c>
      <c r="E8" s="6" t="inlineStr">
        <is>
          <t>examination/contractures.html</t>
        </is>
      </c>
    </row>
    <row r="9">
      <c r="A9" s="6" t="inlineStr">
        <is>
          <t>4.7.8</t>
        </is>
      </c>
      <c r="B9" s="6" t="inlineStr">
        <is>
          <t>Extension Lag</t>
        </is>
      </c>
      <c r="C9" s="6" t="n">
        <v>4</v>
      </c>
      <c r="D9" s="6" t="n">
        <v>1461</v>
      </c>
      <c r="E9" s="6" t="inlineStr">
        <is>
          <t>examination/extension-lag.html</t>
        </is>
      </c>
    </row>
    <row r="10">
      <c r="A10" s="6" t="inlineStr">
        <is>
          <t>4.7.9</t>
        </is>
      </c>
      <c r="B10" s="6" t="inlineStr">
        <is>
          <t>Functional Range</t>
        </is>
      </c>
      <c r="C10" s="6" t="n">
        <v>4</v>
      </c>
      <c r="D10" s="6" t="n">
        <v>1514</v>
      </c>
      <c r="E10" s="6" t="inlineStr">
        <is>
          <t>examination/functional-range.html</t>
        </is>
      </c>
    </row>
    <row r="11">
      <c r="A11" s="6" t="inlineStr">
        <is>
          <t>4.7.10</t>
        </is>
      </c>
      <c r="B11" s="6" t="inlineStr">
        <is>
          <t>Post-operative Range Assessment</t>
        </is>
      </c>
      <c r="C11" s="6" t="n">
        <v>4</v>
      </c>
      <c r="D11" s="6" t="n">
        <v>1522</v>
      </c>
      <c r="E11" s="6" t="inlineStr">
        <is>
          <t>examination/post-operative-range-assessment.html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1"/>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110" customWidth="1" min="3" max="3"/>
  </cols>
  <sheetData>
    <row r="1">
      <c r="A1" s="5" t="inlineStr">
        <is>
          <t>Page</t>
        </is>
      </c>
      <c r="B1" s="5" t="inlineStr">
        <is>
          <t>Title</t>
        </is>
      </c>
      <c r="C1" s="5" t="inlineStr">
        <is>
          <t>Claim</t>
        </is>
      </c>
    </row>
    <row r="2">
      <c r="A2" s="4" t="inlineStr">
        <is>
          <t>4.7.1</t>
        </is>
      </c>
      <c r="B2" s="4" t="inlineStr">
        <is>
          <t>Active Motion</t>
        </is>
      </c>
      <c r="C2" s="4" t="inlineStr">
        <is>
          <t>A persistent active deficit with a full passive range and a competent graft is a quadriceps problem.</t>
        </is>
      </c>
    </row>
    <row r="3">
      <c r="A3" s="4" t="inlineStr">
        <is>
          <t>4.7.1</t>
        </is>
      </c>
      <c r="B3" s="4" t="inlineStr">
        <is>
          <t>Active Motion</t>
        </is>
      </c>
      <c r="C3" s="4" t="inlineStr">
        <is>
          <t>A deteriorating active range with a stable passive one is inhibition, pain or weakness.</t>
        </is>
      </c>
    </row>
    <row r="4">
      <c r="A4" s="4" t="inlineStr">
        <is>
          <t>4.7.1</t>
        </is>
      </c>
      <c r="B4" s="4" t="inlineStr">
        <is>
          <t>Active Motion</t>
        </is>
      </c>
      <c r="C4" s="4" t="inlineStr">
        <is>
          <t>A patellofemoral problem can drive the inhibition, and the sitting examination finds it.</t>
        </is>
      </c>
    </row>
    <row r="5">
      <c r="A5" s="4" t="inlineStr">
        <is>
          <t>4.7.1</t>
        </is>
      </c>
      <c r="B5" s="4" t="inlineStr">
        <is>
          <t>Active Motion</t>
        </is>
      </c>
      <c r="C5" s="4" t="inlineStr">
        <is>
          <t>After an extensor mechanism repair the active range may be the best achievable.</t>
        </is>
      </c>
    </row>
    <row r="6">
      <c r="A6" s="4" t="inlineStr">
        <is>
          <t>4.7.1</t>
        </is>
      </c>
      <c r="B6" s="4" t="inlineStr">
        <is>
          <t>Active Motion</t>
        </is>
      </c>
      <c r="C6" s="4" t="inlineStr">
        <is>
          <t>The active range is the figure that corresponds to a claimed disability.</t>
        </is>
      </c>
    </row>
    <row r="7">
      <c r="A7" s="4" t="inlineStr">
        <is>
          <t>4.7.2</t>
        </is>
      </c>
      <c r="B7" s="4" t="inlineStr">
        <is>
          <t>Passive Motion</t>
        </is>
      </c>
      <c r="C7" s="4" t="inlineStr">
        <is>
          <t>The passive range and its end feel separate the two stiff knees that get referred.</t>
        </is>
      </c>
    </row>
    <row r="8">
      <c r="A8" s="4" t="inlineStr">
        <is>
          <t>4.7.2</t>
        </is>
      </c>
      <c r="B8" s="4" t="inlineStr">
        <is>
          <t>Passive Motion</t>
        </is>
      </c>
      <c r="C8" s="4" t="inlineStr">
        <is>
          <t>A firm abrupt block after reconstruction is an impinging lesion with a straightforward operation.</t>
        </is>
      </c>
    </row>
    <row r="9">
      <c r="A9" s="4" t="inlineStr">
        <is>
          <t>4.7.2</t>
        </is>
      </c>
      <c r="B9" s="4" t="inlineStr">
        <is>
          <t>Passive Motion</t>
        </is>
      </c>
      <c r="C9" s="4" t="inlineStr">
        <is>
          <t>A leathery global restriction is arthrofibrosis, with a less certain result.</t>
        </is>
      </c>
    </row>
    <row r="10">
      <c r="A10" s="4" t="inlineStr">
        <is>
          <t>4.7.2</t>
        </is>
      </c>
      <c r="B10" s="4" t="inlineStr">
        <is>
          <t>Passive Motion</t>
        </is>
      </c>
      <c r="C10" s="4" t="inlineStr">
        <is>
          <t>A reducing passive range with a stable active one indicates a developing structural problem.</t>
        </is>
      </c>
    </row>
    <row r="11">
      <c r="A11" s="4" t="inlineStr">
        <is>
          <t>4.7.2</t>
        </is>
      </c>
      <c r="B11" s="4" t="inlineStr">
        <is>
          <t>Passive Motion</t>
        </is>
      </c>
      <c r="C11" s="4" t="inlineStr">
        <is>
          <t>A range recorded without an end feel cannot have its cause determined later.</t>
        </is>
      </c>
    </row>
    <row r="12">
      <c r="A12" s="4" t="inlineStr">
        <is>
          <t>4.7.3</t>
        </is>
      </c>
      <c r="B12" s="4" t="inlineStr">
        <is>
          <t>Hyperextension</t>
        </is>
      </c>
      <c r="C12" s="4" t="inlineStr">
        <is>
          <t>Increasing hyperextension after a corner reconstruction is easy to reproduce and shows stretch.</t>
        </is>
      </c>
    </row>
    <row r="13">
      <c r="A13" s="4" t="inlineStr">
        <is>
          <t>4.7.3</t>
        </is>
      </c>
      <c r="B13" s="4" t="inlineStr">
        <is>
          <t>Hyperextension</t>
        </is>
      </c>
      <c r="C13" s="4" t="inlineStr">
        <is>
          <t>Losing hyperextension in a knee that previously had it is an early contracture.</t>
        </is>
      </c>
    </row>
    <row r="14">
      <c r="A14" s="4" t="inlineStr">
        <is>
          <t>4.7.3</t>
        </is>
      </c>
      <c r="B14" s="4" t="inlineStr">
        <is>
          <t>Hyperextension</t>
        </is>
      </c>
      <c r="C14" s="4" t="inlineStr">
        <is>
          <t>A knee tensioned to neutral in a hypermobile patient is asymmetrical by design.</t>
        </is>
      </c>
    </row>
    <row r="15">
      <c r="A15" s="4" t="inlineStr">
        <is>
          <t>4.7.3</t>
        </is>
      </c>
      <c r="B15" s="4" t="inlineStr">
        <is>
          <t>Hyperextension</t>
        </is>
      </c>
      <c r="C15" s="4" t="inlineStr">
        <is>
          <t>A bony hyperextension will not be controlled by a soft tissue reconstruction.</t>
        </is>
      </c>
    </row>
    <row r="16">
      <c r="A16" s="4" t="inlineStr">
        <is>
          <t>4.7.3</t>
        </is>
      </c>
      <c r="B16" s="4" t="inlineStr">
        <is>
          <t>Hyperextension</t>
        </is>
      </c>
      <c r="C16" s="4" t="inlineStr">
        <is>
          <t>A recorded pre-operative figure is rare, which makes claims about a changed range hard to support.</t>
        </is>
      </c>
    </row>
    <row r="17">
      <c r="A17" s="4" t="inlineStr">
        <is>
          <t>4.7.4</t>
        </is>
      </c>
      <c r="B17" s="4" t="inlineStr">
        <is>
          <t>Flexion Assessment</t>
        </is>
      </c>
      <c r="C17" s="4" t="inlineStr">
        <is>
          <t>A firm block in flexion after reconstruction may have a mechanical cause.</t>
        </is>
      </c>
    </row>
    <row r="18">
      <c r="A18" s="4" t="inlineStr">
        <is>
          <t>4.7.4</t>
        </is>
      </c>
      <c r="B18" s="4" t="inlineStr">
        <is>
          <t>Flexion Assessment</t>
        </is>
      </c>
      <c r="C18" s="4" t="inlineStr">
        <is>
          <t>A global leathery restriction in both directions is arthrofibrosis.</t>
        </is>
      </c>
    </row>
    <row r="19">
      <c r="A19" s="4" t="inlineStr">
        <is>
          <t>4.7.4</t>
        </is>
      </c>
      <c r="B19" s="4" t="inlineStr">
        <is>
          <t>Flexion Assessment</t>
        </is>
      </c>
      <c r="C19" s="4" t="inlineStr">
        <is>
          <t>Flexion limited by anterior pain rather than resistance is a patellofemoral problem.</t>
        </is>
      </c>
    </row>
    <row r="20">
      <c r="A20" s="4" t="inlineStr">
        <is>
          <t>4.7.4</t>
        </is>
      </c>
      <c r="B20" s="4" t="inlineStr">
        <is>
          <t>Flexion Assessment</t>
        </is>
      </c>
      <c r="C20" s="4" t="inlineStr">
        <is>
          <t>Without a pre-operative figure, loss cannot be assessed.</t>
        </is>
      </c>
    </row>
    <row r="21">
      <c r="A21" s="4" t="inlineStr">
        <is>
          <t>4.7.4</t>
        </is>
      </c>
      <c r="B21" s="4" t="inlineStr">
        <is>
          <t>Flexion Assessment</t>
        </is>
      </c>
      <c r="C21" s="4" t="inlineStr">
        <is>
          <t>After an arthroplasty the target is not the other knee.</t>
        </is>
      </c>
    </row>
    <row r="22">
      <c r="A22" s="4" t="inlineStr">
        <is>
          <t>4.7.5</t>
        </is>
      </c>
      <c r="B22" s="4" t="inlineStr">
        <is>
          <t>End Feel</t>
        </is>
      </c>
      <c r="C22" s="4" t="inlineStr">
        <is>
          <t>The end feel converts a vague stiffness referral into a specific plan.</t>
        </is>
      </c>
    </row>
    <row r="23">
      <c r="A23" s="4" t="inlineStr">
        <is>
          <t>4.7.5</t>
        </is>
      </c>
      <c r="B23" s="4" t="inlineStr">
        <is>
          <t>End Feel</t>
        </is>
      </c>
      <c r="C23" s="4" t="inlineStr">
        <is>
          <t>A firm abrupt block after reconstruction has a good prognosis and is often referred late.</t>
        </is>
      </c>
    </row>
    <row r="24">
      <c r="A24" s="4" t="inlineStr">
        <is>
          <t>4.7.5</t>
        </is>
      </c>
      <c r="B24" s="4" t="inlineStr">
        <is>
          <t>End Feel</t>
        </is>
      </c>
      <c r="C24" s="4" t="inlineStr">
        <is>
          <t>A leathery restriction begins the honest conversation about arthrofibrosis.</t>
        </is>
      </c>
    </row>
    <row r="25">
      <c r="A25" s="4" t="inlineStr">
        <is>
          <t>4.7.5</t>
        </is>
      </c>
      <c r="B25" s="4" t="inlineStr">
        <is>
          <t>End Feel</t>
        </is>
      </c>
      <c r="C25" s="4" t="inlineStr">
        <is>
          <t>A developing block between visits is more concerning than a stable one.</t>
        </is>
      </c>
    </row>
    <row r="26">
      <c r="A26" s="4" t="inlineStr">
        <is>
          <t>4.7.5</t>
        </is>
      </c>
      <c r="B26" s="4" t="inlineStr">
        <is>
          <t>End Feel</t>
        </is>
      </c>
      <c r="C26" s="4" t="inlineStr">
        <is>
          <t>A pain limited range with a normal range under anaesthesia is an irritable knee, not a stiff one.</t>
        </is>
      </c>
    </row>
    <row r="27">
      <c r="A27" s="4" t="inlineStr">
        <is>
          <t>4.7.6</t>
        </is>
      </c>
      <c r="B27" s="4" t="inlineStr">
        <is>
          <t>Painful Arc</t>
        </is>
      </c>
      <c r="C27" s="4" t="inlineStr">
        <is>
          <t>The arc often explains why an arthroscopy did not help.</t>
        </is>
      </c>
    </row>
    <row r="28">
      <c r="A28" s="4" t="inlineStr">
        <is>
          <t>4.7.6</t>
        </is>
      </c>
      <c r="B28" s="4" t="inlineStr">
        <is>
          <t>Painful Arc</t>
        </is>
      </c>
      <c r="C28" s="4" t="inlineStr">
        <is>
          <t>A meniscal resection for an anterior mid flexion arc treated the wrong compartment.</t>
        </is>
      </c>
    </row>
    <row r="29">
      <c r="A29" s="4" t="inlineStr">
        <is>
          <t>4.7.6</t>
        </is>
      </c>
      <c r="B29" s="4" t="inlineStr">
        <is>
          <t>Painful Arc</t>
        </is>
      </c>
      <c r="C29" s="4" t="inlineStr">
        <is>
          <t>A terminal extension arc after reconstruction is an impinging lesion, frequently referred late.</t>
        </is>
      </c>
    </row>
    <row r="30">
      <c r="A30" s="4" t="inlineStr">
        <is>
          <t>4.7.6</t>
        </is>
      </c>
      <c r="B30" s="4" t="inlineStr">
        <is>
          <t>Painful Arc</t>
        </is>
      </c>
      <c r="C30" s="4" t="inlineStr">
        <is>
          <t>A deep flexion arc after a meniscal repair has a timeline rather than a treatment.</t>
        </is>
      </c>
    </row>
    <row r="31">
      <c r="A31" s="4" t="inlineStr">
        <is>
          <t>4.7.6</t>
        </is>
      </c>
      <c r="B31" s="4" t="inlineStr">
        <is>
          <t>Painful Arc</t>
        </is>
      </c>
      <c r="C31" s="4" t="inlineStr">
        <is>
          <t>A recorded arc is more informative than a recorded pain score.</t>
        </is>
      </c>
    </row>
    <row r="32">
      <c r="A32" s="4" t="inlineStr">
        <is>
          <t>4.7.7</t>
        </is>
      </c>
      <c r="B32" s="4" t="inlineStr">
        <is>
          <t>Contractures</t>
        </is>
      </c>
      <c r="C32" s="4" t="inlineStr">
        <is>
          <t>An isolated extension contracture with a firm end feel may be a mechanical lesion instead.</t>
        </is>
      </c>
    </row>
    <row r="33">
      <c r="A33" s="4" t="inlineStr">
        <is>
          <t>4.7.7</t>
        </is>
      </c>
      <c r="B33" s="4" t="inlineStr">
        <is>
          <t>Contractures</t>
        </is>
      </c>
      <c r="C33" s="4" t="inlineStr">
        <is>
          <t>A global leathery restriction begins the conversation about partial improvement.</t>
        </is>
      </c>
    </row>
    <row r="34">
      <c r="A34" s="4" t="inlineStr">
        <is>
          <t>4.7.7</t>
        </is>
      </c>
      <c r="B34" s="4" t="inlineStr">
        <is>
          <t>Contractures</t>
        </is>
      </c>
      <c r="C34" s="4" t="inlineStr">
        <is>
          <t>A contracture present for years is unlikely to regain a normal range.</t>
        </is>
      </c>
    </row>
    <row r="35">
      <c r="A35" s="4" t="inlineStr">
        <is>
          <t>4.7.7</t>
        </is>
      </c>
      <c r="B35" s="4" t="inlineStr">
        <is>
          <t>Contractures</t>
        </is>
      </c>
      <c r="C35" s="4" t="inlineStr">
        <is>
          <t>A contracture with posterior cruciate deficiency makes the ligament measurements unreliable.</t>
        </is>
      </c>
    </row>
    <row r="36">
      <c r="A36" s="4" t="inlineStr">
        <is>
          <t>4.7.7</t>
        </is>
      </c>
      <c r="B36" s="4" t="inlineStr">
        <is>
          <t>Contractures</t>
        </is>
      </c>
      <c r="C36" s="4" t="inlineStr">
        <is>
          <t>Without early recorded ranges, the contracture's development cannot be dated.</t>
        </is>
      </c>
    </row>
    <row r="37">
      <c r="A37" s="4" t="inlineStr">
        <is>
          <t>4.7.8</t>
        </is>
      </c>
      <c r="B37" s="4" t="inlineStr">
        <is>
          <t>Extension Lag</t>
        </is>
      </c>
      <c r="C37" s="4" t="inlineStr">
        <is>
          <t>A persisting lag with a competent graft is a quadriceps problem no surgery addresses.</t>
        </is>
      </c>
    </row>
    <row r="38">
      <c r="A38" s="4" t="inlineStr">
        <is>
          <t>4.7.8</t>
        </is>
      </c>
      <c r="B38" s="4" t="inlineStr">
        <is>
          <t>Extension Lag</t>
        </is>
      </c>
      <c r="C38" s="4" t="inlineStr">
        <is>
          <t>A lag that will not respond to a programme needs inhibition sought.</t>
        </is>
      </c>
    </row>
    <row r="39">
      <c r="A39" s="4" t="inlineStr">
        <is>
          <t>4.7.8</t>
        </is>
      </c>
      <c r="B39" s="4" t="inlineStr">
        <is>
          <t>Extension Lag</t>
        </is>
      </c>
      <c r="C39" s="4" t="inlineStr">
        <is>
          <t>After an extensor mechanism repair a lag may be the best achievable.</t>
        </is>
      </c>
    </row>
    <row r="40">
      <c r="A40" s="4" t="inlineStr">
        <is>
          <t>4.7.8</t>
        </is>
      </c>
      <c r="B40" s="4" t="inlineStr">
        <is>
          <t>Extension Lag</t>
        </is>
      </c>
      <c r="C40" s="4" t="inlineStr">
        <is>
          <t>A lag with posterior cruciate deficiency removes the compensating mechanism.</t>
        </is>
      </c>
    </row>
    <row r="41">
      <c r="A41" s="4" t="inlineStr">
        <is>
          <t>4.7.8</t>
        </is>
      </c>
      <c r="B41" s="4" t="inlineStr">
        <is>
          <t>Extension Lag</t>
        </is>
      </c>
      <c r="C41" s="4" t="inlineStr">
        <is>
          <t>A recorded lag is objective evidence of reduced quadriceps function.</t>
        </is>
      </c>
    </row>
    <row r="42">
      <c r="A42" s="4" t="inlineStr">
        <is>
          <t>4.7.9</t>
        </is>
      </c>
      <c r="B42" s="4" t="inlineStr">
        <is>
          <t>Functional Range</t>
        </is>
      </c>
      <c r="C42" s="4" t="inlineStr">
        <is>
          <t>A textbook range with one necessary task missing explains the unexplained referral.</t>
        </is>
      </c>
    </row>
    <row r="43">
      <c r="A43" s="4" t="inlineStr">
        <is>
          <t>4.7.9</t>
        </is>
      </c>
      <c r="B43" s="4" t="inlineStr">
        <is>
          <t>Functional Range</t>
        </is>
      </c>
      <c r="C43" s="4" t="inlineStr">
        <is>
          <t>An occupational requirement should set the pre-operative conversation.</t>
        </is>
      </c>
    </row>
    <row r="44">
      <c r="A44" s="4" t="inlineStr">
        <is>
          <t>4.7.9</t>
        </is>
      </c>
      <c r="B44" s="4" t="inlineStr">
        <is>
          <t>Functional Range</t>
        </is>
      </c>
      <c r="C44" s="4" t="inlineStr">
        <is>
          <t>A small extension deficit with a limp is worth treating and is often dismissed.</t>
        </is>
      </c>
    </row>
    <row r="45">
      <c r="A45" s="4" t="inlineStr">
        <is>
          <t>4.7.9</t>
        </is>
      </c>
      <c r="B45" s="4" t="inlineStr">
        <is>
          <t>Functional Range</t>
        </is>
      </c>
      <c r="C45" s="4" t="inlineStr">
        <is>
          <t>In a multiply operated knee the achievable range may be below the requirement.</t>
        </is>
      </c>
    </row>
    <row r="46">
      <c r="A46" s="4" t="inlineStr">
        <is>
          <t>4.7.9</t>
        </is>
      </c>
      <c r="B46" s="4" t="inlineStr">
        <is>
          <t>Functional Range</t>
        </is>
      </c>
      <c r="C46" s="4" t="inlineStr">
        <is>
          <t>A claim concerns the functional range and the record contains the measured one.</t>
        </is>
      </c>
    </row>
    <row r="47">
      <c r="A47" s="4" t="inlineStr">
        <is>
          <t>4.7.10</t>
        </is>
      </c>
      <c r="B47" s="4" t="inlineStr">
        <is>
          <t>Post-operative Range Assessment</t>
        </is>
      </c>
      <c r="C47" s="4" t="inlineStr">
        <is>
          <t>The stiff knee after surgery arrives late, and the lateness is a monitoring failure.</t>
        </is>
      </c>
    </row>
    <row r="48">
      <c r="A48" s="4" t="inlineStr">
        <is>
          <t>4.7.10</t>
        </is>
      </c>
      <c r="B48" s="4" t="inlineStr">
        <is>
          <t>Post-operative Range Assessment</t>
        </is>
      </c>
      <c r="C48" s="4" t="inlineStr">
        <is>
          <t>A firm abrupt block referred at a year has been treatable for most of that year.</t>
        </is>
      </c>
    </row>
    <row r="49">
      <c r="A49" s="4" t="inlineStr">
        <is>
          <t>4.7.10</t>
        </is>
      </c>
      <c r="B49" s="4" t="inlineStr">
        <is>
          <t>Post-operative Range Assessment</t>
        </is>
      </c>
      <c r="C49" s="4" t="inlineStr">
        <is>
          <t>Arthrofibrosis referred late has a worse prognosis, which makes the monitoring interval clinical.</t>
        </is>
      </c>
    </row>
    <row r="50">
      <c r="A50" s="4" t="inlineStr">
        <is>
          <t>4.7.10</t>
        </is>
      </c>
      <c r="B50" s="4" t="inlineStr">
        <is>
          <t>Post-operative Range Assessment</t>
        </is>
      </c>
      <c r="C50" s="4" t="inlineStr">
        <is>
          <t>Without a pre-operative range, loss cannot be assessed.</t>
        </is>
      </c>
    </row>
    <row r="51">
      <c r="A51" s="4" t="inlineStr">
        <is>
          <t>4.7.10</t>
        </is>
      </c>
      <c r="B51" s="4" t="inlineStr">
        <is>
          <t>Post-operative Range Assessment</t>
        </is>
      </c>
      <c r="C51" s="4" t="inlineStr">
        <is>
          <t>A persisting lag with a full passive range is made worse by further surgery.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86" customWidth="1" min="4" max="4"/>
    <col width="16" customWidth="1" min="5" max="5"/>
    <col width="22" customWidth="1" min="6" max="6"/>
    <col width="50" customWidth="1" min="7" max="7"/>
  </cols>
  <sheetData>
    <row r="1">
      <c r="A1" s="5" t="inlineStr">
        <is>
          <t>Ref</t>
        </is>
      </c>
      <c r="B1" s="5" t="inlineStr">
        <is>
          <t>Page</t>
        </is>
      </c>
      <c r="C1" s="5" t="inlineStr">
        <is>
          <t>Tier</t>
        </is>
      </c>
      <c r="D1" s="5" t="inlineStr">
        <is>
          <t>Sentence</t>
        </is>
      </c>
      <c r="E1" s="5" t="inlineStr">
        <is>
          <t>Decision</t>
        </is>
      </c>
      <c r="F1" s="5" t="inlineStr">
        <is>
          <t>Reviewer</t>
        </is>
      </c>
      <c r="G1" s="5" t="inlineStr">
        <is>
          <t>Note</t>
        </is>
      </c>
    </row>
    <row r="2">
      <c r="A2" s="7" t="inlineStr">
        <is>
          <t>EXAMPLE</t>
        </is>
      </c>
      <c r="B2" s="7" t="inlineStr">
        <is>
          <t>0.0.0</t>
        </is>
      </c>
      <c r="C2" s="7" t="inlineStr">
        <is>
          <t>mrcs</t>
        </is>
      </c>
      <c r="D2" s="7" t="inlineStr">
        <is>
          <t>This row shows the expected format and is ignored when the pack is read back.</t>
        </is>
      </c>
      <c r="E2" s="7" t="inlineStr">
        <is>
          <t>CONFIRMED</t>
        </is>
      </c>
      <c r="F2" s="7" t="inlineStr">
        <is>
          <t>Miss A Surgeon</t>
        </is>
      </c>
      <c r="G2" s="7" t="inlineStr">
        <is>
          <t>Leave the Note column empty unless amending.</t>
        </is>
      </c>
    </row>
    <row r="3">
      <c r="A3" s="4" t="inlineStr">
        <is>
          <t>4.7.1-P1</t>
        </is>
      </c>
      <c r="B3" s="4" t="inlineStr">
        <is>
          <t>4.7.1</t>
        </is>
      </c>
      <c r="C3" s="4" t="inlineStr">
        <is>
          <t>medical_student</t>
        </is>
      </c>
      <c r="D3" s="4" t="inlineStr">
        <is>
          <t>Ask them to straighten the knee as far as they can and measure the angle achieved, stating the method used.</t>
        </is>
      </c>
      <c r="E3" s="4" t="inlineStr"/>
      <c r="F3" s="4" t="inlineStr"/>
      <c r="G3" s="4" t="inlineStr"/>
    </row>
    <row r="4">
      <c r="A4" s="4" t="inlineStr">
        <is>
          <t>4.7.1-P2</t>
        </is>
      </c>
      <c r="B4" s="4" t="inlineStr">
        <is>
          <t>4.7.1</t>
        </is>
      </c>
      <c r="C4" s="4" t="inlineStr">
        <is>
          <t>medical_student</t>
        </is>
      </c>
      <c r="D4" s="4" t="inlineStr">
        <is>
          <t>Ask them to bend it as far as they can, sliding the heel towards the buttock, and measure that angle.</t>
        </is>
      </c>
      <c r="E4" s="4" t="inlineStr"/>
      <c r="F4" s="4" t="inlineStr"/>
      <c r="G4" s="4" t="inlineStr"/>
    </row>
    <row r="5">
      <c r="A5" s="4" t="inlineStr">
        <is>
          <t>4.7.1-P3</t>
        </is>
      </c>
      <c r="B5" s="4" t="inlineStr">
        <is>
          <t>4.7.1</t>
        </is>
      </c>
      <c r="C5" s="4" t="inlineStr">
        <is>
          <t>medical_student</t>
        </is>
      </c>
      <c r="D5" s="4" t="inlineStr">
        <is>
          <t>Repeat on the other side and record both, since the comparison is part of the measurement.</t>
        </is>
      </c>
      <c r="E5" s="4" t="inlineStr"/>
      <c r="F5" s="4" t="inlineStr"/>
      <c r="G5" s="4" t="inlineStr"/>
    </row>
    <row r="6">
      <c r="A6" s="4" t="inlineStr">
        <is>
          <t>4.7.1-P4</t>
        </is>
      </c>
      <c r="B6" s="4" t="inlineStr">
        <is>
          <t>4.7.1</t>
        </is>
      </c>
      <c r="C6" s="4" t="inlineStr">
        <is>
          <t>medical_student</t>
        </is>
      </c>
      <c r="D6" s="4" t="inlineStr">
        <is>
          <t>Ask them to hold the knee straight against gravity with the leg lifted, which tests the extensor mechanism rather than the range.</t>
        </is>
      </c>
      <c r="E6" s="4" t="inlineStr"/>
      <c r="F6" s="4" t="inlineStr"/>
      <c r="G6" s="4" t="inlineStr"/>
    </row>
    <row r="7">
      <c r="A7" s="4" t="inlineStr">
        <is>
          <t>4.7.2-P1</t>
        </is>
      </c>
      <c r="B7" s="4" t="inlineStr">
        <is>
          <t>4.7.2</t>
        </is>
      </c>
      <c r="C7" s="4" t="inlineStr">
        <is>
          <t>medical_student</t>
        </is>
      </c>
      <c r="D7" s="4" t="inlineStr">
        <is>
          <t>Compare with the other side and record both, since a normal range varies widely between people.</t>
        </is>
      </c>
      <c r="E7" s="4" t="inlineStr"/>
      <c r="F7" s="4" t="inlineStr"/>
      <c r="G7" s="4" t="inlineStr"/>
    </row>
    <row r="8">
      <c r="A8" s="4" t="inlineStr">
        <is>
          <t>4.7.3-P1</t>
        </is>
      </c>
      <c r="B8" s="4" t="inlineStr">
        <is>
          <t>4.7.3</t>
        </is>
      </c>
      <c r="C8" s="4" t="inlineStr">
        <is>
          <t>medical_student</t>
        </is>
      </c>
      <c r="D8" s="4" t="inlineStr">
        <is>
          <t>Measure the active extension first, then the passive extension, and record hyperextension as a negative value or explicitly as hyperextension.</t>
        </is>
      </c>
      <c r="E8" s="4" t="inlineStr"/>
      <c r="F8" s="4" t="inlineStr"/>
      <c r="G8" s="4" t="inlineStr"/>
    </row>
    <row r="9">
      <c r="A9" s="4" t="inlineStr">
        <is>
          <t>4.7.3-P2</t>
        </is>
      </c>
      <c r="B9" s="4" t="inlineStr">
        <is>
          <t>4.7.3</t>
        </is>
      </c>
      <c r="C9" s="4" t="inlineStr">
        <is>
          <t>medical_student</t>
        </is>
      </c>
      <c r="D9" s="4" t="inlineStr">
        <is>
          <t>Measure both knees and record both figures, because only the comparison is interpretable.</t>
        </is>
      </c>
      <c r="E9" s="4" t="inlineStr"/>
      <c r="F9" s="4" t="inlineStr"/>
      <c r="G9" s="4" t="inlineStr"/>
    </row>
    <row r="10">
      <c r="A10" s="4" t="inlineStr">
        <is>
          <t>4.7.4-P1</t>
        </is>
      </c>
      <c r="B10" s="4" t="inlineStr">
        <is>
          <t>4.7.4</t>
        </is>
      </c>
      <c r="C10" s="4" t="inlineStr">
        <is>
          <t>medical_student</t>
        </is>
      </c>
      <c r="D10" s="4" t="inlineStr">
        <is>
          <t>Measure the heel to buttock distance as well, which is a simple comparative measure and easier to reproduce than an angle in deep flexion.</t>
        </is>
      </c>
      <c r="E10" s="4" t="inlineStr"/>
      <c r="F10" s="4" t="inlineStr"/>
      <c r="G10" s="4" t="inlineStr"/>
    </row>
    <row r="11">
      <c r="A11" s="4" t="inlineStr">
        <is>
          <t>4.7.4-P2</t>
        </is>
      </c>
      <c r="B11" s="4" t="inlineStr">
        <is>
          <t>4.7.4</t>
        </is>
      </c>
      <c r="C11" s="4" t="inlineStr">
        <is>
          <t>medical_student</t>
        </is>
      </c>
      <c r="D11" s="4" t="inlineStr">
        <is>
          <t>Compare both sides and record both, since normal flexion varies widely.</t>
        </is>
      </c>
      <c r="E11" s="4" t="inlineStr"/>
      <c r="F11" s="4" t="inlineStr"/>
      <c r="G11" s="4" t="inlineStr"/>
    </row>
    <row r="12">
      <c r="A12" s="4" t="inlineStr">
        <is>
          <t>4.7.5-P1</t>
        </is>
      </c>
      <c r="B12" s="4" t="inlineStr">
        <is>
          <t>4.7.5</t>
        </is>
      </c>
      <c r="C12" s="4" t="inlineStr">
        <is>
          <t>medical_student</t>
        </is>
      </c>
      <c r="D12" s="4" t="inlineStr">
        <is>
          <t>Repeat on the other side and compare, since a normal end feel varies between people.</t>
        </is>
      </c>
      <c r="E12" s="4" t="inlineStr"/>
      <c r="F12" s="4" t="inlineStr"/>
      <c r="G12" s="4" t="inlineStr"/>
    </row>
    <row r="13">
      <c r="A13" s="4" t="inlineStr">
        <is>
          <t>4.7.5-P2</t>
        </is>
      </c>
      <c r="B13" s="4" t="inlineStr">
        <is>
          <t>4.7.5</t>
        </is>
      </c>
      <c r="C13" s="4" t="inlineStr">
        <is>
          <t>medical_student</t>
        </is>
      </c>
      <c r="D13" s="4" t="inlineStr">
        <is>
          <t>Record the end feel in words alongside the angle.</t>
        </is>
      </c>
      <c r="E13" s="4" t="inlineStr"/>
      <c r="F13" s="4" t="inlineStr"/>
      <c r="G13" s="4" t="inlineStr"/>
    </row>
    <row r="14">
      <c r="A14" s="4" t="inlineStr">
        <is>
          <t>4.7.6-P1</t>
        </is>
      </c>
      <c r="B14" s="4" t="inlineStr">
        <is>
          <t>4.7.6</t>
        </is>
      </c>
      <c r="C14" s="4" t="inlineStr">
        <is>
          <t>medical_student</t>
        </is>
      </c>
      <c r="D14" s="4" t="inlineStr">
        <is>
          <t>Ask the patient to move the knee actively through its range and to say when it hurts rather than whether it hurts.</t>
        </is>
      </c>
      <c r="E14" s="4" t="inlineStr"/>
      <c r="F14" s="4" t="inlineStr"/>
      <c r="G14" s="4" t="inlineStr"/>
    </row>
    <row r="15">
      <c r="A15" s="4" t="inlineStr">
        <is>
          <t>4.7.6-P2</t>
        </is>
      </c>
      <c r="B15" s="4" t="inlineStr">
        <is>
          <t>4.7.6</t>
        </is>
      </c>
      <c r="C15" s="4" t="inlineStr">
        <is>
          <t>medical_student</t>
        </is>
      </c>
      <c r="D15" s="4" t="inlineStr">
        <is>
          <t>Repeat passively, since pain in the same arc passively suggests a joint surface and pain only actively suggests the extensor mechanism or a muscle.</t>
        </is>
      </c>
      <c r="E15" s="4" t="inlineStr"/>
      <c r="F15" s="4" t="inlineStr"/>
      <c r="G15" s="4" t="inlineStr"/>
    </row>
    <row r="16">
      <c r="A16" s="4" t="inlineStr">
        <is>
          <t>4.7.6-P3</t>
        </is>
      </c>
      <c r="B16" s="4" t="inlineStr">
        <is>
          <t>4.7.6</t>
        </is>
      </c>
      <c r="C16" s="4" t="inlineStr">
        <is>
          <t>medical_student</t>
        </is>
      </c>
      <c r="D16" s="4" t="inlineStr">
        <is>
          <t>Add compression if the arc is anterior, by pressing the patella against the femur while the knee moves, which increases patellofemoral load specifically.</t>
        </is>
      </c>
      <c r="E16" s="4" t="inlineStr"/>
      <c r="F16" s="4" t="inlineStr"/>
      <c r="G16" s="4" t="inlineStr"/>
    </row>
    <row r="17">
      <c r="A17" s="4" t="inlineStr">
        <is>
          <t>4.7.6-P4</t>
        </is>
      </c>
      <c r="B17" s="4" t="inlineStr">
        <is>
          <t>4.7.6</t>
        </is>
      </c>
      <c r="C17" s="4" t="inlineStr">
        <is>
          <t>medical_student</t>
        </is>
      </c>
      <c r="D17" s="4" t="inlineStr">
        <is>
          <t>Ask the patient which activity reproduces the same pain, because the activity usually names the arc better than the examination does.</t>
        </is>
      </c>
      <c r="E17" s="4" t="inlineStr"/>
      <c r="F17" s="4" t="inlineStr"/>
      <c r="G17" s="4" t="inlineStr"/>
    </row>
    <row r="18">
      <c r="A18" s="4" t="inlineStr">
        <is>
          <t>4.7.7-P1</t>
        </is>
      </c>
      <c r="B18" s="4" t="inlineStr">
        <is>
          <t>4.7.7</t>
        </is>
      </c>
      <c r="C18" s="4" t="inlineStr">
        <is>
          <t>medical_student</t>
        </is>
      </c>
      <c r="D18" s="4" t="inlineStr">
        <is>
          <t>Measure the passive extension and flexion with the patient relaxed and the limb supported.</t>
        </is>
      </c>
      <c r="E18" s="4" t="inlineStr"/>
      <c r="F18" s="4" t="inlineStr"/>
      <c r="G18" s="4" t="inlineStr"/>
    </row>
    <row r="19">
      <c r="A19" s="4" t="inlineStr">
        <is>
          <t>4.7.7-P2</t>
        </is>
      </c>
      <c r="B19" s="4" t="inlineStr">
        <is>
          <t>4.7.7</t>
        </is>
      </c>
      <c r="C19" s="4" t="inlineStr">
        <is>
          <t>medical_student</t>
        </is>
      </c>
      <c r="D19" s="4" t="inlineStr">
        <is>
          <t>Assess the hip, since a hip flexion contracture produces an apparent knee flexion contracture in standing.</t>
        </is>
      </c>
      <c r="E19" s="4" t="inlineStr"/>
      <c r="F19" s="4" t="inlineStr"/>
      <c r="G19" s="4" t="inlineStr"/>
    </row>
    <row r="20">
      <c r="A20" s="4" t="inlineStr">
        <is>
          <t>4.7.7-P3</t>
        </is>
      </c>
      <c r="B20" s="4" t="inlineStr">
        <is>
          <t>4.7.7</t>
        </is>
      </c>
      <c r="C20" s="4" t="inlineStr">
        <is>
          <t>frcs</t>
        </is>
      </c>
      <c r="D20" s="4" t="inlineStr">
        <is>
          <t>A contracture in a knee with a chronically effused joint has a cause that must be addressed, and releasing without addressing it recurs.</t>
        </is>
      </c>
      <c r="E20" s="4" t="inlineStr"/>
      <c r="F20" s="4" t="inlineStr"/>
      <c r="G20" s="4" t="inlineStr"/>
    </row>
    <row r="21">
      <c r="A21" s="4" t="inlineStr">
        <is>
          <t>4.7.8-P1</t>
        </is>
      </c>
      <c r="B21" s="4" t="inlineStr">
        <is>
          <t>4.7.8</t>
        </is>
      </c>
      <c r="C21" s="4" t="inlineStr">
        <is>
          <t>medical_student</t>
        </is>
      </c>
      <c r="D21" s="4" t="inlineStr">
        <is>
          <t>Ask them to straighten the knee fully and measure the angle achieved.</t>
        </is>
      </c>
      <c r="E21" s="4" t="inlineStr"/>
      <c r="F21" s="4" t="inlineStr"/>
      <c r="G21" s="4" t="inlineStr"/>
    </row>
    <row r="22">
      <c r="A22" s="4" t="inlineStr">
        <is>
          <t>4.7.8-P2</t>
        </is>
      </c>
      <c r="B22" s="4" t="inlineStr">
        <is>
          <t>4.7.8</t>
        </is>
      </c>
      <c r="C22" s="4" t="inlineStr">
        <is>
          <t>medical_student</t>
        </is>
      </c>
      <c r="D22" s="4" t="inlineStr">
        <is>
          <t>Record both figures, and the lag is the difference between them.</t>
        </is>
      </c>
      <c r="E22" s="4" t="inlineStr"/>
      <c r="F22" s="4" t="inlineStr"/>
      <c r="G22" s="4" t="inlineStr"/>
    </row>
    <row r="23">
      <c r="A23" s="4" t="inlineStr">
        <is>
          <t>4.7.8-P3</t>
        </is>
      </c>
      <c r="B23" s="4" t="inlineStr">
        <is>
          <t>4.7.8</t>
        </is>
      </c>
      <c r="C23" s="4" t="inlineStr">
        <is>
          <t>medical_student</t>
        </is>
      </c>
      <c r="D23" s="4" t="inlineStr">
        <is>
          <t>Assess for an effusion and for quadriceps bulk, since both explain the commonest versions of this finding.</t>
        </is>
      </c>
      <c r="E23" s="4" t="inlineStr"/>
      <c r="F23" s="4" t="inlineStr"/>
      <c r="G23" s="4" t="inlineStr"/>
    </row>
    <row r="24">
      <c r="A24" s="4" t="inlineStr">
        <is>
          <t>4.7.9-P1</t>
        </is>
      </c>
      <c r="B24" s="4" t="inlineStr">
        <is>
          <t>4.7.9</t>
        </is>
      </c>
      <c r="C24" s="4" t="inlineStr">
        <is>
          <t>medical_student</t>
        </is>
      </c>
      <c r="D24" s="4" t="inlineStr">
        <is>
          <t>Measure the active and passive ranges first, so the functional assessment has a measurement to interpret.</t>
        </is>
      </c>
      <c r="E24" s="4" t="inlineStr"/>
      <c r="F24" s="4" t="inlineStr"/>
      <c r="G24" s="4" t="inlineStr"/>
    </row>
    <row r="25">
      <c r="A25" s="4" t="inlineStr">
        <is>
          <t>4.7.9-P2</t>
        </is>
      </c>
      <c r="B25" s="4" t="inlineStr">
        <is>
          <t>4.7.9</t>
        </is>
      </c>
      <c r="C25" s="4" t="inlineStr">
        <is>
          <t>medical_student</t>
        </is>
      </c>
      <c r="D25" s="4" t="inlineStr">
        <is>
          <t>Ask what the patient cannot do, specifically, rather than whether the knee is stiff.</t>
        </is>
      </c>
      <c r="E25" s="4" t="inlineStr"/>
      <c r="F25" s="4" t="inlineStr"/>
      <c r="G25" s="4" t="inlineStr"/>
    </row>
    <row r="26">
      <c r="A26" s="4" t="inlineStr">
        <is>
          <t>4.7.9-P3</t>
        </is>
      </c>
      <c r="B26" s="4" t="inlineStr">
        <is>
          <t>4.7.9</t>
        </is>
      </c>
      <c r="C26" s="4" t="inlineStr">
        <is>
          <t>medical_student</t>
        </is>
      </c>
      <c r="D26" s="4" t="inlineStr">
        <is>
          <t>Ask about the tasks that need progressively more flexion: sitting, stairs, getting out of a car, cycling, kneeling and squatting.</t>
        </is>
      </c>
      <c r="E26" s="4" t="inlineStr"/>
      <c r="F26" s="4" t="inlineStr"/>
      <c r="G26" s="4" t="inlineStr"/>
    </row>
    <row r="27">
      <c r="A27" s="4" t="inlineStr">
        <is>
          <t>4.7.9-P4</t>
        </is>
      </c>
      <c r="B27" s="4" t="inlineStr">
        <is>
          <t>4.7.9</t>
        </is>
      </c>
      <c r="C27" s="4" t="inlineStr">
        <is>
          <t>medical_student</t>
        </is>
      </c>
      <c r="D27" s="4" t="inlineStr">
        <is>
          <t>Ask about tasks needing full extension: standing comfortably, walking without a limp and lying flat.</t>
        </is>
      </c>
      <c r="E27" s="4" t="inlineStr"/>
      <c r="F27" s="4" t="inlineStr"/>
      <c r="G27" s="4" t="inlineStr"/>
    </row>
    <row r="28">
      <c r="A28" s="4" t="inlineStr">
        <is>
          <t>4.7.10-P1</t>
        </is>
      </c>
      <c r="B28" s="4" t="inlineStr">
        <is>
          <t>4.7.10</t>
        </is>
      </c>
      <c r="C28" s="4" t="inlineStr">
        <is>
          <t>medical_student</t>
        </is>
      </c>
      <c r="D28" s="4" t="inlineStr">
        <is>
          <t>Measure the active and the passive extension and flexion at every visit, using the same method, and record all four figures.</t>
        </is>
      </c>
      <c r="E28" s="4" t="inlineStr"/>
      <c r="F28" s="4" t="inlineStr"/>
      <c r="G28" s="4" t="inlineStr"/>
    </row>
    <row r="29">
      <c r="A29" s="4" t="inlineStr">
        <is>
          <t>4.7.10-P2</t>
        </is>
      </c>
      <c r="B29" s="4" t="inlineStr">
        <is>
          <t>4.7.10</t>
        </is>
      </c>
      <c r="C29" s="4" t="inlineStr">
        <is>
          <t>medical_student</t>
        </is>
      </c>
      <c r="D29" s="4" t="inlineStr">
        <is>
          <t>Compare with the figures from the previous visit rather than with a population normal, because the trajectory is the finding.</t>
        </is>
      </c>
      <c r="E29" s="4" t="inlineStr"/>
      <c r="F29" s="4" t="inlineStr"/>
      <c r="G29" s="4" t="inlineStr"/>
    </row>
    <row r="30">
      <c r="A30" s="4" t="inlineStr">
        <is>
          <t>4.7.10-P3</t>
        </is>
      </c>
      <c r="B30" s="4" t="inlineStr">
        <is>
          <t>4.7.10</t>
        </is>
      </c>
      <c r="C30" s="4" t="inlineStr">
        <is>
          <t>medical_student</t>
        </is>
      </c>
      <c r="D30" s="4" t="inlineStr">
        <is>
          <t>Assess the effusion, since an effusion limits the range and inhibits the quadriceps and resolves.</t>
        </is>
      </c>
      <c r="E30" s="4" t="inlineStr"/>
      <c r="F30" s="4" t="inlineStr"/>
      <c r="G30" s="4" t="inlineStr"/>
    </row>
  </sheetData>
  <dataValidations count="1">
    <dataValidation sqref="E3:E30" showDropDown="0" showInputMessage="0" showErrorMessage="0" allowBlank="1" errorTitle="Not an allowed decision" error="Use one of: CONFIRMED, AMENDED, WITHDRAWN, NOT_CLINICAL" type="list">
      <formula1>"CONFIRMED,AMENDED,WITHDRAWN,NOT_CLINICAL"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24" customWidth="1" min="4" max="4"/>
    <col width="80" customWidth="1" min="5" max="5"/>
    <col width="16" customWidth="1" min="6" max="6"/>
    <col width="36" customWidth="1" min="7" max="7"/>
    <col width="36" customWidth="1" min="8" max="8"/>
  </cols>
  <sheetData>
    <row r="1">
      <c r="A1" s="5" t="inlineStr">
        <is>
          <t>Ref</t>
        </is>
      </c>
      <c r="B1" s="5" t="inlineStr">
        <is>
          <t>Page</t>
        </is>
      </c>
      <c r="C1" s="5" t="inlineStr">
        <is>
          <t>Tier</t>
        </is>
      </c>
      <c r="D1" s="5" t="inlineStr">
        <is>
          <t>Figure</t>
        </is>
      </c>
      <c r="E1" s="5" t="inlineStr">
        <is>
          <t>The sentence it supports</t>
        </is>
      </c>
      <c r="F1" s="5" t="inlineStr">
        <is>
          <t>Decision</t>
        </is>
      </c>
      <c r="G1" s="5" t="inlineStr">
        <is>
          <t>Source</t>
        </is>
      </c>
      <c r="H1" s="5" t="inlineStr">
        <is>
          <t>Note</t>
        </is>
      </c>
    </row>
    <row r="2">
      <c r="A2" s="7" t="inlineStr">
        <is>
          <t>EXAMPLE</t>
        </is>
      </c>
      <c r="B2" s="7" t="inlineStr">
        <is>
          <t>0.0.0</t>
        </is>
      </c>
      <c r="C2" s="7" t="inlineStr">
        <is>
          <t>mrcs</t>
        </is>
      </c>
      <c r="D2" s="7" t="inlineStr">
        <is>
          <t>20 to 30 degrees</t>
        </is>
      </c>
      <c r="E2" s="7" t="inlineStr">
        <is>
          <t>This row shows the expected format and is ignored when the pack is read back.</t>
        </is>
      </c>
      <c r="F2" s="7" t="inlineStr">
        <is>
          <t>VERIFIED</t>
        </is>
      </c>
      <c r="G2" s="7" t="inlineStr">
        <is>
          <t>Author, title, edition, chapter</t>
        </is>
      </c>
      <c r="H2" s="7"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6" customWidth="1" min="1" max="1"/>
    <col width="18" customWidth="1" min="2" max="2"/>
    <col width="18" customWidth="1" min="3" max="3"/>
  </cols>
  <sheetData>
    <row r="1">
      <c r="A1" s="5" t="inlineStr"/>
      <c r="B1" s="5" t="inlineStr">
        <is>
          <t>Recommendations</t>
        </is>
      </c>
      <c r="C1" s="5" t="inlineStr">
        <is>
          <t>Measurements</t>
        </is>
      </c>
    </row>
    <row r="2">
      <c r="A2" s="2" t="inlineStr">
        <is>
          <t>Rows to decide</t>
        </is>
      </c>
      <c r="B2" s="3">
        <f>28</f>
        <v/>
      </c>
      <c r="C2" s="3">
        <f>0</f>
        <v/>
      </c>
    </row>
    <row r="3">
      <c r="A3" s="2" t="inlineStr">
        <is>
          <t>Decided</t>
        </is>
      </c>
      <c r="B3" s="3">
        <f>COUNTIF(Recommendations!E3:E30,"&lt;&gt;")</f>
        <v/>
      </c>
      <c r="C3" s="3">
        <f>COUNTIF(Measurements!F3:F2,"&lt;&gt;")</f>
        <v/>
      </c>
    </row>
    <row r="4">
      <c r="A4" s="2" t="inlineStr">
        <is>
          <t>Still blank</t>
        </is>
      </c>
      <c r="B4" s="3">
        <f>B2-B3</f>
        <v/>
      </c>
      <c r="C4" s="3">
        <f>C2-C3</f>
        <v/>
      </c>
    </row>
    <row r="5">
      <c r="A5" s="2" t="inlineStr">
        <is>
          <t>CONFIRMED</t>
        </is>
      </c>
      <c r="B5" s="3">
        <f>COUNTIF(Recommendations!E3:E30,"CONFIRMED")</f>
        <v/>
      </c>
      <c r="C5" s="3" t="inlineStr"/>
    </row>
    <row r="6">
      <c r="A6" s="2" t="inlineStr">
        <is>
          <t>AMENDED</t>
        </is>
      </c>
      <c r="B6" s="3">
        <f>COUNTIF(Recommendations!E3:E30,"AMENDED")</f>
        <v/>
      </c>
      <c r="C6" s="3" t="inlineStr"/>
    </row>
    <row r="7">
      <c r="A7" s="2" t="inlineStr">
        <is>
          <t>WITHDRAWN</t>
        </is>
      </c>
      <c r="B7" s="3">
        <f>COUNTIF(Recommendations!E3:E30,"WITHDRAWN")</f>
        <v/>
      </c>
      <c r="C7" s="3" t="inlineStr"/>
    </row>
    <row r="8">
      <c r="A8" s="2" t="inlineStr">
        <is>
          <t>NOT_CLINICAL</t>
        </is>
      </c>
      <c r="B8" s="3">
        <f>COUNTIF(Recommendations!E3:E30,"NOT_CLINICAL")</f>
        <v/>
      </c>
      <c r="C8" s="3" t="inlineStr"/>
    </row>
    <row r="9">
      <c r="A9" s="2" t="inlineStr">
        <is>
          <t>VERIFIED</t>
        </is>
      </c>
      <c r="B9" s="3" t="inlineStr"/>
      <c r="C9" s="3">
        <f>COUNTIF(Measurements!F3:F2,"VERIFIED")</f>
        <v/>
      </c>
    </row>
    <row r="10">
      <c r="A10" s="2" t="inlineStr">
        <is>
          <t>CORRECTED</t>
        </is>
      </c>
      <c r="B10" s="3" t="inlineStr"/>
      <c r="C10" s="3">
        <f>COUNTIF(Measurements!F3:F2,"CORRECTED")</f>
        <v/>
      </c>
    </row>
    <row r="11">
      <c r="A11" s="2" t="inlineStr">
        <is>
          <t>REMOVED</t>
        </is>
      </c>
      <c r="B11" s="3" t="inlineStr"/>
      <c r="C11" s="3">
        <f>COUNTIF(Measurements!F3:F2,"REMOVED")</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2026-10-12T21:22:17Z</dcterms:created>
  <dcterms:modified xmlns:dcterms="http://purl.org/dc/terms/" xmlns:xsi="http://www.w3.org/2001/XMLSchema-instance" xsi:type="dcterms:W3CDTF">2026-10-12T21:22:17Z</dcterms:modified>
</cp:coreProperties>
</file>