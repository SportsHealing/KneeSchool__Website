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5.5 MRI of the Knee</t>
        </is>
      </c>
    </row>
    <row r="3">
      <c r="A3" s="2" t="inlineStr">
        <is>
          <t>Section</t>
        </is>
      </c>
      <c r="B3" s="3" t="inlineStr">
        <is>
          <t>5</t>
        </is>
      </c>
    </row>
    <row r="4">
      <c r="A4" s="2" t="inlineStr">
        <is>
          <t>Chapter</t>
        </is>
      </c>
      <c r="B4" s="3" t="inlineStr">
        <is>
          <t>5.5 MRI of the Knee</t>
        </is>
      </c>
    </row>
    <row r="5">
      <c r="A5" s="2" t="inlineStr">
        <is>
          <t>Pages</t>
        </is>
      </c>
      <c r="B5" s="3" t="n">
        <v>13</v>
      </c>
    </row>
    <row r="6">
      <c r="A6" s="2" t="inlineStr">
        <is>
          <t>Page type</t>
        </is>
      </c>
      <c r="B6" s="3" t="inlineStr">
        <is>
          <t>imaging</t>
        </is>
      </c>
    </row>
    <row r="7">
      <c r="A7" s="2" t="inlineStr">
        <is>
          <t>Tiers</t>
        </is>
      </c>
      <c r="B7" s="3" t="inlineStr">
        <is>
          <t>medical student, mrcs, frcs, fellowship</t>
        </is>
      </c>
    </row>
    <row r="8">
      <c r="A8" s="2" t="inlineStr">
        <is>
          <t>Words</t>
        </is>
      </c>
      <c r="B8" s="3" t="inlineStr">
        <is>
          <t>16,502</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50</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5.5.1</t>
        </is>
      </c>
      <c r="B2" s="6" t="inlineStr">
        <is>
          <t>Standard Protocol</t>
        </is>
      </c>
      <c r="C2" s="6" t="n">
        <v>4</v>
      </c>
      <c r="D2" s="6" t="n">
        <v>1315</v>
      </c>
      <c r="E2" s="6" t="inlineStr">
        <is>
          <t>imaging/standard-mri-protocol.html</t>
        </is>
      </c>
    </row>
    <row r="3">
      <c r="A3" s="6" t="inlineStr">
        <is>
          <t>5.5.2</t>
        </is>
      </c>
      <c r="B3" s="6" t="inlineStr">
        <is>
          <t>Sports Knee Protocol</t>
        </is>
      </c>
      <c r="C3" s="6" t="n">
        <v>4</v>
      </c>
      <c r="D3" s="6" t="n">
        <v>1337</v>
      </c>
      <c r="E3" s="6" t="inlineStr">
        <is>
          <t>imaging/sports-knee-protocol.html</t>
        </is>
      </c>
    </row>
    <row r="4">
      <c r="A4" s="6" t="inlineStr">
        <is>
          <t>5.5.3</t>
        </is>
      </c>
      <c r="B4" s="6" t="inlineStr">
        <is>
          <t>Post-operative Protocol</t>
        </is>
      </c>
      <c r="C4" s="6" t="n">
        <v>4</v>
      </c>
      <c r="D4" s="6" t="n">
        <v>1291</v>
      </c>
      <c r="E4" s="6" t="inlineStr">
        <is>
          <t>imaging/post-operative-protocol.html</t>
        </is>
      </c>
    </row>
    <row r="5">
      <c r="A5" s="6" t="inlineStr">
        <is>
          <t>5.5.4</t>
        </is>
      </c>
      <c r="B5" s="6" t="inlineStr">
        <is>
          <t>Paediatric Protocol</t>
        </is>
      </c>
      <c r="C5" s="6" t="n">
        <v>4</v>
      </c>
      <c r="D5" s="6" t="n">
        <v>1324</v>
      </c>
      <c r="E5" s="6" t="inlineStr">
        <is>
          <t>imaging/paediatric-protocol.html</t>
        </is>
      </c>
    </row>
    <row r="6">
      <c r="A6" s="6" t="inlineStr">
        <is>
          <t>5.5.5</t>
        </is>
      </c>
      <c r="B6" s="6" t="inlineStr">
        <is>
          <t>Tumour Protocol</t>
        </is>
      </c>
      <c r="C6" s="6" t="n">
        <v>4</v>
      </c>
      <c r="D6" s="6" t="n">
        <v>1306</v>
      </c>
      <c r="E6" s="6" t="inlineStr">
        <is>
          <t>imaging/tumour-protocol.html</t>
        </is>
      </c>
    </row>
    <row r="7">
      <c r="A7" s="6" t="inlineStr">
        <is>
          <t>5.5.6</t>
        </is>
      </c>
      <c r="B7" s="6" t="inlineStr">
        <is>
          <t>Bones</t>
        </is>
      </c>
      <c r="C7" s="6" t="n">
        <v>4</v>
      </c>
      <c r="D7" s="6" t="n">
        <v>1192</v>
      </c>
      <c r="E7" s="6" t="inlineStr">
        <is>
          <t>imaging/mri-bones.html</t>
        </is>
      </c>
    </row>
    <row r="8">
      <c r="A8" s="6" t="inlineStr">
        <is>
          <t>5.5.7</t>
        </is>
      </c>
      <c r="B8" s="6" t="inlineStr">
        <is>
          <t>Cartilage</t>
        </is>
      </c>
      <c r="C8" s="6" t="n">
        <v>4</v>
      </c>
      <c r="D8" s="6" t="n">
        <v>1247</v>
      </c>
      <c r="E8" s="6" t="inlineStr">
        <is>
          <t>imaging/mri-cartilage.html</t>
        </is>
      </c>
    </row>
    <row r="9">
      <c r="A9" s="6" t="inlineStr">
        <is>
          <t>5.5.8</t>
        </is>
      </c>
      <c r="B9" s="6" t="inlineStr">
        <is>
          <t>Menisci</t>
        </is>
      </c>
      <c r="C9" s="6" t="n">
        <v>4</v>
      </c>
      <c r="D9" s="6" t="n">
        <v>1250</v>
      </c>
      <c r="E9" s="6" t="inlineStr">
        <is>
          <t>imaging/mri-menisci.html</t>
        </is>
      </c>
    </row>
    <row r="10">
      <c r="A10" s="6" t="inlineStr">
        <is>
          <t>5.5.9</t>
        </is>
      </c>
      <c r="B10" s="6" t="inlineStr">
        <is>
          <t>Ligaments</t>
        </is>
      </c>
      <c r="C10" s="6" t="n">
        <v>4</v>
      </c>
      <c r="D10" s="6" t="n">
        <v>1251</v>
      </c>
      <c r="E10" s="6" t="inlineStr">
        <is>
          <t>imaging/mri-ligaments.html</t>
        </is>
      </c>
    </row>
    <row r="11">
      <c r="A11" s="6" t="inlineStr">
        <is>
          <t>5.5.10</t>
        </is>
      </c>
      <c r="B11" s="6" t="inlineStr">
        <is>
          <t>Tendons</t>
        </is>
      </c>
      <c r="C11" s="6" t="n">
        <v>4</v>
      </c>
      <c r="D11" s="6" t="n">
        <v>1260</v>
      </c>
      <c r="E11" s="6" t="inlineStr">
        <is>
          <t>imaging/mri-tendons.html</t>
        </is>
      </c>
    </row>
    <row r="12">
      <c r="A12" s="6" t="inlineStr">
        <is>
          <t>5.5.11</t>
        </is>
      </c>
      <c r="B12" s="6" t="inlineStr">
        <is>
          <t>Synovium</t>
        </is>
      </c>
      <c r="C12" s="6" t="n">
        <v>4</v>
      </c>
      <c r="D12" s="6" t="n">
        <v>1151</v>
      </c>
      <c r="E12" s="6" t="inlineStr">
        <is>
          <t>imaging/mri-synovium.html</t>
        </is>
      </c>
    </row>
    <row r="13">
      <c r="A13" s="6" t="inlineStr">
        <is>
          <t>5.5.12</t>
        </is>
      </c>
      <c r="B13" s="6" t="inlineStr">
        <is>
          <t>Bursa</t>
        </is>
      </c>
      <c r="C13" s="6" t="n">
        <v>4</v>
      </c>
      <c r="D13" s="6" t="n">
        <v>1236</v>
      </c>
      <c r="E13" s="6" t="inlineStr">
        <is>
          <t>imaging/mri-bursa.html</t>
        </is>
      </c>
    </row>
    <row r="14">
      <c r="A14" s="6" t="inlineStr">
        <is>
          <t>5.5.13</t>
        </is>
      </c>
      <c r="B14" s="6" t="inlineStr">
        <is>
          <t>Neurovascular Structures</t>
        </is>
      </c>
      <c r="C14" s="6" t="n">
        <v>4</v>
      </c>
      <c r="D14" s="6" t="n">
        <v>1342</v>
      </c>
      <c r="E14" s="6" t="inlineStr">
        <is>
          <t>imaging/mri-neurovascular-structures.html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5.5.1</t>
        </is>
      </c>
      <c r="B2" s="4" t="inlineStr">
        <is>
          <t>Standard Protocol</t>
        </is>
      </c>
      <c r="C2" s="4" t="inlineStr">
        <is>
          <t>Protocols differ between departments and the report does not say how.</t>
        </is>
      </c>
    </row>
    <row r="3">
      <c r="A3" s="4" t="inlineStr">
        <is>
          <t>5.5.1</t>
        </is>
      </c>
      <c r="B3" s="4" t="inlineStr">
        <is>
          <t>Standard Protocol</t>
        </is>
      </c>
      <c r="C3" s="4" t="inlineStr">
        <is>
          <t>Two reports on the same knee are not comparable.</t>
        </is>
      </c>
    </row>
    <row r="4">
      <c r="A4" s="4" t="inlineStr">
        <is>
          <t>5.5.1</t>
        </is>
      </c>
      <c r="B4" s="4" t="inlineStr">
        <is>
          <t>Standard Protocol</t>
        </is>
      </c>
      <c r="C4" s="4" t="inlineStr">
        <is>
          <t>The grading conventions were derived on particular weightings.</t>
        </is>
      </c>
    </row>
    <row r="5">
      <c r="A5" s="4" t="inlineStr">
        <is>
          <t>5.5.1</t>
        </is>
      </c>
      <c r="B5" s="4" t="inlineStr">
        <is>
          <t>Standard Protocol</t>
        </is>
      </c>
      <c r="C5" s="4" t="inlineStr">
        <is>
          <t>Isotropic acquisition and acceleration both change the images again.</t>
        </is>
      </c>
    </row>
    <row r="6">
      <c r="A6" s="4" t="inlineStr">
        <is>
          <t>5.5.1</t>
        </is>
      </c>
      <c r="B6" s="4" t="inlineStr">
        <is>
          <t>Standard Protocol</t>
        </is>
      </c>
      <c r="C6" s="4" t="inlineStr">
        <is>
          <t>State the question on the request and ask for the protocol when it matters.</t>
        </is>
      </c>
    </row>
    <row r="7">
      <c r="A7" s="4" t="inlineStr">
        <is>
          <t>5.5.2</t>
        </is>
      </c>
      <c r="B7" s="4" t="inlineStr">
        <is>
          <t>Sports Knee Protocol</t>
        </is>
      </c>
      <c r="C7" s="4" t="inlineStr">
        <is>
          <t>The detection gap is established and the protocol changes it.</t>
        </is>
      </c>
    </row>
    <row r="8">
      <c r="A8" s="4" t="inlineStr">
        <is>
          <t>5.5.2</t>
        </is>
      </c>
      <c r="B8" s="4" t="inlineStr">
        <is>
          <t>Sports Knee Protocol</t>
        </is>
      </c>
      <c r="C8" s="4" t="inlineStr">
        <is>
          <t>The limiting factor is the request and availability, not knowledge.</t>
        </is>
      </c>
    </row>
    <row r="9">
      <c r="A9" s="4" t="inlineStr">
        <is>
          <t>5.5.2</t>
        </is>
      </c>
      <c r="B9" s="4" t="inlineStr">
        <is>
          <t>Sports Knee Protocol</t>
        </is>
      </c>
      <c r="C9" s="4" t="inlineStr">
        <is>
          <t>A better acquisition feeds a weakly defined partial tear diagnosis.</t>
        </is>
      </c>
    </row>
    <row r="10">
      <c r="A10" s="4" t="inlineStr">
        <is>
          <t>5.5.2</t>
        </is>
      </c>
      <c r="B10" s="4" t="inlineStr">
        <is>
          <t>Sports Knee Protocol</t>
        </is>
      </c>
      <c r="C10" s="4" t="inlineStr">
        <is>
          <t>Protocol content varies under the same name.</t>
        </is>
      </c>
    </row>
    <row r="11">
      <c r="A11" s="4" t="inlineStr">
        <is>
          <t>5.5.2</t>
        </is>
      </c>
      <c r="B11" s="4" t="inlineStr">
        <is>
          <t>Sports Knee Protocol</t>
        </is>
      </c>
      <c r="C11" s="4" t="inlineStr">
        <is>
          <t>Name the suspected lesion rather than the protocol.</t>
        </is>
      </c>
    </row>
    <row r="12">
      <c r="A12" s="4" t="inlineStr">
        <is>
          <t>5.5.3</t>
        </is>
      </c>
      <c r="B12" s="4" t="inlineStr">
        <is>
          <t>Post-operative Protocol</t>
        </is>
      </c>
      <c r="C12" s="4" t="inlineStr">
        <is>
          <t>The protocol cannot be selected without knowing the implant.</t>
        </is>
      </c>
    </row>
    <row r="13">
      <c r="A13" s="4" t="inlineStr">
        <is>
          <t>5.5.3</t>
        </is>
      </c>
      <c r="B13" s="4" t="inlineStr">
        <is>
          <t>Post-operative Protocol</t>
        </is>
      </c>
      <c r="C13" s="4" t="inlineStr">
        <is>
          <t>A clinical communication failure becomes an imaging failure.</t>
        </is>
      </c>
    </row>
    <row r="14">
      <c r="A14" s="4" t="inlineStr">
        <is>
          <t>5.5.3</t>
        </is>
      </c>
      <c r="B14" s="4" t="inlineStr">
        <is>
          <t>Post-operative Protocol</t>
        </is>
      </c>
      <c r="C14" s="4" t="inlineStr">
        <is>
          <t>Artefact reduction has advanced unevenly and is not reported.</t>
        </is>
      </c>
    </row>
    <row r="15">
      <c r="A15" s="4" t="inlineStr">
        <is>
          <t>5.5.3</t>
        </is>
      </c>
      <c r="B15" s="4" t="inlineStr">
        <is>
          <t>Post-operative Protocol</t>
        </is>
      </c>
      <c r="C15" s="4" t="inlineStr">
        <is>
          <t>Those techniques alter the bone the measurements are made on.</t>
        </is>
      </c>
    </row>
    <row r="16">
      <c r="A16" s="4" t="inlineStr">
        <is>
          <t>5.5.3</t>
        </is>
      </c>
      <c r="B16" s="4" t="inlineStr">
        <is>
          <t>Post-operative Protocol</t>
        </is>
      </c>
      <c r="C16" s="4" t="inlineStr">
        <is>
          <t>Naming the implant is the cheapest improvement and the least often done.</t>
        </is>
      </c>
    </row>
    <row r="17">
      <c r="A17" s="4" t="inlineStr">
        <is>
          <t>5.5.4</t>
        </is>
      </c>
      <c r="B17" s="4" t="inlineStr">
        <is>
          <t>Paediatric Protocol</t>
        </is>
      </c>
      <c r="C17" s="4" t="inlineStr">
        <is>
          <t>The normal reference is a trajectory rather than a single standard.</t>
        </is>
      </c>
    </row>
    <row r="18">
      <c r="A18" s="4" t="inlineStr">
        <is>
          <t>5.5.4</t>
        </is>
      </c>
      <c r="B18" s="4" t="inlineStr">
        <is>
          <t>Paediatric Protocol</t>
        </is>
      </c>
      <c r="C18" s="4" t="inlineStr">
        <is>
          <t>No report states the age dependent expectation used.</t>
        </is>
      </c>
    </row>
    <row r="19">
      <c r="A19" s="4" t="inlineStr">
        <is>
          <t>5.5.4</t>
        </is>
      </c>
      <c r="B19" s="4" t="inlineStr">
        <is>
          <t>Paediatric Protocol</t>
        </is>
      </c>
      <c r="C19" s="4" t="inlineStr">
        <is>
          <t>Red marrow variation widens the normal in the population imaged for sport.</t>
        </is>
      </c>
    </row>
    <row r="20">
      <c r="A20" s="4" t="inlineStr">
        <is>
          <t>5.5.4</t>
        </is>
      </c>
      <c r="B20" s="4" t="inlineStr">
        <is>
          <t>Paediatric Protocol</t>
        </is>
      </c>
      <c r="C20" s="4" t="inlineStr">
        <is>
          <t>Measuring the proportion of physis involved is not reliable routinely.</t>
        </is>
      </c>
    </row>
    <row r="21">
      <c r="A21" s="4" t="inlineStr">
        <is>
          <t>5.5.4</t>
        </is>
      </c>
      <c r="B21" s="4" t="inlineStr">
        <is>
          <t>Paediatric Protocol</t>
        </is>
      </c>
      <c r="C21" s="4" t="inlineStr">
        <is>
          <t>Automated reading is trained predominantly on adult knees.</t>
        </is>
      </c>
    </row>
    <row r="22">
      <c r="A22" s="4" t="inlineStr">
        <is>
          <t>5.5.5</t>
        </is>
      </c>
      <c r="B22" s="4" t="inlineStr">
        <is>
          <t>Tumour Protocol</t>
        </is>
      </c>
      <c r="C22" s="4" t="inlineStr">
        <is>
          <t>A study adequate for the knee and inadequate for the lesion is worse than none.</t>
        </is>
      </c>
    </row>
    <row r="23">
      <c r="A23" s="4" t="inlineStr">
        <is>
          <t>5.5.5</t>
        </is>
      </c>
      <c r="B23" s="4" t="inlineStr">
        <is>
          <t>Tumour Protocol</t>
        </is>
      </c>
      <c r="C23" s="4" t="inlineStr">
        <is>
          <t>A biopsy route chosen without staging can enlarge the operation.</t>
        </is>
      </c>
    </row>
    <row r="24">
      <c r="A24" s="4" t="inlineStr">
        <is>
          <t>5.5.5</t>
        </is>
      </c>
      <c r="B24" s="4" t="inlineStr">
        <is>
          <t>Tumour Protocol</t>
        </is>
      </c>
      <c r="C24" s="4" t="inlineStr">
        <is>
          <t>Most incidental marrow abnormality is not tumour.</t>
        </is>
      </c>
    </row>
    <row r="25">
      <c r="A25" s="4" t="inlineStr">
        <is>
          <t>5.5.5</t>
        </is>
      </c>
      <c r="B25" s="4" t="inlineStr">
        <is>
          <t>Tumour Protocol</t>
        </is>
      </c>
      <c r="C25" s="4" t="inlineStr">
        <is>
          <t>Advanced characterisation does not replace histology.</t>
        </is>
      </c>
    </row>
    <row r="26">
      <c r="A26" s="4" t="inlineStr">
        <is>
          <t>5.5.5</t>
        </is>
      </c>
      <c r="B26" s="4" t="inlineStr">
        <is>
          <t>Tumour Protocol</t>
        </is>
      </c>
      <c r="C26" s="4" t="inlineStr">
        <is>
          <t>The imaging's job is a well informed referral.</t>
        </is>
      </c>
    </row>
    <row r="27">
      <c r="A27" s="4" t="inlineStr">
        <is>
          <t>5.5.6</t>
        </is>
      </c>
      <c r="B27" s="4" t="inlineStr">
        <is>
          <t>Bones</t>
        </is>
      </c>
      <c r="C27" s="4" t="inlineStr">
        <is>
          <t>Marrow oedema is found in asymptomatic and nearly all symptomatic knees.</t>
        </is>
      </c>
    </row>
    <row r="28">
      <c r="A28" s="4" t="inlineStr">
        <is>
          <t>5.5.6</t>
        </is>
      </c>
      <c r="B28" s="4" t="inlineStr">
        <is>
          <t>Bones</t>
        </is>
      </c>
      <c r="C28" s="4" t="inlineStr">
        <is>
          <t>Population level associations are applied to individuals.</t>
        </is>
      </c>
    </row>
    <row r="29">
      <c r="A29" s="4" t="inlineStr">
        <is>
          <t>5.5.6</t>
        </is>
      </c>
      <c r="B29" s="4" t="inlineStr">
        <is>
          <t>Bones</t>
        </is>
      </c>
      <c r="C29" s="4" t="inlineStr">
        <is>
          <t>The normal red marrow boundary is wide and moves.</t>
        </is>
      </c>
    </row>
    <row r="30">
      <c r="A30" s="4" t="inlineStr">
        <is>
          <t>5.5.6</t>
        </is>
      </c>
      <c r="B30" s="4" t="inlineStr">
        <is>
          <t>Bones</t>
        </is>
      </c>
      <c r="C30" s="4" t="inlineStr">
        <is>
          <t>Distribution and symmetry rather than signal are the discriminators.</t>
        </is>
      </c>
    </row>
    <row r="31">
      <c r="A31" s="4" t="inlineStr">
        <is>
          <t>5.5.6</t>
        </is>
      </c>
      <c r="B31" s="4" t="inlineStr">
        <is>
          <t>Bones</t>
        </is>
      </c>
      <c r="C31" s="4" t="inlineStr">
        <is>
          <t>A qualitative finding is used quantitatively.</t>
        </is>
      </c>
    </row>
    <row r="32">
      <c r="A32" s="4" t="inlineStr">
        <is>
          <t>5.5.7</t>
        </is>
      </c>
      <c r="B32" s="4" t="inlineStr">
        <is>
          <t>Cartilage</t>
        </is>
      </c>
      <c r="C32" s="4" t="inlineStr">
        <is>
          <t>Morphology detects a defect and says nothing about mechanical state.</t>
        </is>
      </c>
    </row>
    <row r="33">
      <c r="A33" s="4" t="inlineStr">
        <is>
          <t>5.5.7</t>
        </is>
      </c>
      <c r="B33" s="4" t="inlineStr">
        <is>
          <t>Cartilage</t>
        </is>
      </c>
      <c r="C33" s="4" t="inlineStr">
        <is>
          <t>Compositional sequences do not transfer between sequences and field strengths.</t>
        </is>
      </c>
    </row>
    <row r="34">
      <c r="A34" s="4" t="inlineStr">
        <is>
          <t>5.5.7</t>
        </is>
      </c>
      <c r="B34" s="4" t="inlineStr">
        <is>
          <t>Cartilage</t>
        </is>
      </c>
      <c r="C34" s="4" t="inlineStr">
        <is>
          <t>Grading systems were derived on particular sequences.</t>
        </is>
      </c>
    </row>
    <row r="35">
      <c r="A35" s="4" t="inlineStr">
        <is>
          <t>5.5.7</t>
        </is>
      </c>
      <c r="B35" s="4" t="inlineStr">
        <is>
          <t>Cartilage</t>
        </is>
      </c>
      <c r="C35" s="4" t="inlineStr">
        <is>
          <t>Cartilage is measured unloaded and deforms under load.</t>
        </is>
      </c>
    </row>
    <row r="36">
      <c r="A36" s="4" t="inlineStr">
        <is>
          <t>5.5.7</t>
        </is>
      </c>
      <c r="B36" s="4" t="inlineStr">
        <is>
          <t>Cartilage</t>
        </is>
      </c>
      <c r="C36" s="4" t="inlineStr">
        <is>
          <t>The only modality that images cartilage images its shape.</t>
        </is>
      </c>
    </row>
    <row r="37">
      <c r="A37" s="4" t="inlineStr">
        <is>
          <t>5.5.8</t>
        </is>
      </c>
      <c r="B37" s="4" t="inlineStr">
        <is>
          <t>Menisci</t>
        </is>
      </c>
      <c r="C37" s="4" t="inlineStr">
        <is>
          <t>The imaging performs best where management is least ambiguous.</t>
        </is>
      </c>
    </row>
    <row r="38">
      <c r="A38" s="4" t="inlineStr">
        <is>
          <t>5.5.8</t>
        </is>
      </c>
      <c r="B38" s="4" t="inlineStr">
        <is>
          <t>Menisci</t>
        </is>
      </c>
      <c r="C38" s="4" t="inlineStr">
        <is>
          <t>Intermediate signal in an older meniscus has no agreed meaning.</t>
        </is>
      </c>
    </row>
    <row r="39">
      <c r="A39" s="4" t="inlineStr">
        <is>
          <t>5.5.8</t>
        </is>
      </c>
      <c r="B39" s="4" t="inlineStr">
        <is>
          <t>Menisci</t>
        </is>
      </c>
      <c r="C39" s="4" t="inlineStr">
        <is>
          <t>That population is where a report most often leads to an unsupported intervention.</t>
        </is>
      </c>
    </row>
    <row r="40">
      <c r="A40" s="4" t="inlineStr">
        <is>
          <t>5.5.8</t>
        </is>
      </c>
      <c r="B40" s="4" t="inlineStr">
        <is>
          <t>Menisci</t>
        </is>
      </c>
      <c r="C40" s="4" t="inlineStr">
        <is>
          <t>The ambiguity is partly a protocol artefact.</t>
        </is>
      </c>
    </row>
    <row r="41">
      <c r="A41" s="4" t="inlineStr">
        <is>
          <t>5.5.8</t>
        </is>
      </c>
      <c r="B41" s="4" t="inlineStr">
        <is>
          <t>Menisci</t>
        </is>
      </c>
      <c r="C41" s="4" t="inlineStr">
        <is>
          <t>Name the imitators excluded, report intermediate as intermediate, measure extrusion.</t>
        </is>
      </c>
    </row>
    <row r="42">
      <c r="A42" s="4" t="inlineStr">
        <is>
          <t>5.5.9</t>
        </is>
      </c>
      <c r="B42" s="4" t="inlineStr">
        <is>
          <t>Ligaments</t>
        </is>
      </c>
      <c r="C42" s="4" t="inlineStr">
        <is>
          <t>A continuous ligament can be functionally lax.</t>
        </is>
      </c>
    </row>
    <row r="43">
      <c r="A43" s="4" t="inlineStr">
        <is>
          <t>5.5.9</t>
        </is>
      </c>
      <c r="B43" s="4" t="inlineStr">
        <is>
          <t>Ligaments</t>
        </is>
      </c>
      <c r="C43" s="4" t="inlineStr">
        <is>
          <t>Normal ligament signal has no agreed definition.</t>
        </is>
      </c>
    </row>
    <row r="44">
      <c r="A44" s="4" t="inlineStr">
        <is>
          <t>5.5.9</t>
        </is>
      </c>
      <c r="B44" s="4" t="inlineStr">
        <is>
          <t>Ligaments</t>
        </is>
      </c>
      <c r="C44" s="4" t="inlineStr">
        <is>
          <t>The least reproducible call is a definitional problem.</t>
        </is>
      </c>
    </row>
    <row r="45">
      <c r="A45" s="4" t="inlineStr">
        <is>
          <t>5.5.9</t>
        </is>
      </c>
      <c r="B45" s="4" t="inlineStr">
        <is>
          <t>Ligaments</t>
        </is>
      </c>
      <c r="C45" s="4" t="inlineStr">
        <is>
          <t>Knee position is not recorded and cannot be corrected for.</t>
        </is>
      </c>
    </row>
    <row r="46">
      <c r="A46" s="4" t="inlineStr">
        <is>
          <t>5.5.9</t>
        </is>
      </c>
      <c r="B46" s="4" t="inlineStr">
        <is>
          <t>Ligaments</t>
        </is>
      </c>
      <c r="C46" s="4" t="inlineStr">
        <is>
          <t>Isotropic acquisition removes the oblique plane problem.</t>
        </is>
      </c>
    </row>
    <row r="47">
      <c r="A47" s="4" t="inlineStr">
        <is>
          <t>5.5.10</t>
        </is>
      </c>
      <c r="B47" s="4" t="inlineStr">
        <is>
          <t>Tendons</t>
        </is>
      </c>
      <c r="C47" s="4" t="inlineStr">
        <is>
          <t>The two modalities are complementary and treated as alternatives.</t>
        </is>
      </c>
    </row>
    <row r="48">
      <c r="A48" s="4" t="inlineStr">
        <is>
          <t>5.5.10</t>
        </is>
      </c>
      <c r="B48" s="4" t="inlineStr">
        <is>
          <t>Tendons</t>
        </is>
      </c>
      <c r="C48" s="4" t="inlineStr">
        <is>
          <t>Both have an orientation dependent false positive from different physics.</t>
        </is>
      </c>
    </row>
    <row r="49">
      <c r="A49" s="4" t="inlineStr">
        <is>
          <t>5.5.10</t>
        </is>
      </c>
      <c r="B49" s="4" t="inlineStr">
        <is>
          <t>Tendons</t>
        </is>
      </c>
      <c r="C49" s="4" t="inlineStr">
        <is>
          <t>Both are confounded by the appearance occurring without symptoms.</t>
        </is>
      </c>
    </row>
    <row r="50">
      <c r="A50" s="4" t="inlineStr">
        <is>
          <t>5.5.10</t>
        </is>
      </c>
      <c r="B50" s="4" t="inlineStr">
        <is>
          <t>Tendons</t>
        </is>
      </c>
      <c r="C50" s="4" t="inlineStr">
        <is>
          <t>Ultra short echo time imaging changes the problem rather than removing it.</t>
        </is>
      </c>
    </row>
    <row r="51">
      <c r="A51" s="4" t="inlineStr">
        <is>
          <t>5.5.10</t>
        </is>
      </c>
      <c r="B51" s="4" t="inlineStr">
        <is>
          <t>Tendons</t>
        </is>
      </c>
      <c r="C51" s="4" t="inlineStr">
        <is>
          <t>Ultrasound for an isolated tendon, this modality when anything else is in question.</t>
        </is>
      </c>
    </row>
    <row r="52">
      <c r="A52" s="4" t="inlineStr">
        <is>
          <t>5.5.11</t>
        </is>
      </c>
      <c r="B52" s="4" t="inlineStr">
        <is>
          <t>Synovium</t>
        </is>
      </c>
      <c r="C52" s="4" t="inlineStr">
        <is>
          <t>The answering study needs contrast the routine protocol omits.</t>
        </is>
      </c>
    </row>
    <row r="53">
      <c r="A53" s="4" t="inlineStr">
        <is>
          <t>5.5.11</t>
        </is>
      </c>
      <c r="B53" s="4" t="inlineStr">
        <is>
          <t>Synovium</t>
        </is>
      </c>
      <c r="C53" s="4" t="inlineStr">
        <is>
          <t>The request rarely says a synovial question is being asked.</t>
        </is>
      </c>
    </row>
    <row r="54">
      <c r="A54" s="4" t="inlineStr">
        <is>
          <t>5.5.11</t>
        </is>
      </c>
      <c r="B54" s="4" t="inlineStr">
        <is>
          <t>Synovium</t>
        </is>
      </c>
      <c r="C54" s="4" t="inlineStr">
        <is>
          <t>Synovitis occurs in mechanically driven arthritis too.</t>
        </is>
      </c>
    </row>
    <row r="55">
      <c r="A55" s="4" t="inlineStr">
        <is>
          <t>5.5.11</t>
        </is>
      </c>
      <c r="B55" s="4" t="inlineStr">
        <is>
          <t>Synovium</t>
        </is>
      </c>
      <c r="C55" s="4" t="inlineStr">
        <is>
          <t>Quantitative synovial measurement is not routine.</t>
        </is>
      </c>
    </row>
    <row r="56">
      <c r="A56" s="4" t="inlineStr">
        <is>
          <t>5.5.11</t>
        </is>
      </c>
      <c r="B56" s="4" t="inlineStr">
        <is>
          <t>Synovium</t>
        </is>
      </c>
      <c r="C56" s="4" t="inlineStr">
        <is>
          <t>Ultrasound with Doppler assesses activity and is rarely used alongside.</t>
        </is>
      </c>
    </row>
    <row r="57">
      <c r="A57" s="4" t="inlineStr">
        <is>
          <t>5.5.12</t>
        </is>
      </c>
      <c r="B57" s="4" t="inlineStr">
        <is>
          <t>Bursa</t>
        </is>
      </c>
      <c r="C57" s="4" t="inlineStr">
        <is>
          <t>Sensitivity produces a list rather than a diagnosis.</t>
        </is>
      </c>
    </row>
    <row r="58">
      <c r="A58" s="4" t="inlineStr">
        <is>
          <t>5.5.12</t>
        </is>
      </c>
      <c r="B58" s="4" t="inlineStr">
        <is>
          <t>Bursa</t>
        </is>
      </c>
      <c r="C58" s="4" t="inlineStr">
        <is>
          <t>Each reported item imposes a cost without a benefit.</t>
        </is>
      </c>
    </row>
    <row r="59">
      <c r="A59" s="4" t="inlineStr">
        <is>
          <t>5.5.12</t>
        </is>
      </c>
      <c r="B59" s="4" t="inlineStr">
        <is>
          <t>Bursa</t>
        </is>
      </c>
      <c r="C59" s="4" t="inlineStr">
        <is>
          <t>The popliteal cyst's cause is the actual finding and is often omitted.</t>
        </is>
      </c>
    </row>
    <row r="60">
      <c r="A60" s="4" t="inlineStr">
        <is>
          <t>5.5.12</t>
        </is>
      </c>
      <c r="B60" s="4" t="inlineStr">
        <is>
          <t>Bursa</t>
        </is>
      </c>
      <c r="C60" s="4" t="inlineStr">
        <is>
          <t>Ultrasound is the better modality for an isolated bursal question.</t>
        </is>
      </c>
    </row>
    <row r="61">
      <c r="A61" s="4" t="inlineStr">
        <is>
          <t>5.5.12</t>
        </is>
      </c>
      <c r="B61" s="4" t="inlineStr">
        <is>
          <t>Bursa</t>
        </is>
      </c>
      <c r="C61" s="4" t="inlineStr">
        <is>
          <t>Say explicitly when fluid is within normal limits.</t>
        </is>
      </c>
    </row>
    <row r="62">
      <c r="A62" s="4" t="inlineStr">
        <is>
          <t>5.5.13</t>
        </is>
      </c>
      <c r="B62" s="4" t="inlineStr">
        <is>
          <t>Neurovascular Structures</t>
        </is>
      </c>
      <c r="C62" s="4" t="inlineStr">
        <is>
          <t>They are in every field of view and outside almost every question.</t>
        </is>
      </c>
    </row>
    <row r="63">
      <c r="A63" s="4" t="inlineStr">
        <is>
          <t>5.5.13</t>
        </is>
      </c>
      <c r="B63" s="4" t="inlineStr">
        <is>
          <t>Neurovascular Structures</t>
        </is>
      </c>
      <c r="C63" s="4" t="inlineStr">
        <is>
          <t>They are reviewed by habit rather than by protocol, and habits vary.</t>
        </is>
      </c>
    </row>
    <row r="64">
      <c r="A64" s="4" t="inlineStr">
        <is>
          <t>5.5.13</t>
        </is>
      </c>
      <c r="B64" s="4" t="inlineStr">
        <is>
          <t>Neurovascular Structures</t>
        </is>
      </c>
      <c r="C64" s="4" t="inlineStr">
        <is>
          <t>Low frequency and high consequence is the worst combination for habit.</t>
        </is>
      </c>
    </row>
    <row r="65">
      <c r="A65" s="4" t="inlineStr">
        <is>
          <t>5.5.13</t>
        </is>
      </c>
      <c r="B65" s="4" t="inlineStr">
        <is>
          <t>Neurovascular Structures</t>
        </is>
      </c>
      <c r="C65" s="4" t="inlineStr">
        <is>
          <t>A mandatory report field would close the gap and no template has one.</t>
        </is>
      </c>
    </row>
    <row r="66">
      <c r="A66" s="4" t="inlineStr">
        <is>
          <t>5.5.13</t>
        </is>
      </c>
      <c r="B66" s="4" t="inlineStr">
        <is>
          <t>Neurovascular Structures</t>
        </is>
      </c>
      <c r="C66" s="4" t="inlineStr">
        <is>
          <t>What a study does not show is usually a choice rather than a limit.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5.5.1-P1</t>
        </is>
      </c>
      <c r="B3" s="4" t="inlineStr">
        <is>
          <t>5.5.1</t>
        </is>
      </c>
      <c r="C3" s="4" t="inlineStr">
        <is>
          <t>medical_student</t>
        </is>
      </c>
      <c r="D3" s="4" t="inlineStr">
        <is>
          <t>Use a dedicated knee coil and position the knee in slight flexion with external rotation, which brings the cruciate into plane.</t>
        </is>
      </c>
      <c r="E3" s="4" t="inlineStr"/>
      <c r="F3" s="4" t="inlineStr"/>
      <c r="G3" s="4" t="inlineStr"/>
    </row>
    <row r="4">
      <c r="A4" s="4" t="inlineStr">
        <is>
          <t>5.5.1-P2</t>
        </is>
      </c>
      <c r="B4" s="4" t="inlineStr">
        <is>
          <t>5.5.1</t>
        </is>
      </c>
      <c r="C4" s="4" t="inlineStr">
        <is>
          <t>medical_student</t>
        </is>
      </c>
      <c r="D4" s="4" t="inlineStr">
        <is>
          <t>Keep slice thickness small enough that a meniscus is not averaged with the fat beside it.</t>
        </is>
      </c>
      <c r="E4" s="4" t="inlineStr"/>
      <c r="F4" s="4" t="inlineStr"/>
      <c r="G4" s="4" t="inlineStr"/>
    </row>
    <row r="5">
      <c r="A5" s="4" t="inlineStr">
        <is>
          <t>5.5.1-P3</t>
        </is>
      </c>
      <c r="B5" s="4" t="inlineStr">
        <is>
          <t>5.5.1</t>
        </is>
      </c>
      <c r="C5" s="4" t="inlineStr">
        <is>
          <t>mrcs</t>
        </is>
      </c>
      <c r="D5" s="4" t="inlineStr">
        <is>
          <t>Say that the request should state the clinical question.</t>
        </is>
      </c>
      <c r="E5" s="4" t="inlineStr"/>
      <c r="F5" s="4" t="inlineStr"/>
      <c r="G5" s="4" t="inlineStr"/>
    </row>
    <row r="6">
      <c r="A6" s="4" t="inlineStr">
        <is>
          <t>5.5.2-P1</t>
        </is>
      </c>
      <c r="B6" s="4" t="inlineStr">
        <is>
          <t>5.5.2</t>
        </is>
      </c>
      <c r="C6" s="4" t="inlineStr">
        <is>
          <t>medical_student</t>
        </is>
      </c>
      <c r="D6" s="4" t="inlineStr">
        <is>
          <t>Add an oblique plane along the cruciate where a bundle level question is asked.</t>
        </is>
      </c>
      <c r="E6" s="4" t="inlineStr"/>
      <c r="F6" s="4" t="inlineStr"/>
      <c r="G6" s="4" t="inlineStr"/>
    </row>
    <row r="7">
      <c r="A7" s="4" t="inlineStr">
        <is>
          <t>5.5.2-P2</t>
        </is>
      </c>
      <c r="B7" s="4" t="inlineStr">
        <is>
          <t>5.5.2</t>
        </is>
      </c>
      <c r="C7" s="4" t="inlineStr">
        <is>
          <t>medical_student</t>
        </is>
      </c>
      <c r="D7" s="4" t="inlineStr">
        <is>
          <t>Accept the longer scan time, which is the cost and the reason it is not the default.</t>
        </is>
      </c>
      <c r="E7" s="4" t="inlineStr"/>
      <c r="F7" s="4" t="inlineStr"/>
      <c r="G7" s="4" t="inlineStr"/>
    </row>
    <row r="8">
      <c r="A8" s="4" t="inlineStr">
        <is>
          <t>5.5.2-P3</t>
        </is>
      </c>
      <c r="B8" s="4" t="inlineStr">
        <is>
          <t>5.5.2</t>
        </is>
      </c>
      <c r="C8" s="4" t="inlineStr">
        <is>
          <t>mrcs</t>
        </is>
      </c>
      <c r="D8" s="4" t="inlineStr">
        <is>
          <t>Say that it must be requested by name, since it is not the default.</t>
        </is>
      </c>
      <c r="E8" s="4" t="inlineStr"/>
      <c r="F8" s="4" t="inlineStr"/>
      <c r="G8" s="4" t="inlineStr"/>
    </row>
    <row r="9">
      <c r="A9" s="4" t="inlineStr">
        <is>
          <t>5.5.2-P4</t>
        </is>
      </c>
      <c r="B9" s="4" t="inlineStr">
        <is>
          <t>5.5.2</t>
        </is>
      </c>
      <c r="C9" s="4" t="inlineStr">
        <is>
          <t>mrcs</t>
        </is>
      </c>
      <c r="D9" s="4" t="inlineStr">
        <is>
          <t>Say that the request should state the suspected injury.</t>
        </is>
      </c>
      <c r="E9" s="4" t="inlineStr"/>
      <c r="F9" s="4" t="inlineStr"/>
      <c r="G9" s="4" t="inlineStr"/>
    </row>
    <row r="10">
      <c r="A10" s="4" t="inlineStr">
        <is>
          <t>5.5.3-P1</t>
        </is>
      </c>
      <c r="B10" s="4" t="inlineStr">
        <is>
          <t>5.5.3</t>
        </is>
      </c>
      <c r="C10" s="4" t="inlineStr">
        <is>
          <t>medical_student</t>
        </is>
      </c>
      <c r="D10" s="4" t="inlineStr">
        <is>
          <t>Use inversion recovery fat suppression, which does not depend on field uniformity.</t>
        </is>
      </c>
      <c r="E10" s="4" t="inlineStr"/>
      <c r="F10" s="4" t="inlineStr"/>
      <c r="G10" s="4" t="inlineStr"/>
    </row>
    <row r="11">
      <c r="A11" s="4" t="inlineStr">
        <is>
          <t>5.5.3-P2</t>
        </is>
      </c>
      <c r="B11" s="4" t="inlineStr">
        <is>
          <t>5.5.3</t>
        </is>
      </c>
      <c r="C11" s="4" t="inlineStr">
        <is>
          <t>medical_student</t>
        </is>
      </c>
      <c r="D11" s="4" t="inlineStr">
        <is>
          <t>Prefer spin echo sequences, since gradient echo sequences are more sensitive to field distortion.</t>
        </is>
      </c>
      <c r="E11" s="4" t="inlineStr"/>
      <c r="F11" s="4" t="inlineStr"/>
      <c r="G11" s="4" t="inlineStr"/>
    </row>
    <row r="12">
      <c r="A12" s="4" t="inlineStr">
        <is>
          <t>5.5.3-P3</t>
        </is>
      </c>
      <c r="B12" s="4" t="inlineStr">
        <is>
          <t>5.5.3</t>
        </is>
      </c>
      <c r="C12" s="4" t="inlineStr">
        <is>
          <t>medical_student</t>
        </is>
      </c>
      <c r="D12" s="4" t="inlineStr">
        <is>
          <t>Expect residual artefact and read around it rather than through it.</t>
        </is>
      </c>
      <c r="E12" s="4" t="inlineStr"/>
      <c r="F12" s="4" t="inlineStr"/>
      <c r="G12" s="4" t="inlineStr"/>
    </row>
    <row r="13">
      <c r="A13" s="4" t="inlineStr">
        <is>
          <t>5.5.3-P4</t>
        </is>
      </c>
      <c r="B13" s="4" t="inlineStr">
        <is>
          <t>5.5.3</t>
        </is>
      </c>
      <c r="C13" s="4" t="inlineStr">
        <is>
          <t>frcs</t>
        </is>
      </c>
      <c r="D13" s="4" t="inlineStr">
        <is>
          <t>A study acquired on the routine protocol in a metal bearing knee should be repeated rather than reported, which is a decision worth making early.</t>
        </is>
      </c>
      <c r="E13" s="4" t="inlineStr"/>
      <c r="F13" s="4" t="inlineStr"/>
      <c r="G13" s="4" t="inlineStr"/>
    </row>
    <row r="14">
      <c r="A14" s="4" t="inlineStr">
        <is>
          <t>5.5.4-P1</t>
        </is>
      </c>
      <c r="B14" s="4" t="inlineStr">
        <is>
          <t>5.5.4</t>
        </is>
      </c>
      <c r="C14" s="4" t="inlineStr">
        <is>
          <t>medical_student</t>
        </is>
      </c>
      <c r="D14" s="4" t="inlineStr">
        <is>
          <t>Use a smaller field of view and a coil matched to the limb, which maintains resolution in a smaller joint.</t>
        </is>
      </c>
      <c r="E14" s="4" t="inlineStr"/>
      <c r="F14" s="4" t="inlineStr"/>
      <c r="G14" s="4" t="inlineStr"/>
    </row>
    <row r="15">
      <c r="A15" s="4" t="inlineStr">
        <is>
          <t>5.5.4-P2</t>
        </is>
      </c>
      <c r="B15" s="4" t="inlineStr">
        <is>
          <t>5.5.4</t>
        </is>
      </c>
      <c r="C15" s="4" t="inlineStr">
        <is>
          <t>medical_student</t>
        </is>
      </c>
      <c r="D15" s="4" t="inlineStr">
        <is>
          <t>Expect red marrow and know its normal distribution for the age.</t>
        </is>
      </c>
      <c r="E15" s="4" t="inlineStr"/>
      <c r="F15" s="4" t="inlineStr"/>
      <c r="G15" s="4" t="inlineStr"/>
    </row>
    <row r="16">
      <c r="A16" s="4" t="inlineStr">
        <is>
          <t>5.5.4-P3</t>
        </is>
      </c>
      <c r="B16" s="4" t="inlineStr">
        <is>
          <t>5.5.4</t>
        </is>
      </c>
      <c r="C16" s="4" t="inlineStr">
        <is>
          <t>medical_student</t>
        </is>
      </c>
      <c r="D16" s="4" t="inlineStr">
        <is>
          <t>Avoid contrast unless the question requires it, which it usually does not.</t>
        </is>
      </c>
      <c r="E16" s="4" t="inlineStr"/>
      <c r="F16" s="4" t="inlineStr"/>
      <c r="G16" s="4" t="inlineStr"/>
    </row>
    <row r="17">
      <c r="A17" s="4" t="inlineStr">
        <is>
          <t>5.5.4-P4</t>
        </is>
      </c>
      <c r="B17" s="4" t="inlineStr">
        <is>
          <t>5.5.4</t>
        </is>
      </c>
      <c r="C17" s="4" t="inlineStr">
        <is>
          <t>fellowship</t>
        </is>
      </c>
      <c r="D17" s="4" t="inlineStr">
        <is>
          <t>Automated reading is trained predominantly on adult knees, so a paediatric study is the setting where it should be trusted least and where normal variation is greatest.</t>
        </is>
      </c>
      <c r="E17" s="4" t="inlineStr"/>
      <c r="F17" s="4" t="inlineStr"/>
      <c r="G17" s="4" t="inlineStr"/>
    </row>
    <row r="18">
      <c r="A18" s="4" t="inlineStr">
        <is>
          <t>5.5.5-P1</t>
        </is>
      </c>
      <c r="B18" s="4" t="inlineStr">
        <is>
          <t>5.5.5</t>
        </is>
      </c>
      <c r="C18" s="4" t="inlineStr">
        <is>
          <t>medical_student</t>
        </is>
      </c>
      <c r="D18" s="4" t="inlineStr">
        <is>
          <t>Do not biopsy or plan on this study alone, because a suspected tumour belongs to a specialist service.</t>
        </is>
      </c>
      <c r="E18" s="4" t="inlineStr"/>
      <c r="F18" s="4" t="inlineStr"/>
      <c r="G18" s="4" t="inlineStr"/>
    </row>
    <row r="19">
      <c r="A19" s="4" t="inlineStr">
        <is>
          <t>5.5.5-P2</t>
        </is>
      </c>
      <c r="B19" s="4" t="inlineStr">
        <is>
          <t>5.5.5</t>
        </is>
      </c>
      <c r="C19" s="4" t="inlineStr">
        <is>
          <t>fellowship</t>
        </is>
      </c>
      <c r="D19" s="4" t="inlineStr">
        <is>
          <t>The study's job is to route the patient, so a study that is adequate for the knee and inadequate for the lesion is worse than no study, because it supports a local decision that should not have been made.</t>
        </is>
      </c>
      <c r="E19" s="4" t="inlineStr"/>
      <c r="F19" s="4" t="inlineStr"/>
      <c r="G19" s="4" t="inlineStr"/>
    </row>
    <row r="20">
      <c r="A20" s="4" t="inlineStr">
        <is>
          <t>5.5.6-P1</t>
        </is>
      </c>
      <c r="B20" s="4" t="inlineStr">
        <is>
          <t>5.5.6</t>
        </is>
      </c>
      <c r="C20" s="4" t="inlineStr">
        <is>
          <t>medical_student</t>
        </is>
      </c>
      <c r="D20" s="4" t="inlineStr">
        <is>
          <t>Assess the marrow on a T1 weighted sequence, where replacement is most conspicuous.</t>
        </is>
      </c>
      <c r="E20" s="4" t="inlineStr"/>
      <c r="F20" s="4" t="inlineStr"/>
      <c r="G20" s="4" t="inlineStr"/>
    </row>
    <row r="21">
      <c r="A21" s="4" t="inlineStr">
        <is>
          <t>5.5.6-P2</t>
        </is>
      </c>
      <c r="B21" s="4" t="inlineStr">
        <is>
          <t>5.5.6</t>
        </is>
      </c>
      <c r="C21" s="4" t="inlineStr">
        <is>
          <t>medical_student</t>
        </is>
      </c>
      <c r="D21" s="4" t="inlineStr">
        <is>
          <t>Assess for oedema on a fat suppressed fluid sensitive sequence.</t>
        </is>
      </c>
      <c r="E21" s="4" t="inlineStr"/>
      <c r="F21" s="4" t="inlineStr"/>
      <c r="G21" s="4" t="inlineStr"/>
    </row>
    <row r="22">
      <c r="A22" s="4" t="inlineStr">
        <is>
          <t>5.5.6-P3</t>
        </is>
      </c>
      <c r="B22" s="4" t="inlineStr">
        <is>
          <t>5.5.6</t>
        </is>
      </c>
      <c r="C22" s="4" t="inlineStr">
        <is>
          <t>medical_student</t>
        </is>
      </c>
      <c r="D22" s="4" t="inlineStr">
        <is>
          <t>Assess the cortex as a dark line and accept that a fine cortical detail is a radiographic or computed tomography question.</t>
        </is>
      </c>
      <c r="E22" s="4" t="inlineStr"/>
      <c r="F22" s="4" t="inlineStr"/>
      <c r="G22" s="4" t="inlineStr"/>
    </row>
    <row r="23">
      <c r="A23" s="4" t="inlineStr">
        <is>
          <t>5.5.6-P4</t>
        </is>
      </c>
      <c r="B23" s="4" t="inlineStr">
        <is>
          <t>5.5.6</t>
        </is>
      </c>
      <c r="C23" s="4" t="inlineStr">
        <is>
          <t>medical_student</t>
        </is>
      </c>
      <c r="D23" s="4" t="inlineStr">
        <is>
          <t>Assess the subchondral plate separately, since it is where most knee marrow pathology sits.</t>
        </is>
      </c>
      <c r="E23" s="4" t="inlineStr"/>
      <c r="F23" s="4" t="inlineStr"/>
      <c r="G23" s="4" t="inlineStr"/>
    </row>
    <row r="24">
      <c r="A24" s="4" t="inlineStr">
        <is>
          <t>5.5.7-P1</t>
        </is>
      </c>
      <c r="B24" s="4" t="inlineStr">
        <is>
          <t>5.5.7</t>
        </is>
      </c>
      <c r="C24" s="4" t="inlineStr">
        <is>
          <t>medical_student</t>
        </is>
      </c>
      <c r="D24" s="4" t="inlineStr">
        <is>
          <t>Use a sequence with good contrast between cartilage and joint fluid, which the gradient echo family provides.</t>
        </is>
      </c>
      <c r="E24" s="4" t="inlineStr"/>
      <c r="F24" s="4" t="inlineStr"/>
      <c r="G24" s="4" t="inlineStr"/>
    </row>
    <row r="25">
      <c r="A25" s="4" t="inlineStr">
        <is>
          <t>5.5.7-P2</t>
        </is>
      </c>
      <c r="B25" s="4" t="inlineStr">
        <is>
          <t>5.5.7</t>
        </is>
      </c>
      <c r="C25" s="4" t="inlineStr">
        <is>
          <t>medical_student</t>
        </is>
      </c>
      <c r="D25" s="4" t="inlineStr">
        <is>
          <t>Use thin slices, because a thin layer is averaged with what is beside it.</t>
        </is>
      </c>
      <c r="E25" s="4" t="inlineStr"/>
      <c r="F25" s="4" t="inlineStr"/>
      <c r="G25" s="4" t="inlineStr"/>
    </row>
    <row r="26">
      <c r="A26" s="4" t="inlineStr">
        <is>
          <t>5.5.7-P3</t>
        </is>
      </c>
      <c r="B26" s="4" t="inlineStr">
        <is>
          <t>5.5.7</t>
        </is>
      </c>
      <c r="C26" s="4" t="inlineStr">
        <is>
          <t>medical_student</t>
        </is>
      </c>
      <c r="D26" s="4" t="inlineStr">
        <is>
          <t>Assess the surface separately from the substance, since a surface defect and an internal change are different findings.</t>
        </is>
      </c>
      <c r="E26" s="4" t="inlineStr"/>
      <c r="F26" s="4" t="inlineStr"/>
      <c r="G26" s="4" t="inlineStr"/>
    </row>
    <row r="27">
      <c r="A27" s="4" t="inlineStr">
        <is>
          <t>5.5.7-P4</t>
        </is>
      </c>
      <c r="B27" s="4" t="inlineStr">
        <is>
          <t>5.5.7</t>
        </is>
      </c>
      <c r="C27" s="4" t="inlineStr">
        <is>
          <t>medical_student</t>
        </is>
      </c>
      <c r="D27" s="4" t="inlineStr">
        <is>
          <t>Assess the subchondral plate and marrow alongside, because the two change together.</t>
        </is>
      </c>
      <c r="E27" s="4" t="inlineStr"/>
      <c r="F27" s="4" t="inlineStr"/>
      <c r="G27" s="4" t="inlineStr"/>
    </row>
    <row r="28">
      <c r="A28" s="4" t="inlineStr">
        <is>
          <t>5.5.8-P1</t>
        </is>
      </c>
      <c r="B28" s="4" t="inlineStr">
        <is>
          <t>5.5.8</t>
        </is>
      </c>
      <c r="C28" s="4" t="inlineStr">
        <is>
          <t>medical_student</t>
        </is>
      </c>
      <c r="D28" s="4" t="inlineStr">
        <is>
          <t>Assess on the intermediate weighted sequence, which gives the internal detail.</t>
        </is>
      </c>
      <c r="E28" s="4" t="inlineStr"/>
      <c r="F28" s="4" t="inlineStr"/>
      <c r="G28" s="4" t="inlineStr"/>
    </row>
    <row r="29">
      <c r="A29" s="4" t="inlineStr">
        <is>
          <t>5.5.8-P2</t>
        </is>
      </c>
      <c r="B29" s="4" t="inlineStr">
        <is>
          <t>5.5.8</t>
        </is>
      </c>
      <c r="C29" s="4" t="inlineStr">
        <is>
          <t>medical_student</t>
        </is>
      </c>
      <c r="D29" s="4" t="inlineStr">
        <is>
          <t>Assess in the sagittal and coronal planes, and confirm any finding on both.</t>
        </is>
      </c>
      <c r="E29" s="4" t="inlineStr"/>
      <c r="F29" s="4" t="inlineStr"/>
      <c r="G29" s="4" t="inlineStr"/>
    </row>
    <row r="30">
      <c r="A30" s="4" t="inlineStr">
        <is>
          <t>5.5.8-P3</t>
        </is>
      </c>
      <c r="B30" s="4" t="inlineStr">
        <is>
          <t>5.5.8</t>
        </is>
      </c>
      <c r="C30" s="4" t="inlineStr">
        <is>
          <t>medical_student</t>
        </is>
      </c>
      <c r="D30" s="4" t="inlineStr">
        <is>
          <t>Follow each horn to its root attachment, since the roots are at the edge of attention.</t>
        </is>
      </c>
      <c r="E30" s="4" t="inlineStr"/>
      <c r="F30" s="4" t="inlineStr"/>
      <c r="G30" s="4" t="inlineStr"/>
    </row>
    <row r="31">
      <c r="A31" s="4" t="inlineStr">
        <is>
          <t>5.5.8-P4</t>
        </is>
      </c>
      <c r="B31" s="4" t="inlineStr">
        <is>
          <t>5.5.8</t>
        </is>
      </c>
      <c r="C31" s="4" t="inlineStr">
        <is>
          <t>medical_student</t>
        </is>
      </c>
      <c r="D31" s="4" t="inlineStr">
        <is>
          <t>Assess the position of the body relative to the tibial margin.</t>
        </is>
      </c>
      <c r="E31" s="4" t="inlineStr"/>
      <c r="F31" s="4" t="inlineStr"/>
      <c r="G31" s="4" t="inlineStr"/>
    </row>
    <row r="32">
      <c r="A32" s="4" t="inlineStr">
        <is>
          <t>5.5.8-P5</t>
        </is>
      </c>
      <c r="B32" s="4" t="inlineStr">
        <is>
          <t>5.5.8</t>
        </is>
      </c>
      <c r="C32" s="4" t="inlineStr">
        <is>
          <t>medical_student</t>
        </is>
      </c>
      <c r="D32" s="4" t="inlineStr">
        <is>
          <t>- Each horn must be followed to its root.</t>
        </is>
      </c>
      <c r="E32" s="4" t="inlineStr"/>
      <c r="F32" s="4" t="inlineStr"/>
      <c r="G32" s="4" t="inlineStr"/>
    </row>
    <row r="33">
      <c r="A33" s="4" t="inlineStr">
        <is>
          <t>5.5.9-P1</t>
        </is>
      </c>
      <c r="B33" s="4" t="inlineStr">
        <is>
          <t>5.5.9</t>
        </is>
      </c>
      <c r="C33" s="4" t="inlineStr">
        <is>
          <t>medical_student</t>
        </is>
      </c>
      <c r="D33" s="4" t="inlineStr">
        <is>
          <t>Assess the cruciates on the sagittal images with the knee in slight external rotation, which brings the anterior cruciate into plane.</t>
        </is>
      </c>
      <c r="E33" s="4" t="inlineStr"/>
      <c r="F33" s="4" t="inlineStr"/>
      <c r="G33" s="4" t="inlineStr"/>
    </row>
    <row r="34">
      <c r="A34" s="4" t="inlineStr">
        <is>
          <t>5.5.9-P2</t>
        </is>
      </c>
      <c r="B34" s="4" t="inlineStr">
        <is>
          <t>5.5.9</t>
        </is>
      </c>
      <c r="C34" s="4" t="inlineStr">
        <is>
          <t>medical_student</t>
        </is>
      </c>
      <c r="D34" s="4" t="inlineStr">
        <is>
          <t>Confirm on the coronal and axial planes, because the sagittal plane alone can make a normal ligament disappear.</t>
        </is>
      </c>
      <c r="E34" s="4" t="inlineStr"/>
      <c r="F34" s="4" t="inlineStr"/>
      <c r="G34" s="4" t="inlineStr"/>
    </row>
    <row r="35">
      <c r="A35" s="4" t="inlineStr">
        <is>
          <t>5.5.9-P3</t>
        </is>
      </c>
      <c r="B35" s="4" t="inlineStr">
        <is>
          <t>5.5.9</t>
        </is>
      </c>
      <c r="C35" s="4" t="inlineStr">
        <is>
          <t>medical_student</t>
        </is>
      </c>
      <c r="D35" s="4" t="inlineStr">
        <is>
          <t>Assess the collaterals on the coronal images along their length.</t>
        </is>
      </c>
      <c r="E35" s="4" t="inlineStr"/>
      <c r="F35" s="4" t="inlineStr"/>
      <c r="G35" s="4" t="inlineStr"/>
    </row>
    <row r="36">
      <c r="A36" s="4" t="inlineStr">
        <is>
          <t>5.5.9-P4</t>
        </is>
      </c>
      <c r="B36" s="4" t="inlineStr">
        <is>
          <t>5.5.9</t>
        </is>
      </c>
      <c r="C36" s="4" t="inlineStr">
        <is>
          <t>medical_student</t>
        </is>
      </c>
      <c r="D36" s="4" t="inlineStr">
        <is>
          <t>Assess the posterolateral structures deliberately, since they are oblique and small.</t>
        </is>
      </c>
      <c r="E36" s="4" t="inlineStr"/>
      <c r="F36" s="4" t="inlineStr"/>
      <c r="G36" s="4" t="inlineStr"/>
    </row>
    <row r="37">
      <c r="A37" s="4" t="inlineStr">
        <is>
          <t>5.5.9-P5</t>
        </is>
      </c>
      <c r="B37" s="4" t="inlineStr">
        <is>
          <t>5.5.9</t>
        </is>
      </c>
      <c r="C37" s="4" t="inlineStr">
        <is>
          <t>frcs</t>
        </is>
      </c>
      <c r="D37" s="4" t="inlineStr">
        <is>
          <t>A ligament reported abnormal in a stable knee should be checked against the protocol and the position before it is believed.</t>
        </is>
      </c>
      <c r="E37" s="4" t="inlineStr"/>
      <c r="F37" s="4" t="inlineStr"/>
      <c r="G37" s="4" t="inlineStr"/>
    </row>
    <row r="38">
      <c r="A38" s="4" t="inlineStr">
        <is>
          <t>5.5.10-P1</t>
        </is>
      </c>
      <c r="B38" s="4" t="inlineStr">
        <is>
          <t>5.5.10</t>
        </is>
      </c>
      <c r="C38" s="4" t="inlineStr">
        <is>
          <t>medical_student</t>
        </is>
      </c>
      <c r="D38" s="4" t="inlineStr">
        <is>
          <t>Assess the extensor tendons on the sagittal images along their length.</t>
        </is>
      </c>
      <c r="E38" s="4" t="inlineStr"/>
      <c r="F38" s="4" t="inlineStr"/>
      <c r="G38" s="4" t="inlineStr"/>
    </row>
    <row r="39">
      <c r="A39" s="4" t="inlineStr">
        <is>
          <t>5.5.10-P2</t>
        </is>
      </c>
      <c r="B39" s="4" t="inlineStr">
        <is>
          <t>5.5.10</t>
        </is>
      </c>
      <c r="C39" s="4" t="inlineStr">
        <is>
          <t>medical_student</t>
        </is>
      </c>
      <c r="D39" s="4" t="inlineStr">
        <is>
          <t>Assess the hamstrings and popliteus on the axial and coronal images, where their courses are crossed.</t>
        </is>
      </c>
      <c r="E39" s="4" t="inlineStr"/>
      <c r="F39" s="4" t="inlineStr"/>
      <c r="G39" s="4" t="inlineStr"/>
    </row>
    <row r="40">
      <c r="A40" s="4" t="inlineStr">
        <is>
          <t>5.5.10-P3</t>
        </is>
      </c>
      <c r="B40" s="4" t="inlineStr">
        <is>
          <t>5.5.10</t>
        </is>
      </c>
      <c r="C40" s="4" t="inlineStr">
        <is>
          <t>medical_student</t>
        </is>
      </c>
      <c r="D40" s="4" t="inlineStr">
        <is>
          <t>Use a fluid sensitive sequence for peritendinous change and an intermediate weighting for the substance.</t>
        </is>
      </c>
      <c r="E40" s="4" t="inlineStr"/>
      <c r="F40" s="4" t="inlineStr"/>
      <c r="G40" s="4" t="inlineStr"/>
    </row>
    <row r="41">
      <c r="A41" s="4" t="inlineStr">
        <is>
          <t>5.5.10-P4</t>
        </is>
      </c>
      <c r="B41" s="4" t="inlineStr">
        <is>
          <t>5.5.10</t>
        </is>
      </c>
      <c r="C41" s="4" t="inlineStr">
        <is>
          <t>medical_student</t>
        </is>
      </c>
      <c r="D41" s="4" t="inlineStr">
        <is>
          <t>Check any bright tendon on a long echo time sequence, which is the direct test.</t>
        </is>
      </c>
      <c r="E41" s="4" t="inlineStr"/>
      <c r="F41" s="4" t="inlineStr"/>
      <c r="G41" s="4" t="inlineStr"/>
    </row>
    <row r="42">
      <c r="A42" s="4" t="inlineStr">
        <is>
          <t>5.5.10-P5</t>
        </is>
      </c>
      <c r="B42" s="4" t="inlineStr">
        <is>
          <t>5.5.10</t>
        </is>
      </c>
      <c r="C42" s="4" t="inlineStr">
        <is>
          <t>mrcs</t>
        </is>
      </c>
      <c r="D42" s="4" t="inlineStr">
        <is>
          <t>Say that a bright tendon must be checked on a long echo time sequence.</t>
        </is>
      </c>
      <c r="E42" s="4" t="inlineStr"/>
      <c r="F42" s="4" t="inlineStr"/>
      <c r="G42" s="4" t="inlineStr"/>
    </row>
    <row r="43">
      <c r="A43" s="4" t="inlineStr">
        <is>
          <t>5.5.10-P6</t>
        </is>
      </c>
      <c r="B43" s="4" t="inlineStr">
        <is>
          <t>5.5.10</t>
        </is>
      </c>
      <c r="C43" s="4" t="inlineStr">
        <is>
          <t>frcs</t>
        </is>
      </c>
      <c r="D43" s="4" t="inlineStr">
        <is>
          <t>A reported tendon abnormality in a functionally normal knee should be checked for the magic angle effect before anything else.</t>
        </is>
      </c>
      <c r="E43" s="4" t="inlineStr"/>
      <c r="F43" s="4" t="inlineStr"/>
      <c r="G43" s="4" t="inlineStr"/>
    </row>
    <row r="44">
      <c r="A44" s="4" t="inlineStr">
        <is>
          <t>5.5.11-P1</t>
        </is>
      </c>
      <c r="B44" s="4" t="inlineStr">
        <is>
          <t>5.5.11</t>
        </is>
      </c>
      <c r="C44" s="4" t="inlineStr">
        <is>
          <t>medical_student</t>
        </is>
      </c>
      <c r="D44" s="4" t="inlineStr">
        <is>
          <t>Assess for synovial thickening on the fluid sensitive sequences, where thickened synovium is distinguishable from fluid with difficulty.</t>
        </is>
      </c>
      <c r="E44" s="4" t="inlineStr"/>
      <c r="F44" s="4" t="inlineStr"/>
      <c r="G44" s="4" t="inlineStr"/>
    </row>
    <row r="45">
      <c r="A45" s="4" t="inlineStr">
        <is>
          <t>5.5.11-P2</t>
        </is>
      </c>
      <c r="B45" s="4" t="inlineStr">
        <is>
          <t>5.5.11</t>
        </is>
      </c>
      <c r="C45" s="4" t="inlineStr">
        <is>
          <t>medical_student</t>
        </is>
      </c>
      <c r="D45" s="4" t="inlineStr">
        <is>
          <t>Assess the recesses, since synovial proliferation collects in them.</t>
        </is>
      </c>
      <c r="E45" s="4" t="inlineStr"/>
      <c r="F45" s="4" t="inlineStr"/>
      <c r="G45" s="4" t="inlineStr"/>
    </row>
    <row r="46">
      <c r="A46" s="4" t="inlineStr">
        <is>
          <t>5.5.11-P3</t>
        </is>
      </c>
      <c r="B46" s="4" t="inlineStr">
        <is>
          <t>5.5.11</t>
        </is>
      </c>
      <c r="C46" s="4" t="inlineStr">
        <is>
          <t>medical_student</t>
        </is>
      </c>
      <c r="D46" s="4" t="inlineStr">
        <is>
          <t>Assess for loose bodies, which synovial processes generate.</t>
        </is>
      </c>
      <c r="E46" s="4" t="inlineStr"/>
      <c r="F46" s="4" t="inlineStr"/>
      <c r="G46" s="4" t="inlineStr"/>
    </row>
    <row r="47">
      <c r="A47" s="4" t="inlineStr">
        <is>
          <t>5.5.12-P1</t>
        </is>
      </c>
      <c r="B47" s="4" t="inlineStr">
        <is>
          <t>5.5.12</t>
        </is>
      </c>
      <c r="C47" s="4" t="inlineStr">
        <is>
          <t>medical_student</t>
        </is>
      </c>
      <c r="D47" s="4" t="inlineStr">
        <is>
          <t>Assess on the fluid sensitive sequences, where fluid is conspicuous.</t>
        </is>
      </c>
      <c r="E47" s="4" t="inlineStr"/>
      <c r="F47" s="4" t="inlineStr"/>
      <c r="G47" s="4" t="inlineStr"/>
    </row>
    <row r="48">
      <c r="A48" s="4" t="inlineStr">
        <is>
          <t>5.5.12-P2</t>
        </is>
      </c>
      <c r="B48" s="4" t="inlineStr">
        <is>
          <t>5.5.12</t>
        </is>
      </c>
      <c r="C48" s="4" t="inlineStr">
        <is>
          <t>medical_student</t>
        </is>
      </c>
      <c r="D48" s="4" t="inlineStr">
        <is>
          <t>Assess the suprapatellar region as a continuation of the joint rather than as a separate bursa, since it communicates.</t>
        </is>
      </c>
      <c r="E48" s="4" t="inlineStr"/>
      <c r="F48" s="4" t="inlineStr"/>
      <c r="G48" s="4" t="inlineStr"/>
    </row>
    <row r="49">
      <c r="A49" s="4" t="inlineStr">
        <is>
          <t>5.5.12-P3</t>
        </is>
      </c>
      <c r="B49" s="4" t="inlineStr">
        <is>
          <t>5.5.12</t>
        </is>
      </c>
      <c r="C49" s="4" t="inlineStr">
        <is>
          <t>medical_student</t>
        </is>
      </c>
      <c r="D49" s="4" t="inlineStr">
        <is>
          <t>Assess the semimembranosus and medial gastrocnemius interval, where a popliteal cyst arises.</t>
        </is>
      </c>
      <c r="E49" s="4" t="inlineStr"/>
      <c r="F49" s="4" t="inlineStr"/>
      <c r="G49" s="4" t="inlineStr"/>
    </row>
    <row r="50">
      <c r="A50" s="4" t="inlineStr">
        <is>
          <t>5.5.13-P1</t>
        </is>
      </c>
      <c r="B50" s="4" t="inlineStr">
        <is>
          <t>5.5.13</t>
        </is>
      </c>
      <c r="C50" s="4" t="inlineStr">
        <is>
          <t>medical_student</t>
        </is>
      </c>
      <c r="D50" s="4" t="inlineStr">
        <is>
          <t>Identify the popliteal vessels on the axial images, where their relationship to the capsule is clearest.</t>
        </is>
      </c>
      <c r="E50" s="4" t="inlineStr"/>
      <c r="F50" s="4" t="inlineStr"/>
      <c r="G50" s="4" t="inlineStr"/>
    </row>
    <row r="51">
      <c r="A51" s="4" t="inlineStr">
        <is>
          <t>5.5.13-P2</t>
        </is>
      </c>
      <c r="B51" s="4" t="inlineStr">
        <is>
          <t>5.5.13</t>
        </is>
      </c>
      <c r="C51" s="4" t="inlineStr">
        <is>
          <t>medical_student</t>
        </is>
      </c>
      <c r="D51" s="4" t="inlineStr">
        <is>
          <t>Follow the common peroneal nerve around the fibular neck, which is where it is vulnerable.</t>
        </is>
      </c>
      <c r="E51" s="4" t="inlineStr"/>
      <c r="F51" s="4" t="inlineStr"/>
      <c r="G51" s="4" t="inlineStr"/>
    </row>
    <row r="52">
      <c r="A52" s="4" t="inlineStr">
        <is>
          <t>5.5.13-P3</t>
        </is>
      </c>
      <c r="B52" s="4" t="inlineStr">
        <is>
          <t>5.5.13</t>
        </is>
      </c>
      <c r="C52" s="4" t="inlineStr">
        <is>
          <t>medical_student</t>
        </is>
      </c>
      <c r="D52" s="4" t="inlineStr">
        <is>
          <t>Follow the tibial nerve through the fossa.</t>
        </is>
      </c>
      <c r="E52" s="4" t="inlineStr"/>
      <c r="F52" s="4" t="inlineStr"/>
      <c r="G52" s="4" t="inlineStr"/>
    </row>
  </sheetData>
  <dataValidations count="1">
    <dataValidation sqref="E3:E52"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50</f>
        <v/>
      </c>
      <c r="C2" s="3">
        <f>0</f>
        <v/>
      </c>
    </row>
    <row r="3">
      <c r="A3" s="2" t="inlineStr">
        <is>
          <t>Decided</t>
        </is>
      </c>
      <c r="B3" s="3">
        <f>COUNTIF(Recommendations!E3:E52,"&lt;&gt;")</f>
        <v/>
      </c>
      <c r="C3" s="3">
        <f>COUNTIF(Measurements!F3:F2,"&lt;&gt;")</f>
        <v/>
      </c>
    </row>
    <row r="4">
      <c r="A4" s="2" t="inlineStr">
        <is>
          <t>Still blank</t>
        </is>
      </c>
      <c r="B4" s="3">
        <f>B2-B3</f>
        <v/>
      </c>
      <c r="C4" s="3">
        <f>C2-C3</f>
        <v/>
      </c>
    </row>
    <row r="5">
      <c r="A5" s="2" t="inlineStr">
        <is>
          <t>CONFIRMED</t>
        </is>
      </c>
      <c r="B5" s="3">
        <f>COUNTIF(Recommendations!E3:E52,"CONFIRMED")</f>
        <v/>
      </c>
      <c r="C5" s="3" t="inlineStr"/>
    </row>
    <row r="6">
      <c r="A6" s="2" t="inlineStr">
        <is>
          <t>AMENDED</t>
        </is>
      </c>
      <c r="B6" s="3">
        <f>COUNTIF(Recommendations!E3:E52,"AMENDED")</f>
        <v/>
      </c>
      <c r="C6" s="3" t="inlineStr"/>
    </row>
    <row r="7">
      <c r="A7" s="2" t="inlineStr">
        <is>
          <t>WITHDRAWN</t>
        </is>
      </c>
      <c r="B7" s="3">
        <f>COUNTIF(Recommendations!E3:E52,"WITHDRAWN")</f>
        <v/>
      </c>
      <c r="C7" s="3" t="inlineStr"/>
    </row>
    <row r="8">
      <c r="A8" s="2" t="inlineStr">
        <is>
          <t>NOT_CLINICAL</t>
        </is>
      </c>
      <c r="B8" s="3">
        <f>COUNTIF(Recommendations!E3:E52,"NOT_CLINICAL")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2026-10-17T20:27:10Z</dcterms:created>
  <dcterms:modified xmlns:dcterms="http://purl.org/dc/terms/" xmlns:xsi="http://www.w3.org/2001/XMLSchema-instance" xsi:type="dcterms:W3CDTF">2026-10-17T20:27:10Z</dcterms:modified>
</cp:coreProperties>
</file>