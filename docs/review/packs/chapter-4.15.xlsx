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4.15 Patellofemoral Examination</t>
        </is>
      </c>
    </row>
    <row r="3">
      <c r="A3" s="2" t="inlineStr">
        <is>
          <t>Section</t>
        </is>
      </c>
      <c r="B3" s="3" t="inlineStr">
        <is>
          <t>4</t>
        </is>
      </c>
    </row>
    <row r="4">
      <c r="A4" s="2" t="inlineStr">
        <is>
          <t>Chapter</t>
        </is>
      </c>
      <c r="B4" s="3" t="inlineStr">
        <is>
          <t>4.15 Patellofemoral Examination</t>
        </is>
      </c>
    </row>
    <row r="5">
      <c r="A5" s="2" t="inlineStr">
        <is>
          <t>Pages</t>
        </is>
      </c>
      <c r="B5" s="3" t="n">
        <v>10</v>
      </c>
    </row>
    <row r="6">
      <c r="A6" s="2" t="inlineStr">
        <is>
          <t>Page type</t>
        </is>
      </c>
      <c r="B6" s="3" t="inlineStr">
        <is>
          <t>examination</t>
        </is>
      </c>
    </row>
    <row r="7">
      <c r="A7" s="2" t="inlineStr">
        <is>
          <t>Tiers</t>
        </is>
      </c>
      <c r="B7" s="3" t="inlineStr">
        <is>
          <t>medical student, mrcs, frcs, fellowship</t>
        </is>
      </c>
    </row>
    <row r="8">
      <c r="A8" s="2" t="inlineStr">
        <is>
          <t>Words</t>
        </is>
      </c>
      <c r="B8" s="3" t="inlineStr">
        <is>
          <t>14,450</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3</v>
      </c>
    </row>
    <row r="12">
      <c r="A12" s="2" t="inlineStr">
        <is>
          <t>Recommendations to sign</t>
        </is>
      </c>
      <c r="B12" s="3" t="n">
        <v>32</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4.15.1</t>
        </is>
      </c>
      <c r="B2" s="6" t="inlineStr">
        <is>
          <t>Patellar Tracking</t>
        </is>
      </c>
      <c r="C2" s="6" t="n">
        <v>4</v>
      </c>
      <c r="D2" s="6" t="n">
        <v>1502</v>
      </c>
      <c r="E2" s="6" t="inlineStr">
        <is>
          <t>examination/patellar-tracking.html</t>
        </is>
      </c>
    </row>
    <row r="3">
      <c r="A3" s="6" t="inlineStr">
        <is>
          <t>4.15.2</t>
        </is>
      </c>
      <c r="B3" s="6" t="inlineStr">
        <is>
          <t>J Sign</t>
        </is>
      </c>
      <c r="C3" s="6" t="n">
        <v>4</v>
      </c>
      <c r="D3" s="6" t="n">
        <v>1421</v>
      </c>
      <c r="E3" s="6" t="inlineStr">
        <is>
          <t>examination/j-sign.html</t>
        </is>
      </c>
    </row>
    <row r="4">
      <c r="A4" s="6" t="inlineStr">
        <is>
          <t>4.15.3</t>
        </is>
      </c>
      <c r="B4" s="6" t="inlineStr">
        <is>
          <t>Patellar Apprehension Test</t>
        </is>
      </c>
      <c r="C4" s="6" t="n">
        <v>4</v>
      </c>
      <c r="D4" s="6" t="n">
        <v>1414</v>
      </c>
      <c r="E4" s="6" t="inlineStr">
        <is>
          <t>examination/patellar-apprehension-test.html</t>
        </is>
      </c>
    </row>
    <row r="5">
      <c r="A5" s="6" t="inlineStr">
        <is>
          <t>4.15.4</t>
        </is>
      </c>
      <c r="B5" s="6" t="inlineStr">
        <is>
          <t>Patellar Glide</t>
        </is>
      </c>
      <c r="C5" s="6" t="n">
        <v>4</v>
      </c>
      <c r="D5" s="6" t="n">
        <v>1412</v>
      </c>
      <c r="E5" s="6" t="inlineStr">
        <is>
          <t>examination/patellar-glide.html</t>
        </is>
      </c>
    </row>
    <row r="6">
      <c r="A6" s="6" t="inlineStr">
        <is>
          <t>4.15.5</t>
        </is>
      </c>
      <c r="B6" s="6" t="inlineStr">
        <is>
          <t>Patellar Tilt</t>
        </is>
      </c>
      <c r="C6" s="6" t="n">
        <v>4</v>
      </c>
      <c r="D6" s="6" t="n">
        <v>1418</v>
      </c>
      <c r="E6" s="6" t="inlineStr">
        <is>
          <t>examination/patellar-tilt.html</t>
        </is>
      </c>
    </row>
    <row r="7">
      <c r="A7" s="6" t="inlineStr">
        <is>
          <t>4.15.6</t>
        </is>
      </c>
      <c r="B7" s="6" t="inlineStr">
        <is>
          <t>Dynamic Tracking</t>
        </is>
      </c>
      <c r="C7" s="6" t="n">
        <v>4</v>
      </c>
      <c r="D7" s="6" t="n">
        <v>1433</v>
      </c>
      <c r="E7" s="6" t="inlineStr">
        <is>
          <t>examination/dynamic-tracking.html</t>
        </is>
      </c>
    </row>
    <row r="8">
      <c r="A8" s="6" t="inlineStr">
        <is>
          <t>4.15.7</t>
        </is>
      </c>
      <c r="B8" s="6" t="inlineStr">
        <is>
          <t>MPFL Assessment</t>
        </is>
      </c>
      <c r="C8" s="6" t="n">
        <v>4</v>
      </c>
      <c r="D8" s="6" t="n">
        <v>1515</v>
      </c>
      <c r="E8" s="6" t="inlineStr">
        <is>
          <t>examination/mpfl-assessment.html</t>
        </is>
      </c>
    </row>
    <row r="9">
      <c r="A9" s="6" t="inlineStr">
        <is>
          <t>4.15.8</t>
        </is>
      </c>
      <c r="B9" s="6" t="inlineStr">
        <is>
          <t>Trochlear Dysplasia Assessment</t>
        </is>
      </c>
      <c r="C9" s="6" t="n">
        <v>4</v>
      </c>
      <c r="D9" s="6" t="n">
        <v>1446</v>
      </c>
      <c r="E9" s="6" t="inlineStr">
        <is>
          <t>examination/trochlear-dysplasia-assessment.html</t>
        </is>
      </c>
    </row>
    <row r="10">
      <c r="A10" s="6" t="inlineStr">
        <is>
          <t>4.15.9</t>
        </is>
      </c>
      <c r="B10" s="6" t="inlineStr">
        <is>
          <t>Patellofemoral Pain Syndrome</t>
        </is>
      </c>
      <c r="C10" s="6" t="n">
        <v>4</v>
      </c>
      <c r="D10" s="6" t="n">
        <v>1501</v>
      </c>
      <c r="E10" s="6" t="inlineStr">
        <is>
          <t>examination/patellofemoral-pain-syndrome.html</t>
        </is>
      </c>
    </row>
    <row r="11">
      <c r="A11" s="6" t="inlineStr">
        <is>
          <t>4.15.10</t>
        </is>
      </c>
      <c r="B11" s="6" t="inlineStr">
        <is>
          <t>Patellofemoral Arthritis</t>
        </is>
      </c>
      <c r="C11" s="6" t="n">
        <v>4</v>
      </c>
      <c r="D11" s="6" t="n">
        <v>1388</v>
      </c>
      <c r="E11" s="6" t="inlineStr">
        <is>
          <t>examination/patellofemoral-arthritis.html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4.15.1</t>
        </is>
      </c>
      <c r="B2" s="4" t="inlineStr">
        <is>
          <t>Patellar Tracking</t>
        </is>
      </c>
      <c r="C2" s="4" t="inlineStr">
        <is>
          <t>A persisting abrupt deviation after reconstruction is a failed graft or an unaddressed bony abnormality.</t>
        </is>
      </c>
    </row>
    <row r="3">
      <c r="A3" s="4" t="inlineStr">
        <is>
          <t>4.15.1</t>
        </is>
      </c>
      <c r="B3" s="4" t="inlineStr">
        <is>
          <t>Patellar Tracking</t>
        </is>
      </c>
      <c r="C3" s="4" t="inlineStr">
        <is>
          <t>A central track with unchanged pain means two problems and one treatment.</t>
        </is>
      </c>
    </row>
    <row r="4">
      <c r="A4" s="4" t="inlineStr">
        <is>
          <t>4.15.1</t>
        </is>
      </c>
      <c r="B4" s="4" t="inlineStr">
        <is>
          <t>Patellar Tracking</t>
        </is>
      </c>
      <c r="C4" s="4" t="inlineStr">
        <is>
          <t>An over constrained reconstruction tracks medially and causes medial facet pain.</t>
        </is>
      </c>
    </row>
    <row r="5">
      <c r="A5" s="4" t="inlineStr">
        <is>
          <t>4.15.1</t>
        </is>
      </c>
      <c r="B5" s="4" t="inlineStr">
        <is>
          <t>Patellar Tracking</t>
        </is>
      </c>
      <c r="C5" s="4" t="inlineStr">
        <is>
          <t>After a tubercle osteotomy the comparison is with the intended result.</t>
        </is>
      </c>
    </row>
    <row r="6">
      <c r="A6" s="4" t="inlineStr">
        <is>
          <t>4.15.1</t>
        </is>
      </c>
      <c r="B6" s="4" t="inlineStr">
        <is>
          <t>Patellar Tracking</t>
        </is>
      </c>
      <c r="C6" s="4" t="inlineStr">
        <is>
          <t>The word maltracking carries no information about what was seen.</t>
        </is>
      </c>
    </row>
    <row r="7">
      <c r="A7" s="4" t="inlineStr">
        <is>
          <t>4.15.2</t>
        </is>
      </c>
      <c r="B7" s="4" t="inlineStr">
        <is>
          <t>J Sign</t>
        </is>
      </c>
      <c r="C7" s="4" t="inlineStr">
        <is>
          <t>A persisting J sign after ligament reconstruction means a soft tissue operation for a bony problem.</t>
        </is>
      </c>
    </row>
    <row r="8">
      <c r="A8" s="4" t="inlineStr">
        <is>
          <t>4.15.2</t>
        </is>
      </c>
      <c r="B8" s="4" t="inlineStr">
        <is>
          <t>J Sign</t>
        </is>
      </c>
      <c r="C8" s="4" t="inlineStr">
        <is>
          <t>A resolved J sign with persisting instability suggests the instability was not patellar.</t>
        </is>
      </c>
    </row>
    <row r="9">
      <c r="A9" s="4" t="inlineStr">
        <is>
          <t>4.15.2</t>
        </is>
      </c>
      <c r="B9" s="4" t="inlineStr">
        <is>
          <t>J Sign</t>
        </is>
      </c>
      <c r="C9" s="4" t="inlineStr">
        <is>
          <t>Generalised hypermobility adds a contribution no bony correction fully addresses.</t>
        </is>
      </c>
    </row>
    <row r="10">
      <c r="A10" s="4" t="inlineStr">
        <is>
          <t>4.15.2</t>
        </is>
      </c>
      <c r="B10" s="4" t="inlineStr">
        <is>
          <t>J Sign</t>
        </is>
      </c>
      <c r="C10" s="4" t="inlineStr">
        <is>
          <t>After a tubercle osteotomy, persistence may be an incomplete correction.</t>
        </is>
      </c>
    </row>
    <row r="11">
      <c r="A11" s="4" t="inlineStr">
        <is>
          <t>4.15.2</t>
        </is>
      </c>
      <c r="B11" s="4" t="inlineStr">
        <is>
          <t>J Sign</t>
        </is>
      </c>
      <c r="C11" s="4" t="inlineStr">
        <is>
          <t>It is one of the few patellofemoral findings specific enough to carry medicolegal weight.</t>
        </is>
      </c>
    </row>
    <row r="12">
      <c r="A12" s="4" t="inlineStr">
        <is>
          <t>4.15.3</t>
        </is>
      </c>
      <c r="B12" s="4" t="inlineStr">
        <is>
          <t>Patellar Apprehension Test</t>
        </is>
      </c>
      <c r="C12" s="4" t="inlineStr">
        <is>
          <t>The test separates two groups with patellar complaints who need opposite treatments.</t>
        </is>
      </c>
    </row>
    <row r="13">
      <c r="A13" s="4" t="inlineStr">
        <is>
          <t>4.15.3</t>
        </is>
      </c>
      <c r="B13" s="4" t="inlineStr">
        <is>
          <t>Patellar Apprehension Test</t>
        </is>
      </c>
      <c r="C13" s="4" t="inlineStr">
        <is>
          <t>Anterior pain with no apprehension and a normal glide is a load problem.</t>
        </is>
      </c>
    </row>
    <row r="14">
      <c r="A14" s="4" t="inlineStr">
        <is>
          <t>4.15.3</t>
        </is>
      </c>
      <c r="B14" s="4" t="inlineStr">
        <is>
          <t>Patellar Apprehension Test</t>
        </is>
      </c>
      <c r="C14" s="4" t="inlineStr">
        <is>
          <t>Apprehension after a successful reconstruction with a stable patella is a confidence problem.</t>
        </is>
      </c>
    </row>
    <row r="15">
      <c r="A15" s="4" t="inlineStr">
        <is>
          <t>4.15.3</t>
        </is>
      </c>
      <c r="B15" s="4" t="inlineStr">
        <is>
          <t>Patellar Apprehension Test</t>
        </is>
      </c>
      <c r="C15" s="4" t="inlineStr">
        <is>
          <t>Apprehension on medial displacement means over constraint.</t>
        </is>
      </c>
    </row>
    <row r="16">
      <c r="A16" s="4" t="inlineStr">
        <is>
          <t>4.15.3</t>
        </is>
      </c>
      <c r="B16" s="4" t="inlineStr">
        <is>
          <t>Patellar Apprehension Test</t>
        </is>
      </c>
      <c r="C16" s="4" t="inlineStr">
        <is>
          <t>Being a behaviour, it is weak medicolegal evidence; the dislocation history is not.</t>
        </is>
      </c>
    </row>
    <row r="17">
      <c r="A17" s="4" t="inlineStr">
        <is>
          <t>4.15.4</t>
        </is>
      </c>
      <c r="B17" s="4" t="inlineStr">
        <is>
          <t>Patellar Glide</t>
        </is>
      </c>
      <c r="C17" s="4" t="inlineStr">
        <is>
          <t>After a reconstruction an increased lateral glide is a clearer finding than any imaging.</t>
        </is>
      </c>
    </row>
    <row r="18">
      <c r="A18" s="4" t="inlineStr">
        <is>
          <t>4.15.4</t>
        </is>
      </c>
      <c r="B18" s="4" t="inlineStr">
        <is>
          <t>Patellar Glide</t>
        </is>
      </c>
      <c r="C18" s="4" t="inlineStr">
        <is>
          <t>A reduced glide in both directions is over constraint, presenting as pain and stiffness.</t>
        </is>
      </c>
    </row>
    <row r="19">
      <c r="A19" s="4" t="inlineStr">
        <is>
          <t>4.15.4</t>
        </is>
      </c>
      <c r="B19" s="4" t="inlineStr">
        <is>
          <t>Patellar Glide</t>
        </is>
      </c>
      <c r="C19" s="4" t="inlineStr">
        <is>
          <t>An increased glide with no instability and no complaint needs nothing.</t>
        </is>
      </c>
    </row>
    <row r="20">
      <c r="A20" s="4" t="inlineStr">
        <is>
          <t>4.15.4</t>
        </is>
      </c>
      <c r="B20" s="4" t="inlineStr">
        <is>
          <t>Patellar Glide</t>
        </is>
      </c>
      <c r="C20" s="4" t="inlineStr">
        <is>
          <t>After a lateral release the medial glide is increased for a surgical reason.</t>
        </is>
      </c>
    </row>
    <row r="21">
      <c r="A21" s="4" t="inlineStr">
        <is>
          <t>4.15.4</t>
        </is>
      </c>
      <c r="B21" s="4" t="inlineStr">
        <is>
          <t>Patellar Glide</t>
        </is>
      </c>
      <c r="C21" s="4" t="inlineStr">
        <is>
          <t>In a hypermobile patient the tensioning target is a deliberate decision.</t>
        </is>
      </c>
    </row>
    <row r="22">
      <c r="A22" s="4" t="inlineStr">
        <is>
          <t>4.15.5</t>
        </is>
      </c>
      <c r="B22" s="4" t="inlineStr">
        <is>
          <t>Patellar Tilt</t>
        </is>
      </c>
      <c r="C22" s="4" t="inlineStr">
        <is>
          <t>A previous lateral release with medial instability is an iatrogenic problem.</t>
        </is>
      </c>
    </row>
    <row r="23">
      <c r="A23" s="4" t="inlineStr">
        <is>
          <t>4.15.5</t>
        </is>
      </c>
      <c r="B23" s="4" t="inlineStr">
        <is>
          <t>Patellar Tilt</t>
        </is>
      </c>
      <c r="C23" s="4" t="inlineStr">
        <is>
          <t>A release with unchanged pain treated a problem that was not lateral tightness.</t>
        </is>
      </c>
    </row>
    <row r="24">
      <c r="A24" s="4" t="inlineStr">
        <is>
          <t>4.15.5</t>
        </is>
      </c>
      <c r="B24" s="4" t="inlineStr">
        <is>
          <t>Patellar Tilt</t>
        </is>
      </c>
      <c r="C24" s="4" t="inlineStr">
        <is>
          <t>Tight tilt, lateral facet change and a valgus limb are one mechanical story.</t>
        </is>
      </c>
    </row>
    <row r="25">
      <c r="A25" s="4" t="inlineStr">
        <is>
          <t>4.15.5</t>
        </is>
      </c>
      <c r="B25" s="4" t="inlineStr">
        <is>
          <t>Patellar Tilt</t>
        </is>
      </c>
      <c r="C25" s="4" t="inlineStr">
        <is>
          <t>An unaddressed tight lateral side loads a medial reconstruction and stretches it.</t>
        </is>
      </c>
    </row>
    <row r="26">
      <c r="A26" s="4" t="inlineStr">
        <is>
          <t>4.15.5</t>
        </is>
      </c>
      <c r="B26" s="4" t="inlineStr">
        <is>
          <t>Patellar Tilt</t>
        </is>
      </c>
      <c r="C26" s="4" t="inlineStr">
        <is>
          <t>The dislocation history and imaging carry a patellofemoral opinion, not the tilt.</t>
        </is>
      </c>
    </row>
    <row r="27">
      <c r="A27" s="4" t="inlineStr">
        <is>
          <t>4.15.6</t>
        </is>
      </c>
      <c r="B27" s="4" t="inlineStr">
        <is>
          <t>Dynamic Tracking</t>
        </is>
      </c>
      <c r="C27" s="4" t="inlineStr">
        <is>
          <t>It explains the patellofemoral patient who has had everything else done.</t>
        </is>
      </c>
    </row>
    <row r="28">
      <c r="A28" s="4" t="inlineStr">
        <is>
          <t>4.15.6</t>
        </is>
      </c>
      <c r="B28" s="4" t="inlineStr">
        <is>
          <t>Dynamic Tracking</t>
        </is>
      </c>
      <c r="C28" s="4" t="inlineStr">
        <is>
          <t>Normal imaging and a normal static examination with loaded pain is a control or load problem.</t>
        </is>
      </c>
    </row>
    <row r="29">
      <c r="A29" s="4" t="inlineStr">
        <is>
          <t>4.15.6</t>
        </is>
      </c>
      <c r="B29" s="4" t="inlineStr">
        <is>
          <t>Dynamic Tracking</t>
        </is>
      </c>
      <c r="C29" s="4" t="inlineStr">
        <is>
          <t>Several procedures with persisting dynamic valgus means the proximal problem was never treated.</t>
        </is>
      </c>
    </row>
    <row r="30">
      <c r="A30" s="4" t="inlineStr">
        <is>
          <t>4.15.6</t>
        </is>
      </c>
      <c r="B30" s="4" t="inlineStr">
        <is>
          <t>Dynamic Tracking</t>
        </is>
      </c>
      <c r="C30" s="4" t="inlineStr">
        <is>
          <t>An athlete needs the assessment at the sport's intensity.</t>
        </is>
      </c>
    </row>
    <row r="31">
      <c r="A31" s="4" t="inlineStr">
        <is>
          <t>4.15.6</t>
        </is>
      </c>
      <c r="B31" s="4" t="inlineStr">
        <is>
          <t>Dynamic Tracking</t>
        </is>
      </c>
      <c r="C31" s="4" t="inlineStr">
        <is>
          <t>A correction adequate statically can be inadequate under load.</t>
        </is>
      </c>
    </row>
    <row r="32">
      <c r="A32" s="4" t="inlineStr">
        <is>
          <t>4.15.7</t>
        </is>
      </c>
      <c r="B32" s="4" t="inlineStr">
        <is>
          <t>MPFL Assessment</t>
        </is>
      </c>
      <c r="C32" s="4" t="inlineStr">
        <is>
          <t>An increased glide with recurrent instability after reconstruction is a stretched or failed graft.</t>
        </is>
      </c>
    </row>
    <row r="33">
      <c r="A33" s="4" t="inlineStr">
        <is>
          <t>4.15.7</t>
        </is>
      </c>
      <c r="B33" s="4" t="inlineStr">
        <is>
          <t>MPFL Assessment</t>
        </is>
      </c>
      <c r="C33" s="4" t="inlineStr">
        <is>
          <t>A reduced glide with medial facet pain and stiffness is over constraint.</t>
        </is>
      </c>
    </row>
    <row r="34">
      <c r="A34" s="4" t="inlineStr">
        <is>
          <t>4.15.7</t>
        </is>
      </c>
      <c r="B34" s="4" t="inlineStr">
        <is>
          <t>MPFL Assessment</t>
        </is>
      </c>
      <c r="C34" s="4" t="inlineStr">
        <is>
          <t>A stable patella with persisting apprehension is a confidence problem.</t>
        </is>
      </c>
    </row>
    <row r="35">
      <c r="A35" s="4" t="inlineStr">
        <is>
          <t>4.15.7</t>
        </is>
      </c>
      <c r="B35" s="4" t="inlineStr">
        <is>
          <t>MPFL Assessment</t>
        </is>
      </c>
      <c r="C35" s="4" t="inlineStr">
        <is>
          <t>In a hypermobile patient the tensioning target has to be chosen deliberately and recorded.</t>
        </is>
      </c>
    </row>
    <row r="36">
      <c r="A36" s="4" t="inlineStr">
        <is>
          <t>4.15.7</t>
        </is>
      </c>
      <c r="B36" s="4" t="inlineStr">
        <is>
          <t>MPFL Assessment</t>
        </is>
      </c>
      <c r="C36" s="4" t="inlineStr">
        <is>
          <t>Recorded medial tenderness at the time of a dislocation is useful evidence one occurred.</t>
        </is>
      </c>
    </row>
    <row r="37">
      <c r="A37" s="4" t="inlineStr">
        <is>
          <t>4.15.8</t>
        </is>
      </c>
      <c r="B37" s="4" t="inlineStr">
        <is>
          <t>Trochlear Dysplasia Assessment</t>
        </is>
      </c>
      <c r="C37" s="4" t="inlineStr">
        <is>
          <t>Unrecognised dysplasia most often explains a failed patellofemoral reconstruction.</t>
        </is>
      </c>
    </row>
    <row r="38">
      <c r="A38" s="4" t="inlineStr">
        <is>
          <t>4.15.8</t>
        </is>
      </c>
      <c r="B38" s="4" t="inlineStr">
        <is>
          <t>Trochlear Dysplasia Assessment</t>
        </is>
      </c>
      <c r="C38" s="4" t="inlineStr">
        <is>
          <t>A corrected tubercle and a reconstructed ligament with persisting instability leaves the trochlea.</t>
        </is>
      </c>
    </row>
    <row r="39">
      <c r="A39" s="4" t="inlineStr">
        <is>
          <t>4.15.8</t>
        </is>
      </c>
      <c r="B39" s="4" t="inlineStr">
        <is>
          <t>Trochlear Dysplasia Assessment</t>
        </is>
      </c>
      <c r="C39" s="4" t="inlineStr">
        <is>
          <t>Bilateral dysplasia with unilateral symptoms puts the other side's prognosis in the conversation.</t>
        </is>
      </c>
    </row>
    <row r="40">
      <c r="A40" s="4" t="inlineStr">
        <is>
          <t>4.15.8</t>
        </is>
      </c>
      <c r="B40" s="4" t="inlineStr">
        <is>
          <t>Trochlear Dysplasia Assessment</t>
        </is>
      </c>
      <c r="C40" s="4" t="inlineStr">
        <is>
          <t>In a skeletally immature patient the trochlea is still developing.</t>
        </is>
      </c>
    </row>
    <row r="41">
      <c r="A41" s="4" t="inlineStr">
        <is>
          <t>4.15.8</t>
        </is>
      </c>
      <c r="B41" s="4" t="inlineStr">
        <is>
          <t>Trochlear Dysplasia Assessment</t>
        </is>
      </c>
      <c r="C41" s="4" t="inlineStr">
        <is>
          <t>Dysplasia most often establishes a constitutional predisposition.</t>
        </is>
      </c>
    </row>
    <row r="42">
      <c r="A42" s="4" t="inlineStr">
        <is>
          <t>4.15.9</t>
        </is>
      </c>
      <c r="B42" s="4" t="inlineStr">
        <is>
          <t>Patellofemoral Pain Syndrome</t>
        </is>
      </c>
      <c r="C42" s="4" t="inlineStr">
        <is>
          <t>The diagnosis arrives as a label on a patient who has had investigations and an operation.</t>
        </is>
      </c>
    </row>
    <row r="43">
      <c r="A43" s="4" t="inlineStr">
        <is>
          <t>4.15.9</t>
        </is>
      </c>
      <c r="B43" s="4" t="inlineStr">
        <is>
          <t>Patellofemoral Pain Syndrome</t>
        </is>
      </c>
      <c r="C43" s="4" t="inlineStr">
        <is>
          <t>A normal arthroscopy with unchanged pain treated the wrong compartment.</t>
        </is>
      </c>
    </row>
    <row r="44">
      <c r="A44" s="4" t="inlineStr">
        <is>
          <t>4.15.9</t>
        </is>
      </c>
      <c r="B44" s="4" t="inlineStr">
        <is>
          <t>Patellofemoral Pain Syndrome</t>
        </is>
      </c>
      <c r="C44" s="4" t="inlineStr">
        <is>
          <t>A lateral release with unchanged pain treated a problem that was not there.</t>
        </is>
      </c>
    </row>
    <row r="45">
      <c r="A45" s="4" t="inlineStr">
        <is>
          <t>4.15.9</t>
        </is>
      </c>
      <c r="B45" s="4" t="inlineStr">
        <is>
          <t>Patellofemoral Pain Syndrome</t>
        </is>
      </c>
      <c r="C45" s="4" t="inlineStr">
        <is>
          <t>Persisting pain with no proximal contribution needs load and pain management, not another hypothesis.</t>
        </is>
      </c>
    </row>
    <row r="46">
      <c r="A46" s="4" t="inlineStr">
        <is>
          <t>4.15.9</t>
        </is>
      </c>
      <c r="B46" s="4" t="inlineStr">
        <is>
          <t>Patellofemoral Pain Syndrome</t>
        </is>
      </c>
      <c r="C46" s="4" t="inlineStr">
        <is>
          <t>With no structural correlate, attribution to an injury is difficult and should be said plainly.</t>
        </is>
      </c>
    </row>
    <row r="47">
      <c r="A47" s="4" t="inlineStr">
        <is>
          <t>4.15.10</t>
        </is>
      </c>
      <c r="B47" s="4" t="inlineStr">
        <is>
          <t>Patellofemoral Arthritis</t>
        </is>
      </c>
      <c r="C47" s="4" t="inlineStr">
        <is>
          <t>It is most often the later consequence of something treated earlier.</t>
        </is>
      </c>
    </row>
    <row r="48">
      <c r="A48" s="4" t="inlineStr">
        <is>
          <t>4.15.10</t>
        </is>
      </c>
      <c r="B48" s="4" t="inlineStr">
        <is>
          <t>Patellofemoral Arthritis</t>
        </is>
      </c>
      <c r="C48" s="4" t="inlineStr">
        <is>
          <t>Recurrent dislocations treated decades ago produce secondary change, which belongs in today's conversation.</t>
        </is>
      </c>
    </row>
    <row r="49">
      <c r="A49" s="4" t="inlineStr">
        <is>
          <t>4.15.10</t>
        </is>
      </c>
      <c r="B49" s="4" t="inlineStr">
        <is>
          <t>Patellofemoral Arthritis</t>
        </is>
      </c>
      <c r="C49" s="4" t="inlineStr">
        <is>
          <t>A correction can unload one facet and load another.</t>
        </is>
      </c>
    </row>
    <row r="50">
      <c r="A50" s="4" t="inlineStr">
        <is>
          <t>4.15.10</t>
        </is>
      </c>
      <c r="B50" s="4" t="inlineStr">
        <is>
          <t>Patellofemoral Arthritis</t>
        </is>
      </c>
      <c r="C50" s="4" t="inlineStr">
        <is>
          <t>Arthritis after a patellofemoral replacement is progression or malposition, separated by the tenderness.</t>
        </is>
      </c>
    </row>
    <row r="51">
      <c r="A51" s="4" t="inlineStr">
        <is>
          <t>4.15.10</t>
        </is>
      </c>
      <c r="B51" s="4" t="inlineStr">
        <is>
          <t>Patellofemoral Arthritis</t>
        </is>
      </c>
      <c r="C51" s="4" t="inlineStr">
        <is>
          <t>Attribution to a single injury is usually unsupportable without a documented dislocation or osteochondral injury.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4.15.1-P1</t>
        </is>
      </c>
      <c r="B3" s="4" t="inlineStr">
        <is>
          <t>4.15.1</t>
        </is>
      </c>
      <c r="C3" s="4" t="inlineStr">
        <is>
          <t>medical_student</t>
        </is>
      </c>
      <c r="D3" s="4" t="inlineStr">
        <is>
          <t>Ask them to extend the knee slowly, and watch the patella from directly in front rather than from the side.</t>
        </is>
      </c>
      <c r="E3" s="4" t="inlineStr"/>
      <c r="F3" s="4" t="inlineStr"/>
      <c r="G3" s="4" t="inlineStr"/>
    </row>
    <row r="4">
      <c r="A4" s="4" t="inlineStr">
        <is>
          <t>4.15.1-P2</t>
        </is>
      </c>
      <c r="B4" s="4" t="inlineStr">
        <is>
          <t>4.15.1</t>
        </is>
      </c>
      <c r="C4" s="4" t="inlineStr">
        <is>
          <t>medical_student</t>
        </is>
      </c>
      <c r="D4" s="4" t="inlineStr">
        <is>
          <t>Repeat with the patient actively flexing from full extension, since a deviation appearing on the way out and on the way back in is more convincing than one seen once.</t>
        </is>
      </c>
      <c r="E4" s="4" t="inlineStr"/>
      <c r="F4" s="4" t="inlineStr"/>
      <c r="G4" s="4" t="inlineStr"/>
    </row>
    <row r="5">
      <c r="A5" s="4" t="inlineStr">
        <is>
          <t>4.15.1-P3</t>
        </is>
      </c>
      <c r="B5" s="4" t="inlineStr">
        <is>
          <t>4.15.1</t>
        </is>
      </c>
      <c r="C5" s="4" t="inlineStr">
        <is>
          <t>medical_student</t>
        </is>
      </c>
      <c r="D5" s="4" t="inlineStr">
        <is>
          <t>Compare with the other knee, and note the knee's alignment and the foot position, since both change the track.</t>
        </is>
      </c>
      <c r="E5" s="4" t="inlineStr"/>
      <c r="F5" s="4" t="inlineStr"/>
      <c r="G5" s="4" t="inlineStr"/>
    </row>
    <row r="6">
      <c r="A6" s="4" t="inlineStr">
        <is>
          <t>4.15.2-P1</t>
        </is>
      </c>
      <c r="B6" s="4" t="inlineStr">
        <is>
          <t>4.15.2</t>
        </is>
      </c>
      <c r="C6" s="4" t="inlineStr">
        <is>
          <t>medical_student</t>
        </is>
      </c>
      <c r="D6" s="4" t="inlineStr">
        <is>
          <t>Repeat as the patient flexes from full extension, where the patella should reduce abruptly back into the groove.</t>
        </is>
      </c>
      <c r="E6" s="4" t="inlineStr"/>
      <c r="F6" s="4" t="inlineStr"/>
      <c r="G6" s="4" t="inlineStr"/>
    </row>
    <row r="7">
      <c r="A7" s="4" t="inlineStr">
        <is>
          <t>4.15.2-P2</t>
        </is>
      </c>
      <c r="B7" s="4" t="inlineStr">
        <is>
          <t>4.15.2</t>
        </is>
      </c>
      <c r="C7" s="4" t="inlineStr">
        <is>
          <t>medical_student</t>
        </is>
      </c>
      <c r="D7" s="4" t="inlineStr">
        <is>
          <t>A gradual lateral drift without an abrupt component is a milder tracking abnormality and should be recorded as that rather than as a J sign.</t>
        </is>
      </c>
      <c r="E7" s="4" t="inlineStr"/>
      <c r="F7" s="4" t="inlineStr"/>
      <c r="G7" s="4" t="inlineStr"/>
    </row>
    <row r="8">
      <c r="A8" s="4" t="inlineStr">
        <is>
          <t>4.15.3-P1</t>
        </is>
      </c>
      <c r="B8" s="4" t="inlineStr">
        <is>
          <t>4.15.3</t>
        </is>
      </c>
      <c r="C8" s="4" t="inlineStr">
        <is>
          <t>medical_student</t>
        </is>
      </c>
      <c r="D8" s="4" t="inlineStr">
        <is>
          <t>Place both thumbs on the medial border of the patella and displace it gently laterally.</t>
        </is>
      </c>
      <c r="E8" s="4" t="inlineStr"/>
      <c r="F8" s="4" t="inlineStr"/>
      <c r="G8" s="4" t="inlineStr"/>
    </row>
    <row r="9">
      <c r="A9" s="4" t="inlineStr">
        <is>
          <t>4.15.3-P2</t>
        </is>
      </c>
      <c r="B9" s="4" t="inlineStr">
        <is>
          <t>4.15.3</t>
        </is>
      </c>
      <c r="C9" s="4" t="inlineStr">
        <is>
          <t>medical_student</t>
        </is>
      </c>
      <c r="D9" s="4" t="inlineStr">
        <is>
          <t>Record what the patient did and said, rather than recording the test as positive.</t>
        </is>
      </c>
      <c r="E9" s="4" t="inlineStr"/>
      <c r="F9" s="4" t="inlineStr"/>
      <c r="G9" s="4" t="inlineStr"/>
    </row>
    <row r="10">
      <c r="A10" s="4" t="inlineStr">
        <is>
          <t>4.15.4-P1</t>
        </is>
      </c>
      <c r="B10" s="4" t="inlineStr">
        <is>
          <t>4.15.4</t>
        </is>
      </c>
      <c r="C10" s="4" t="inlineStr">
        <is>
          <t>medical_student</t>
        </is>
      </c>
      <c r="D10" s="4" t="inlineStr">
        <is>
          <t>Repeat with the knee flexed to about thirty degrees, since the patella engages the trochlea there and the glide should reduce.</t>
        </is>
      </c>
      <c r="E10" s="4" t="inlineStr"/>
      <c r="F10" s="4" t="inlineStr"/>
      <c r="G10" s="4" t="inlineStr"/>
    </row>
    <row r="11">
      <c r="A11" s="4" t="inlineStr">
        <is>
          <t>4.15.4-P2</t>
        </is>
      </c>
      <c r="B11" s="4" t="inlineStr">
        <is>
          <t>4.15.4</t>
        </is>
      </c>
      <c r="C11" s="4" t="inlineStr">
        <is>
          <t>medical_student</t>
        </is>
      </c>
      <c r="D11" s="4" t="inlineStr">
        <is>
          <t>Compare both knees, because the normal range of glide varies widely and only the comparison is interpretable.</t>
        </is>
      </c>
      <c r="E11" s="4" t="inlineStr"/>
      <c r="F11" s="4" t="inlineStr"/>
      <c r="G11" s="4" t="inlineStr"/>
    </row>
    <row r="12">
      <c r="A12" s="4" t="inlineStr">
        <is>
          <t>4.15.4-P3</t>
        </is>
      </c>
      <c r="B12" s="4" t="inlineStr">
        <is>
          <t>4.15.4</t>
        </is>
      </c>
      <c r="C12" s="4" t="inlineStr">
        <is>
          <t>mrcs</t>
        </is>
      </c>
      <c r="D12" s="4" t="inlineStr">
        <is>
          <t>Say that you would test at thirty degrees as well, and say why: the patella should engage the trochlea and the glide should fall.</t>
        </is>
      </c>
      <c r="E12" s="4" t="inlineStr"/>
      <c r="F12" s="4" t="inlineStr"/>
      <c r="G12" s="4" t="inlineStr"/>
    </row>
    <row r="13">
      <c r="A13" s="4" t="inlineStr">
        <is>
          <t>4.15.5-P1</t>
        </is>
      </c>
      <c r="B13" s="4" t="inlineStr">
        <is>
          <t>4.15.5</t>
        </is>
      </c>
      <c r="C13" s="4" t="inlineStr">
        <is>
          <t>medical_student</t>
        </is>
      </c>
      <c r="D13" s="4" t="inlineStr">
        <is>
          <t>Compare with the other knee, and assess the glide in the same examination, since the two findings together describe the lateral side.</t>
        </is>
      </c>
      <c r="E13" s="4" t="inlineStr"/>
      <c r="F13" s="4" t="inlineStr"/>
      <c r="G13" s="4" t="inlineStr"/>
    </row>
    <row r="14">
      <c r="A14" s="4" t="inlineStr">
        <is>
          <t>4.15.6-P1</t>
        </is>
      </c>
      <c r="B14" s="4" t="inlineStr">
        <is>
          <t>4.15.6</t>
        </is>
      </c>
      <c r="C14" s="4" t="inlineStr">
        <is>
          <t>medical_student</t>
        </is>
      </c>
      <c r="D14" s="4" t="inlineStr">
        <is>
          <t>An inability to perform the task is a finding and should be recorded as the task attempted and not completed.</t>
        </is>
      </c>
      <c r="E14" s="4" t="inlineStr"/>
      <c r="F14" s="4" t="inlineStr"/>
      <c r="G14" s="4" t="inlineStr"/>
    </row>
    <row r="15">
      <c r="A15" s="4" t="inlineStr">
        <is>
          <t>4.15.7-P1</t>
        </is>
      </c>
      <c r="B15" s="4" t="inlineStr">
        <is>
          <t>4.15.7</t>
        </is>
      </c>
      <c r="C15" s="4" t="inlineStr">
        <is>
          <t>medical_student</t>
        </is>
      </c>
      <c r="D15" s="4" t="inlineStr">
        <is>
          <t>Assess the lateral glide in quadrants, at full extension and at thirty degrees.</t>
        </is>
      </c>
      <c r="E15" s="4" t="inlineStr"/>
      <c r="F15" s="4" t="inlineStr"/>
      <c r="G15" s="4" t="inlineStr"/>
    </row>
    <row r="16">
      <c r="A16" s="4" t="inlineStr">
        <is>
          <t>4.15.7-P2</t>
        </is>
      </c>
      <c r="B16" s="4" t="inlineStr">
        <is>
          <t>4.15.7</t>
        </is>
      </c>
      <c r="C16" s="4" t="inlineStr">
        <is>
          <t>medical_student</t>
        </is>
      </c>
      <c r="D16" s="4" t="inlineStr">
        <is>
          <t>Assess the tracking actively in sitting, since a deficient ligament contributes to a lateral deviation near extension.</t>
        </is>
      </c>
      <c r="E16" s="4" t="inlineStr"/>
      <c r="F16" s="4" t="inlineStr"/>
      <c r="G16" s="4" t="inlineStr"/>
    </row>
    <row r="17">
      <c r="A17" s="4" t="inlineStr">
        <is>
          <t>4.15.8-P1</t>
        </is>
      </c>
      <c r="B17" s="4" t="inlineStr">
        <is>
          <t>4.15.8</t>
        </is>
      </c>
      <c r="C17" s="4" t="inlineStr">
        <is>
          <t>medical_student</t>
        </is>
      </c>
      <c r="D17" s="4" t="inlineStr">
        <is>
          <t>Assess the active tracking in sitting, looking for an abrupt lateral deviation near extension.</t>
        </is>
      </c>
      <c r="E17" s="4" t="inlineStr"/>
      <c r="F17" s="4" t="inlineStr"/>
      <c r="G17" s="4" t="inlineStr"/>
    </row>
    <row r="18">
      <c r="A18" s="4" t="inlineStr">
        <is>
          <t>4.15.8-P2</t>
        </is>
      </c>
      <c r="B18" s="4" t="inlineStr">
        <is>
          <t>4.15.8</t>
        </is>
      </c>
      <c r="C18" s="4" t="inlineStr">
        <is>
          <t>medical_student</t>
        </is>
      </c>
      <c r="D18" s="4" t="inlineStr">
        <is>
          <t>Assess the lateral glide at full extension and at thirty degrees, and note whether it falls as the knee flexes.</t>
        </is>
      </c>
      <c r="E18" s="4" t="inlineStr"/>
      <c r="F18" s="4" t="inlineStr"/>
      <c r="G18" s="4" t="inlineStr"/>
    </row>
    <row r="19">
      <c r="A19" s="4" t="inlineStr">
        <is>
          <t>4.15.8-P3</t>
        </is>
      </c>
      <c r="B19" s="4" t="inlineStr">
        <is>
          <t>4.15.8</t>
        </is>
      </c>
      <c r="C19" s="4" t="inlineStr">
        <is>
          <t>medical_student</t>
        </is>
      </c>
      <c r="D19" s="4" t="inlineStr">
        <is>
          <t>Ask about the age at first dislocation and about dislocations with minimal force, since both suggest a structural rather than a traumatic cause.</t>
        </is>
      </c>
      <c r="E19" s="4" t="inlineStr"/>
      <c r="F19" s="4" t="inlineStr"/>
      <c r="G19" s="4" t="inlineStr"/>
    </row>
    <row r="20">
      <c r="A20" s="4" t="inlineStr">
        <is>
          <t>4.15.8-P4</t>
        </is>
      </c>
      <c r="B20" s="4" t="inlineStr">
        <is>
          <t>4.15.8</t>
        </is>
      </c>
      <c r="C20" s="4" t="inlineStr">
        <is>
          <t>medical_student</t>
        </is>
      </c>
      <c r="D20" s="4" t="inlineStr">
        <is>
          <t>Ask about the other knee and about family history, since dysplasia is often bilateral.</t>
        </is>
      </c>
      <c r="E20" s="4" t="inlineStr"/>
      <c r="F20" s="4" t="inlineStr"/>
      <c r="G20" s="4" t="inlineStr"/>
    </row>
    <row r="21">
      <c r="A21" s="4" t="inlineStr">
        <is>
          <t>4.15.9-P1</t>
        </is>
      </c>
      <c r="B21" s="4" t="inlineStr">
        <is>
          <t>4.15.9</t>
        </is>
      </c>
      <c r="C21" s="4" t="inlineStr">
        <is>
          <t>medical_student</t>
        </is>
      </c>
      <c r="D21" s="4" t="inlineStr">
        <is>
          <t>Take the history first, because the pattern carries this diagnosis: pain on stairs, on prolonged sitting, on squatting and after activity rather than during it.</t>
        </is>
      </c>
      <c r="E21" s="4" t="inlineStr"/>
      <c r="F21" s="4" t="inlineStr"/>
      <c r="G21" s="4" t="inlineStr"/>
    </row>
    <row r="22">
      <c r="A22" s="4" t="inlineStr">
        <is>
          <t>4.15.9-P2</t>
        </is>
      </c>
      <c r="B22" s="4" t="inlineStr">
        <is>
          <t>4.15.9</t>
        </is>
      </c>
      <c r="C22" s="4" t="inlineStr">
        <is>
          <t>medical_student</t>
        </is>
      </c>
      <c r="D22" s="4" t="inlineStr">
        <is>
          <t>Assess the patellar facets by displacing the patella and pressing on each.</t>
        </is>
      </c>
      <c r="E22" s="4" t="inlineStr"/>
      <c r="F22" s="4" t="inlineStr"/>
      <c r="G22" s="4" t="inlineStr"/>
    </row>
    <row r="23">
      <c r="A23" s="4" t="inlineStr">
        <is>
          <t>4.15.9-P3</t>
        </is>
      </c>
      <c r="B23" s="4" t="inlineStr">
        <is>
          <t>4.15.9</t>
        </is>
      </c>
      <c r="C23" s="4" t="inlineStr">
        <is>
          <t>medical_student</t>
        </is>
      </c>
      <c r="D23" s="4" t="inlineStr">
        <is>
          <t>Assess the painful arc actively and then with the patella compressed, which loads the joint specifically.</t>
        </is>
      </c>
      <c r="E23" s="4" t="inlineStr"/>
      <c r="F23" s="4" t="inlineStr"/>
      <c r="G23" s="4" t="inlineStr"/>
    </row>
    <row r="24">
      <c r="A24" s="4" t="inlineStr">
        <is>
          <t>4.15.9-P4</t>
        </is>
      </c>
      <c r="B24" s="4" t="inlineStr">
        <is>
          <t>4.15.9</t>
        </is>
      </c>
      <c r="C24" s="4" t="inlineStr">
        <is>
          <t>medical_student</t>
        </is>
      </c>
      <c r="D24" s="4" t="inlineStr">
        <is>
          <t>Assess the tracking in sitting and under load, since maltracking and dynamic valgus are the treatable contributors.</t>
        </is>
      </c>
      <c r="E24" s="4" t="inlineStr"/>
      <c r="F24" s="4" t="inlineStr"/>
      <c r="G24" s="4" t="inlineStr"/>
    </row>
    <row r="25">
      <c r="A25" s="4" t="inlineStr">
        <is>
          <t>4.15.9-P5</t>
        </is>
      </c>
      <c r="B25" s="4" t="inlineStr">
        <is>
          <t>4.15.9</t>
        </is>
      </c>
      <c r="C25" s="4" t="inlineStr">
        <is>
          <t>medical_student</t>
        </is>
      </c>
      <c r="D25" s="4" t="inlineStr">
        <is>
          <t>Exclude the alternatives deliberately: the meniscus, the ligaments, the tendons and the hip.</t>
        </is>
      </c>
      <c r="E25" s="4" t="inlineStr"/>
      <c r="F25" s="4" t="inlineStr"/>
      <c r="G25" s="4" t="inlineStr"/>
    </row>
    <row r="26">
      <c r="A26" s="4" t="inlineStr">
        <is>
          <t>4.15.9-P6</t>
        </is>
      </c>
      <c r="B26" s="4" t="inlineStr">
        <is>
          <t>4.15.9</t>
        </is>
      </c>
      <c r="C26" s="4" t="inlineStr">
        <is>
          <t>medical_student</t>
        </is>
      </c>
      <c r="D26" s="4" t="inlineStr">
        <is>
          <t>Assess the quadriceps and the proximal control, because both are what treatment changes.</t>
        </is>
      </c>
      <c r="E26" s="4" t="inlineStr"/>
      <c r="F26" s="4" t="inlineStr"/>
      <c r="G26" s="4" t="inlineStr"/>
    </row>
    <row r="27">
      <c r="A27" s="4" t="inlineStr">
        <is>
          <t>4.15.9-P7</t>
        </is>
      </c>
      <c r="B27" s="4" t="inlineStr">
        <is>
          <t>4.15.9</t>
        </is>
      </c>
      <c r="C27" s="4" t="inlineStr">
        <is>
          <t>medical_student</t>
        </is>
      </c>
      <c r="D27" s="4" t="inlineStr">
        <is>
          <t>Mechanical symptoms, an effusion or a positive meniscal test point away and should be pursued.</t>
        </is>
      </c>
      <c r="E27" s="4" t="inlineStr"/>
      <c r="F27" s="4" t="inlineStr"/>
      <c r="G27" s="4" t="inlineStr"/>
    </row>
    <row r="28">
      <c r="A28" s="4" t="inlineStr">
        <is>
          <t>4.15.9-P8</t>
        </is>
      </c>
      <c r="B28" s="4" t="inlineStr">
        <is>
          <t>4.15.9</t>
        </is>
      </c>
      <c r="C28" s="4" t="inlineStr">
        <is>
          <t>frcs</t>
        </is>
      </c>
      <c r="D28" s="4" t="inlineStr">
        <is>
          <t>A patient whose pain has a mechanical component found on examination has a different diagnosis, and this label should not be applied to it.</t>
        </is>
      </c>
      <c r="E28" s="4" t="inlineStr"/>
      <c r="F28" s="4" t="inlineStr"/>
      <c r="G28" s="4" t="inlineStr"/>
    </row>
    <row r="29">
      <c r="A29" s="4" t="inlineStr">
        <is>
          <t>4.15.9-P9</t>
        </is>
      </c>
      <c r="B29" s="4" t="inlineStr">
        <is>
          <t>4.15.9</t>
        </is>
      </c>
      <c r="C29" s="4" t="inlineStr">
        <is>
          <t>fellowship</t>
        </is>
      </c>
      <c r="D29" s="4" t="inlineStr">
        <is>
          <t>In medicolegal work this diagnosis is difficult to attribute to an injury, because it has no structural correlate, and that limit should be stated plainly.</t>
        </is>
      </c>
      <c r="E29" s="4" t="inlineStr"/>
      <c r="F29" s="4" t="inlineStr"/>
      <c r="G29" s="4" t="inlineStr"/>
    </row>
    <row r="30">
      <c r="A30" s="4" t="inlineStr">
        <is>
          <t>4.15.10-P1</t>
        </is>
      </c>
      <c r="B30" s="4" t="inlineStr">
        <is>
          <t>4.15.10</t>
        </is>
      </c>
      <c r="C30" s="4" t="inlineStr">
        <is>
          <t>medical_student</t>
        </is>
      </c>
      <c r="D30" s="4" t="inlineStr">
        <is>
          <t>Take the history: pain on stairs and on rising from a chair, worse going down than up, with stiffness after sitting.</t>
        </is>
      </c>
      <c r="E30" s="4" t="inlineStr"/>
      <c r="F30" s="4" t="inlineStr"/>
      <c r="G30" s="4" t="inlineStr"/>
    </row>
    <row r="31">
      <c r="A31" s="4" t="inlineStr">
        <is>
          <t>4.15.10-P2</t>
        </is>
      </c>
      <c r="B31" s="4" t="inlineStr">
        <is>
          <t>4.15.10</t>
        </is>
      </c>
      <c r="C31" s="4" t="inlineStr">
        <is>
          <t>medical_student</t>
        </is>
      </c>
      <c r="D31" s="4" t="inlineStr">
        <is>
          <t>Assess the patellar facets by displacement and palpation, noting diffuse rather than focal tenderness.</t>
        </is>
      </c>
      <c r="E31" s="4" t="inlineStr"/>
      <c r="F31" s="4" t="inlineStr"/>
      <c r="G31" s="4" t="inlineStr"/>
    </row>
    <row r="32">
      <c r="A32" s="4" t="inlineStr">
        <is>
          <t>4.15.10-P3</t>
        </is>
      </c>
      <c r="B32" s="4" t="inlineStr">
        <is>
          <t>4.15.10</t>
        </is>
      </c>
      <c r="C32" s="4" t="inlineStr">
        <is>
          <t>medical_student</t>
        </is>
      </c>
      <c r="D32" s="4" t="inlineStr">
        <is>
          <t>Assess the painful arc, with and without patellar compression, and note crepitus felt under the hand as the knee moves.</t>
        </is>
      </c>
      <c r="E32" s="4" t="inlineStr"/>
      <c r="F32" s="4" t="inlineStr"/>
      <c r="G32" s="4" t="inlineStr"/>
    </row>
    <row r="33">
      <c r="A33" s="4" t="inlineStr">
        <is>
          <t>4.15.10-P4</t>
        </is>
      </c>
      <c r="B33" s="4" t="inlineStr">
        <is>
          <t>4.15.10</t>
        </is>
      </c>
      <c r="C33" s="4" t="inlineStr">
        <is>
          <t>medical_student</t>
        </is>
      </c>
      <c r="D33" s="4" t="inlineStr">
        <is>
          <t>Assess the tibiofemoral compartments, the joint lines and the alignment, since isolated patellofemoral arthritis is less common than the combined pattern.</t>
        </is>
      </c>
      <c r="E33" s="4" t="inlineStr"/>
      <c r="F33" s="4" t="inlineStr"/>
      <c r="G33" s="4" t="inlineStr"/>
    </row>
    <row r="34">
      <c r="A34" s="4" t="inlineStr">
        <is>
          <t>4.15.10-P5</t>
        </is>
      </c>
      <c r="B34" s="4" t="inlineStr">
        <is>
          <t>4.15.10</t>
        </is>
      </c>
      <c r="C34" s="4" t="inlineStr">
        <is>
          <t>medical_student</t>
        </is>
      </c>
      <c r="D34" s="4" t="inlineStr">
        <is>
          <t>Assess the range and the quadriceps, which are what limit the patient functionally.</t>
        </is>
      </c>
      <c r="E34" s="4" t="inlineStr"/>
      <c r="F34" s="4" t="inlineStr"/>
      <c r="G34" s="4" t="inlineStr"/>
    </row>
  </sheetData>
  <dataValidations count="1">
    <dataValidation sqref="E3:E34"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row r="3">
      <c r="A3" s="4" t="inlineStr">
        <is>
          <t>4.15.4-F1</t>
        </is>
      </c>
      <c r="B3" s="4" t="inlineStr">
        <is>
          <t>4.15.4</t>
        </is>
      </c>
      <c r="C3" s="4" t="inlineStr">
        <is>
          <t>medical_student</t>
        </is>
      </c>
      <c r="D3" s="4" t="inlineStr">
        <is>
          <t>thirty degrees</t>
        </is>
      </c>
      <c r="E3" s="4" t="inlineStr">
        <is>
          <t>Repeat with the knee flexed to about thirty degrees, since the patella engages the trochlea there and the glide should reduce.</t>
        </is>
      </c>
      <c r="F3" s="4" t="inlineStr"/>
      <c r="G3" s="4" t="inlineStr"/>
      <c r="H3" s="4" t="inlineStr"/>
    </row>
    <row r="4">
      <c r="A4" s="4" t="inlineStr">
        <is>
          <t>4.15.7-F1</t>
        </is>
      </c>
      <c r="B4" s="4" t="inlineStr">
        <is>
          <t>4.15.7</t>
        </is>
      </c>
      <c r="C4" s="4" t="inlineStr">
        <is>
          <t>medical_student</t>
        </is>
      </c>
      <c r="D4" s="4" t="inlineStr">
        <is>
          <t>thirty degrees</t>
        </is>
      </c>
      <c r="E4" s="4" t="inlineStr">
        <is>
          <t>Assess the lateral glide in quadrants, at full extension and at thirty degrees.</t>
        </is>
      </c>
      <c r="F4" s="4" t="inlineStr"/>
      <c r="G4" s="4" t="inlineStr"/>
      <c r="H4" s="4" t="inlineStr"/>
    </row>
    <row r="5">
      <c r="A5" s="4" t="inlineStr">
        <is>
          <t>4.15.8-F1</t>
        </is>
      </c>
      <c r="B5" s="4" t="inlineStr">
        <is>
          <t>4.15.8</t>
        </is>
      </c>
      <c r="C5" s="4" t="inlineStr">
        <is>
          <t>medical_student</t>
        </is>
      </c>
      <c r="D5" s="4" t="inlineStr">
        <is>
          <t>thirty degrees</t>
        </is>
      </c>
      <c r="E5" s="4" t="inlineStr">
        <is>
          <t>Assess the lateral glide at full extension and at thirty degrees, and note whether it falls as the knee flexes.</t>
        </is>
      </c>
      <c r="F5" s="4" t="inlineStr"/>
      <c r="G5" s="4" t="inlineStr"/>
      <c r="H5" s="4" t="inlineStr"/>
    </row>
  </sheetData>
  <dataValidations count="1">
    <dataValidation sqref="F3:F5" showDropDown="0" showInputMessage="0" showErrorMessage="0" allowBlank="1" errorTitle="Not an allowed decision" error="Use one of: VERIFIED, CORRECTED, REMOVED" type="list">
      <formula1>"VERIFIED,CORRECTED,REMOVED"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32</f>
        <v/>
      </c>
      <c r="C2" s="3">
        <f>3</f>
        <v/>
      </c>
    </row>
    <row r="3">
      <c r="A3" s="2" t="inlineStr">
        <is>
          <t>Decided</t>
        </is>
      </c>
      <c r="B3" s="3">
        <f>COUNTIF(Recommendations!E3:E34,"&lt;&gt;")</f>
        <v/>
      </c>
      <c r="C3" s="3">
        <f>COUNTIF(Measurements!F3:F5,"&lt;&gt;")</f>
        <v/>
      </c>
    </row>
    <row r="4">
      <c r="A4" s="2" t="inlineStr">
        <is>
          <t>Still blank</t>
        </is>
      </c>
      <c r="B4" s="3">
        <f>B2-B3</f>
        <v/>
      </c>
      <c r="C4" s="3">
        <f>C2-C3</f>
        <v/>
      </c>
    </row>
    <row r="5">
      <c r="A5" s="2" t="inlineStr">
        <is>
          <t>CONFIRMED</t>
        </is>
      </c>
      <c r="B5" s="3">
        <f>COUNTIF(Recommendations!E3:E34,"CONFIRMED")</f>
        <v/>
      </c>
      <c r="C5" s="3" t="inlineStr"/>
    </row>
    <row r="6">
      <c r="A6" s="2" t="inlineStr">
        <is>
          <t>AMENDED</t>
        </is>
      </c>
      <c r="B6" s="3">
        <f>COUNTIF(Recommendations!E3:E34,"AMENDED")</f>
        <v/>
      </c>
      <c r="C6" s="3" t="inlineStr"/>
    </row>
    <row r="7">
      <c r="A7" s="2" t="inlineStr">
        <is>
          <t>WITHDRAWN</t>
        </is>
      </c>
      <c r="B7" s="3">
        <f>COUNTIF(Recommendations!E3:E34,"WITHDRAWN")</f>
        <v/>
      </c>
      <c r="C7" s="3" t="inlineStr"/>
    </row>
    <row r="8">
      <c r="A8" s="2" t="inlineStr">
        <is>
          <t>NOT_CLINICAL</t>
        </is>
      </c>
      <c r="B8" s="3">
        <f>COUNTIF(Recommendations!E3:E34,"NOT_CLINICAL")</f>
        <v/>
      </c>
      <c r="C8" s="3" t="inlineStr"/>
    </row>
    <row r="9">
      <c r="A9" s="2" t="inlineStr">
        <is>
          <t>VERIFIED</t>
        </is>
      </c>
      <c r="B9" s="3" t="inlineStr"/>
      <c r="C9" s="3">
        <f>COUNTIF(Measurements!F3:F5,"VERIFIED")</f>
        <v/>
      </c>
    </row>
    <row r="10">
      <c r="A10" s="2" t="inlineStr">
        <is>
          <t>CORRECTED</t>
        </is>
      </c>
      <c r="B10" s="3" t="inlineStr"/>
      <c r="C10" s="3">
        <f>COUNTIF(Measurements!F3:F5,"CORRECTED")</f>
        <v/>
      </c>
    </row>
    <row r="11">
      <c r="A11" s="2" t="inlineStr">
        <is>
          <t>REMOVED</t>
        </is>
      </c>
      <c r="B11" s="3" t="inlineStr"/>
      <c r="C11" s="3">
        <f>COUNTIF(Measurements!F3:F5,"REMOVED")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2026-10-13T19:51:38Z</dcterms:created>
  <dcterms:modified xmlns:dcterms="http://purl.org/dc/terms/" xmlns:xsi="http://www.w3.org/2001/XMLSchema-instance" xsi:type="dcterms:W3CDTF">2026-10-13T19:51:38Z</dcterms:modified>
</cp:coreProperties>
</file>