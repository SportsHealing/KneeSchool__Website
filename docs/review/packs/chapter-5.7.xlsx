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5.7 ACL MRI</t>
        </is>
      </c>
    </row>
    <row r="3">
      <c r="A3" s="2" t="inlineStr">
        <is>
          <t>Section</t>
        </is>
      </c>
      <c r="B3" s="3" t="inlineStr">
        <is>
          <t>5</t>
        </is>
      </c>
    </row>
    <row r="4">
      <c r="A4" s="2" t="inlineStr">
        <is>
          <t>Chapter</t>
        </is>
      </c>
      <c r="B4" s="3" t="inlineStr">
        <is>
          <t>5.7 ACL MRI</t>
        </is>
      </c>
    </row>
    <row r="5">
      <c r="A5" s="2" t="inlineStr">
        <is>
          <t>Pages</t>
        </is>
      </c>
      <c r="B5" s="3" t="n">
        <v>14</v>
      </c>
    </row>
    <row r="6">
      <c r="A6" s="2" t="inlineStr">
        <is>
          <t>Page type</t>
        </is>
      </c>
      <c r="B6" s="3" t="inlineStr">
        <is>
          <t>imaging</t>
        </is>
      </c>
    </row>
    <row r="7">
      <c r="A7" s="2" t="inlineStr">
        <is>
          <t>Tiers</t>
        </is>
      </c>
      <c r="B7" s="3" t="inlineStr">
        <is>
          <t>medical student, mrcs, frcs, fellowship</t>
        </is>
      </c>
    </row>
    <row r="8">
      <c r="A8" s="2" t="inlineStr">
        <is>
          <t>Words</t>
        </is>
      </c>
      <c r="B8" s="3" t="inlineStr">
        <is>
          <t>18,702</t>
        </is>
      </c>
    </row>
    <row r="9">
      <c r="A9" s="2" t="inlineStr">
        <is>
          <t>Style gate</t>
        </is>
      </c>
      <c r="B9" s="3" t="inlineStr">
        <is>
          <t>all pages pass, 49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49</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5.7.1</t>
        </is>
      </c>
      <c r="B2" s="6" t="inlineStr">
        <is>
          <t>Normal ACL</t>
        </is>
      </c>
      <c r="C2" s="6" t="n">
        <v>4</v>
      </c>
      <c r="D2" s="6" t="n">
        <v>1480</v>
      </c>
      <c r="E2" s="6" t="inlineStr">
        <is>
          <t>imaging/normal-acl-mri.html</t>
        </is>
      </c>
    </row>
    <row r="3">
      <c r="A3" s="6" t="inlineStr">
        <is>
          <t>5.7.2</t>
        </is>
      </c>
      <c r="B3" s="6" t="inlineStr">
        <is>
          <t>Partial Tears</t>
        </is>
      </c>
      <c r="C3" s="6" t="n">
        <v>4</v>
      </c>
      <c r="D3" s="6" t="n">
        <v>1406</v>
      </c>
      <c r="E3" s="6" t="inlineStr">
        <is>
          <t>imaging/partial-acl-tears.html</t>
        </is>
      </c>
    </row>
    <row r="4">
      <c r="A4" s="6" t="inlineStr">
        <is>
          <t>5.7.3</t>
        </is>
      </c>
      <c r="B4" s="6" t="inlineStr">
        <is>
          <t>Complete Tears</t>
        </is>
      </c>
      <c r="C4" s="6" t="n">
        <v>4</v>
      </c>
      <c r="D4" s="6" t="n">
        <v>1369</v>
      </c>
      <c r="E4" s="6" t="inlineStr">
        <is>
          <t>imaging/complete-acl-tears.html</t>
        </is>
      </c>
    </row>
    <row r="5">
      <c r="A5" s="6" t="inlineStr">
        <is>
          <t>5.7.4</t>
        </is>
      </c>
      <c r="B5" s="6" t="inlineStr">
        <is>
          <t>Acute ACL Injury</t>
        </is>
      </c>
      <c r="C5" s="6" t="n">
        <v>4</v>
      </c>
      <c r="D5" s="6" t="n">
        <v>1331</v>
      </c>
      <c r="E5" s="6" t="inlineStr">
        <is>
          <t>imaging/acute-acl-injury-mri.html</t>
        </is>
      </c>
    </row>
    <row r="6">
      <c r="A6" s="6" t="inlineStr">
        <is>
          <t>5.7.5</t>
        </is>
      </c>
      <c r="B6" s="6" t="inlineStr">
        <is>
          <t>Chronic ACL Injury</t>
        </is>
      </c>
      <c r="C6" s="6" t="n">
        <v>4</v>
      </c>
      <c r="D6" s="6" t="n">
        <v>1289</v>
      </c>
      <c r="E6" s="6" t="inlineStr">
        <is>
          <t>imaging/chronic-acl-injury-mri.html</t>
        </is>
      </c>
    </row>
    <row r="7">
      <c r="A7" s="6" t="inlineStr">
        <is>
          <t>5.7.6</t>
        </is>
      </c>
      <c r="B7" s="6" t="inlineStr">
        <is>
          <t>Mucoid Degeneration</t>
        </is>
      </c>
      <c r="C7" s="6" t="n">
        <v>4</v>
      </c>
      <c r="D7" s="6" t="n">
        <v>1260</v>
      </c>
      <c r="E7" s="6" t="inlineStr">
        <is>
          <t>imaging/acl-mucoid-degeneration.html</t>
        </is>
      </c>
    </row>
    <row r="8">
      <c r="A8" s="6" t="inlineStr">
        <is>
          <t>5.7.7</t>
        </is>
      </c>
      <c r="B8" s="6" t="inlineStr">
        <is>
          <t>Ganglion Cysts</t>
        </is>
      </c>
      <c r="C8" s="6" t="n">
        <v>4</v>
      </c>
      <c r="D8" s="6" t="n">
        <v>1268</v>
      </c>
      <c r="E8" s="6" t="inlineStr">
        <is>
          <t>imaging/acl-ganglion-cysts.html</t>
        </is>
      </c>
    </row>
    <row r="9">
      <c r="A9" s="6" t="inlineStr">
        <is>
          <t>5.7.8</t>
        </is>
      </c>
      <c r="B9" s="6" t="inlineStr">
        <is>
          <t>ACL Healing</t>
        </is>
      </c>
      <c r="C9" s="6" t="n">
        <v>4</v>
      </c>
      <c r="D9" s="6" t="n">
        <v>1281</v>
      </c>
      <c r="E9" s="6" t="inlineStr">
        <is>
          <t>imaging/acl-healing.html</t>
        </is>
      </c>
    </row>
    <row r="10">
      <c r="A10" s="6" t="inlineStr">
        <is>
          <t>5.7.9</t>
        </is>
      </c>
      <c r="B10" s="6" t="inlineStr">
        <is>
          <t>ACL Reconstruction</t>
        </is>
      </c>
      <c r="C10" s="6" t="n">
        <v>4</v>
      </c>
      <c r="D10" s="6" t="n">
        <v>1376</v>
      </c>
      <c r="E10" s="6" t="inlineStr">
        <is>
          <t>imaging/acl-reconstruction-mri.html</t>
        </is>
      </c>
    </row>
    <row r="11">
      <c r="A11" s="6" t="inlineStr">
        <is>
          <t>5.7.10</t>
        </is>
      </c>
      <c r="B11" s="6" t="inlineStr">
        <is>
          <t>Graft Maturation</t>
        </is>
      </c>
      <c r="C11" s="6" t="n">
        <v>4</v>
      </c>
      <c r="D11" s="6" t="n">
        <v>1285</v>
      </c>
      <c r="E11" s="6" t="inlineStr">
        <is>
          <t>imaging/graft-maturation.html</t>
        </is>
      </c>
    </row>
    <row r="12">
      <c r="A12" s="6" t="inlineStr">
        <is>
          <t>5.7.11</t>
        </is>
      </c>
      <c r="B12" s="6" t="inlineStr">
        <is>
          <t>Graft Failure</t>
        </is>
      </c>
      <c r="C12" s="6" t="n">
        <v>4</v>
      </c>
      <c r="D12" s="6" t="n">
        <v>1302</v>
      </c>
      <c r="E12" s="6" t="inlineStr">
        <is>
          <t>imaging/acl-graft-failure.html</t>
        </is>
      </c>
    </row>
    <row r="13">
      <c r="A13" s="6" t="inlineStr">
        <is>
          <t>5.7.12</t>
        </is>
      </c>
      <c r="B13" s="6" t="inlineStr">
        <is>
          <t>Tunnel Assessment</t>
        </is>
      </c>
      <c r="C13" s="6" t="n">
        <v>4</v>
      </c>
      <c r="D13" s="6" t="n">
        <v>1442</v>
      </c>
      <c r="E13" s="6" t="inlineStr">
        <is>
          <t>imaging/tunnel-assessment.html</t>
        </is>
      </c>
    </row>
    <row r="14">
      <c r="A14" s="6" t="inlineStr">
        <is>
          <t>5.7.13</t>
        </is>
      </c>
      <c r="B14" s="6" t="inlineStr">
        <is>
          <t>Cyclops Lesions</t>
        </is>
      </c>
      <c r="C14" s="6" t="n">
        <v>4</v>
      </c>
      <c r="D14" s="6" t="n">
        <v>1277</v>
      </c>
      <c r="E14" s="6" t="inlineStr">
        <is>
          <t>imaging/cyclops-lesions.html</t>
        </is>
      </c>
    </row>
    <row r="15">
      <c r="A15" s="6" t="inlineStr">
        <is>
          <t>5.7.14</t>
        </is>
      </c>
      <c r="B15" s="6" t="inlineStr">
        <is>
          <t>Revision ACL Imaging</t>
        </is>
      </c>
      <c r="C15" s="6" t="n">
        <v>4</v>
      </c>
      <c r="D15" s="6" t="n">
        <v>1336</v>
      </c>
      <c r="E15" s="6" t="inlineStr">
        <is>
          <t>imaging/revision-acl-imaging.html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5.7.1</t>
        </is>
      </c>
      <c r="B2" s="4" t="inlineStr">
        <is>
          <t>Normal ACL</t>
        </is>
      </c>
      <c r="C2" s="4" t="inlineStr">
        <is>
          <t>Normal ligament signal has no agreed definition.</t>
        </is>
      </c>
    </row>
    <row r="3">
      <c r="A3" s="4" t="inlineStr">
        <is>
          <t>5.7.1</t>
        </is>
      </c>
      <c r="B3" s="4" t="inlineStr">
        <is>
          <t>Normal ACL</t>
        </is>
      </c>
      <c r="C3" s="4" t="inlineStr">
        <is>
          <t>Knee position changes the line and tension and is not recorded.</t>
        </is>
      </c>
    </row>
    <row r="4">
      <c r="A4" s="4" t="inlineStr">
        <is>
          <t>5.7.1</t>
        </is>
      </c>
      <c r="B4" s="4" t="inlineStr">
        <is>
          <t>Normal ACL</t>
        </is>
      </c>
      <c r="C4" s="4" t="inlineStr">
        <is>
          <t>A structurally normal ligament can be functionally lax.</t>
        </is>
      </c>
    </row>
    <row r="5">
      <c r="A5" s="4" t="inlineStr">
        <is>
          <t>5.7.1</t>
        </is>
      </c>
      <c r="B5" s="4" t="inlineStr">
        <is>
          <t>Normal ACL</t>
        </is>
      </c>
      <c r="C5" s="4" t="inlineStr">
        <is>
          <t>The secondary signs carry the equivocal case.</t>
        </is>
      </c>
    </row>
    <row r="6">
      <c r="A6" s="4" t="inlineStr">
        <is>
          <t>5.7.1</t>
        </is>
      </c>
      <c r="B6" s="4" t="inlineStr">
        <is>
          <t>Normal ACL</t>
        </is>
      </c>
      <c r="C6" s="4" t="inlineStr">
        <is>
          <t>Automated reading reproduces the reader inconsistency it was trained on.</t>
        </is>
      </c>
    </row>
    <row r="7">
      <c r="A7" s="4" t="inlineStr">
        <is>
          <t>5.7.2</t>
        </is>
      </c>
      <c r="B7" s="4" t="inlineStr">
        <is>
          <t>Partial Tears</t>
        </is>
      </c>
      <c r="C7" s="4" t="inlineStr">
        <is>
          <t>There is no agreed threshold of fibre loss for a partial tear.</t>
        </is>
      </c>
    </row>
    <row r="8">
      <c r="A8" s="4" t="inlineStr">
        <is>
          <t>5.7.2</t>
        </is>
      </c>
      <c r="B8" s="4" t="inlineStr">
        <is>
          <t>Partial Tears</t>
        </is>
      </c>
      <c r="C8" s="4" t="inlineStr">
        <is>
          <t>The published series on progression are not describing the same lesion.</t>
        </is>
      </c>
    </row>
    <row r="9">
      <c r="A9" s="4" t="inlineStr">
        <is>
          <t>5.7.2</t>
        </is>
      </c>
      <c r="B9" s="4" t="inlineStr">
        <is>
          <t>Partial Tears</t>
        </is>
      </c>
      <c r="C9" s="4" t="inlineStr">
        <is>
          <t>Fibre continuity and function diverge most in the middle range.</t>
        </is>
      </c>
    </row>
    <row r="10">
      <c r="A10" s="4" t="inlineStr">
        <is>
          <t>5.7.2</t>
        </is>
      </c>
      <c r="B10" s="4" t="inlineStr">
        <is>
          <t>Partial Tears</t>
        </is>
      </c>
      <c r="C10" s="4" t="inlineStr">
        <is>
          <t>Oblique sequences would help and are usually not acquired.</t>
        </is>
      </c>
    </row>
    <row r="11">
      <c r="A11" s="4" t="inlineStr">
        <is>
          <t>5.7.2</t>
        </is>
      </c>
      <c r="B11" s="4" t="inlineStr">
        <is>
          <t>Partial Tears</t>
        </is>
      </c>
      <c r="C11" s="4" t="inlineStr">
        <is>
          <t>The report starts a pathway the finding does not support.</t>
        </is>
      </c>
    </row>
    <row r="12">
      <c r="A12" s="4" t="inlineStr">
        <is>
          <t>5.7.3</t>
        </is>
      </c>
      <c r="B12" s="4" t="inlineStr">
        <is>
          <t>Complete Tears</t>
        </is>
      </c>
      <c r="C12" s="4" t="inlineStr">
        <is>
          <t>The reconstruction decision is made on examination, not appearance.</t>
        </is>
      </c>
    </row>
    <row r="13">
      <c r="A13" s="4" t="inlineStr">
        <is>
          <t>5.7.3</t>
        </is>
      </c>
      <c r="B13" s="4" t="inlineStr">
        <is>
          <t>Complete Tears</t>
        </is>
      </c>
      <c r="C13" s="4" t="inlineStr">
        <is>
          <t>The associated injuries that matter most are detected worst.</t>
        </is>
      </c>
    </row>
    <row r="14">
      <c r="A14" s="4" t="inlineStr">
        <is>
          <t>5.7.3</t>
        </is>
      </c>
      <c r="B14" s="4" t="inlineStr">
        <is>
          <t>Complete Tears</t>
        </is>
      </c>
      <c r="C14" s="4" t="inlineStr">
        <is>
          <t>The level of the tear is often not described.</t>
        </is>
      </c>
    </row>
    <row r="15">
      <c r="A15" s="4" t="inlineStr">
        <is>
          <t>5.7.3</t>
        </is>
      </c>
      <c r="B15" s="4" t="inlineStr">
        <is>
          <t>Complete Tears</t>
        </is>
      </c>
      <c r="C15" s="4" t="inlineStr">
        <is>
          <t>Translation is measured unloaded and supine.</t>
        </is>
      </c>
    </row>
    <row r="16">
      <c r="A16" s="4" t="inlineStr">
        <is>
          <t>5.7.3</t>
        </is>
      </c>
      <c r="B16" s="4" t="inlineStr">
        <is>
          <t>Complete Tears</t>
        </is>
      </c>
      <c r="C16" s="4" t="inlineStr">
        <is>
          <t>The reporting convention has not followed the question.</t>
        </is>
      </c>
    </row>
    <row r="17">
      <c r="A17" s="4" t="inlineStr">
        <is>
          <t>5.7.4</t>
        </is>
      </c>
      <c r="B17" s="4" t="inlineStr">
        <is>
          <t>Acute ACL Injury</t>
        </is>
      </c>
      <c r="C17" s="4" t="inlineStr">
        <is>
          <t>The findings repairable only acutely are detected worst acutely.</t>
        </is>
      </c>
    </row>
    <row r="18">
      <c r="A18" s="4" t="inlineStr">
        <is>
          <t>5.7.4</t>
        </is>
      </c>
      <c r="B18" s="4" t="inlineStr">
        <is>
          <t>Acute ACL Injury</t>
        </is>
      </c>
      <c r="C18" s="4" t="inlineStr">
        <is>
          <t>Request timing matters more than the protocol here.</t>
        </is>
      </c>
    </row>
    <row r="19">
      <c r="A19" s="4" t="inlineStr">
        <is>
          <t>5.7.4</t>
        </is>
      </c>
      <c r="B19" s="4" t="inlineStr">
        <is>
          <t>Acute ACL Injury</t>
        </is>
      </c>
      <c r="C19" s="4" t="inlineStr">
        <is>
          <t>The bone bruise is reported as carrying a prognosis it has not established.</t>
        </is>
      </c>
    </row>
    <row r="20">
      <c r="A20" s="4" t="inlineStr">
        <is>
          <t>5.7.4</t>
        </is>
      </c>
      <c r="B20" s="4" t="inlineStr">
        <is>
          <t>Acute ACL Injury</t>
        </is>
      </c>
      <c r="C20" s="4" t="inlineStr">
        <is>
          <t>Supine translation and examined laxity are different quantities.</t>
        </is>
      </c>
    </row>
    <row r="21">
      <c r="A21" s="4" t="inlineStr">
        <is>
          <t>5.7.4</t>
        </is>
      </c>
      <c r="B21" s="4" t="inlineStr">
        <is>
          <t>Acute ACL Injury</t>
        </is>
      </c>
      <c r="C21" s="4" t="inlineStr">
        <is>
          <t>A structured report would make the corners and roots mandatory fields.</t>
        </is>
      </c>
    </row>
    <row r="22">
      <c r="A22" s="4" t="inlineStr">
        <is>
          <t>5.7.5</t>
        </is>
      </c>
      <c r="B22" s="4" t="inlineStr">
        <is>
          <t>Chronic ACL Injury</t>
        </is>
      </c>
      <c r="C22" s="4" t="inlineStr">
        <is>
          <t>The surrogates for a protectable compartment are supine and poorly standardised.</t>
        </is>
      </c>
    </row>
    <row r="23">
      <c r="A23" s="4" t="inlineStr">
        <is>
          <t>5.7.5</t>
        </is>
      </c>
      <c r="B23" s="4" t="inlineStr">
        <is>
          <t>Chronic ACL Injury</t>
        </is>
      </c>
      <c r="C23" s="4" t="inlineStr">
        <is>
          <t>A ligament protocol understates the cartilage loss that decides the case.</t>
        </is>
      </c>
    </row>
    <row r="24">
      <c r="A24" s="4" t="inlineStr">
        <is>
          <t>5.7.5</t>
        </is>
      </c>
      <c r="B24" s="4" t="inlineStr">
        <is>
          <t>Chronic ACL Injury</t>
        </is>
      </c>
      <c r="C24" s="4" t="inlineStr">
        <is>
          <t>Whether reconstruction alters the degenerative course is unsettled.</t>
        </is>
      </c>
    </row>
    <row r="25">
      <c r="A25" s="4" t="inlineStr">
        <is>
          <t>5.7.5</t>
        </is>
      </c>
      <c r="B25" s="4" t="inlineStr">
        <is>
          <t>Chronic ACL Injury</t>
        </is>
      </c>
      <c r="C25" s="4" t="inlineStr">
        <is>
          <t>Alignment and meniscal state sit in two different studies.</t>
        </is>
      </c>
    </row>
    <row r="26">
      <c r="A26" s="4" t="inlineStr">
        <is>
          <t>5.7.5</t>
        </is>
      </c>
      <c r="B26" s="4" t="inlineStr">
        <is>
          <t>Chronic ACL Injury</t>
        </is>
      </c>
      <c r="C26" s="4" t="inlineStr">
        <is>
          <t>Quantitative cartilage sequences would fit this decision and are not routine.</t>
        </is>
      </c>
    </row>
    <row r="27">
      <c r="A27" s="4" t="inlineStr">
        <is>
          <t>5.7.6</t>
        </is>
      </c>
      <c r="B27" s="4" t="inlineStr">
        <is>
          <t>Mucoid Degeneration</t>
        </is>
      </c>
      <c r="C27" s="4" t="inlineStr">
        <is>
          <t>The appearance is common in asymptomatic knees.</t>
        </is>
      </c>
    </row>
    <row r="28">
      <c r="A28" s="4" t="inlineStr">
        <is>
          <t>5.7.6</t>
        </is>
      </c>
      <c r="B28" s="4" t="inlineStr">
        <is>
          <t>Mucoid Degeneration</t>
        </is>
      </c>
      <c r="C28" s="4" t="inlineStr">
        <is>
          <t>Whether it causes pain is unsettled and the surgical series are selected.</t>
        </is>
      </c>
    </row>
    <row r="29">
      <c r="A29" s="4" t="inlineStr">
        <is>
          <t>5.7.6</t>
        </is>
      </c>
      <c r="B29" s="4" t="inlineStr">
        <is>
          <t>Mucoid Degeneration</t>
        </is>
      </c>
      <c r="C29" s="4" t="inlineStr">
        <is>
          <t>Debridement removes an intact restraint and can produce laxity.</t>
        </is>
      </c>
    </row>
    <row r="30">
      <c r="A30" s="4" t="inlineStr">
        <is>
          <t>5.7.6</t>
        </is>
      </c>
      <c r="B30" s="4" t="inlineStr">
        <is>
          <t>Mucoid Degeneration</t>
        </is>
      </c>
      <c r="C30" s="4" t="inlineStr">
        <is>
          <t>The term spans a range with no threshold.</t>
        </is>
      </c>
    </row>
    <row r="31">
      <c r="A31" s="4" t="inlineStr">
        <is>
          <t>5.7.6</t>
        </is>
      </c>
      <c r="B31" s="4" t="inlineStr">
        <is>
          <t>Mucoid Degeneration</t>
        </is>
      </c>
      <c r="C31" s="4" t="inlineStr">
        <is>
          <t>Reporting calibre and continuity separately would remove most of the error.</t>
        </is>
      </c>
    </row>
    <row r="32">
      <c r="A32" s="4" t="inlineStr">
        <is>
          <t>5.7.7</t>
        </is>
      </c>
      <c r="B32" s="4" t="inlineStr">
        <is>
          <t>Ganglion Cysts</t>
        </is>
      </c>
      <c r="C32" s="4" t="inlineStr">
        <is>
          <t>The pre-test probability that a given cyst explains a complaint is low.</t>
        </is>
      </c>
    </row>
    <row r="33">
      <c r="A33" s="4" t="inlineStr">
        <is>
          <t>5.7.7</t>
        </is>
      </c>
      <c r="B33" s="4" t="inlineStr">
        <is>
          <t>Ganglion Cysts</t>
        </is>
      </c>
      <c r="C33" s="4" t="inlineStr">
        <is>
          <t>Whether this and mucoid change are one entity is unsettled.</t>
        </is>
      </c>
    </row>
    <row r="34">
      <c r="A34" s="4" t="inlineStr">
        <is>
          <t>5.7.7</t>
        </is>
      </c>
      <c r="B34" s="4" t="inlineStr">
        <is>
          <t>Ganglion Cysts</t>
        </is>
      </c>
      <c r="C34" s="4" t="inlineStr">
        <is>
          <t>The treatment series are small, uncontrolled and selected on imaging.</t>
        </is>
      </c>
    </row>
    <row r="35">
      <c r="A35" s="4" t="inlineStr">
        <is>
          <t>5.7.7</t>
        </is>
      </c>
      <c r="B35" s="4" t="inlineStr">
        <is>
          <t>Ganglion Cysts</t>
        </is>
      </c>
      <c r="C35" s="4" t="inlineStr">
        <is>
          <t>No size threshold for significance is established.</t>
        </is>
      </c>
    </row>
    <row r="36">
      <c r="A36" s="4" t="inlineStr">
        <is>
          <t>5.7.7</t>
        </is>
      </c>
      <c r="B36" s="4" t="inlineStr">
        <is>
          <t>Ganglion Cysts</t>
        </is>
      </c>
      <c r="C36" s="4" t="inlineStr">
        <is>
          <t>Stating that a finding is probably incidental helps more than describing it well.</t>
        </is>
      </c>
    </row>
    <row r="37">
      <c r="A37" s="4" t="inlineStr">
        <is>
          <t>5.7.8</t>
        </is>
      </c>
      <c r="B37" s="4" t="inlineStr">
        <is>
          <t>ACL Healing</t>
        </is>
      </c>
      <c r="C37" s="4" t="inlineStr">
        <is>
          <t>No imaging criterion for a ligament likely to heal is established.</t>
        </is>
      </c>
    </row>
    <row r="38">
      <c r="A38" s="4" t="inlineStr">
        <is>
          <t>5.7.8</t>
        </is>
      </c>
      <c r="B38" s="4" t="inlineStr">
        <is>
          <t>ACL Healing</t>
        </is>
      </c>
      <c r="C38" s="4" t="inlineStr">
        <is>
          <t>Continuity is used as an outcome and is least related to function.</t>
        </is>
      </c>
    </row>
    <row r="39">
      <c r="A39" s="4" t="inlineStr">
        <is>
          <t>5.7.8</t>
        </is>
      </c>
      <c r="B39" s="4" t="inlineStr">
        <is>
          <t>ACL Healing</t>
        </is>
      </c>
      <c r="C39" s="4" t="inlineStr">
        <is>
          <t>Stiffness is the quantity of interest and no clinical sequence measures it.</t>
        </is>
      </c>
    </row>
    <row r="40">
      <c r="A40" s="4" t="inlineStr">
        <is>
          <t>5.7.8</t>
        </is>
      </c>
      <c r="B40" s="4" t="inlineStr">
        <is>
          <t>ACL Healing</t>
        </is>
      </c>
      <c r="C40" s="4" t="inlineStr">
        <is>
          <t>Supine translation understates the laxity that matters.</t>
        </is>
      </c>
    </row>
    <row r="41">
      <c r="A41" s="4" t="inlineStr">
        <is>
          <t>5.7.8</t>
        </is>
      </c>
      <c r="B41" s="4" t="inlineStr">
        <is>
          <t>ACL Healing</t>
        </is>
      </c>
      <c r="C41" s="4" t="inlineStr">
        <is>
          <t>A report should say whether it supplied a structural or a functional measure.</t>
        </is>
      </c>
    </row>
    <row r="42">
      <c r="A42" s="4" t="inlineStr">
        <is>
          <t>5.7.9</t>
        </is>
      </c>
      <c r="B42" s="4" t="inlineStr">
        <is>
          <t>ACL Reconstruction</t>
        </is>
      </c>
      <c r="C42" s="4" t="inlineStr">
        <is>
          <t>No graft signal to strength relationship is established well enough to act on.</t>
        </is>
      </c>
    </row>
    <row r="43">
      <c r="A43" s="4" t="inlineStr">
        <is>
          <t>5.7.9</t>
        </is>
      </c>
      <c r="B43" s="4" t="inlineStr">
        <is>
          <t>ACL Reconstruction</t>
        </is>
      </c>
      <c r="C43" s="4" t="inlineStr">
        <is>
          <t>The study's most reliable content is its most variably reported.</t>
        </is>
      </c>
    </row>
    <row r="44">
      <c r="A44" s="4" t="inlineStr">
        <is>
          <t>5.7.9</t>
        </is>
      </c>
      <c r="B44" s="4" t="inlineStr">
        <is>
          <t>ACL Reconstruction</t>
        </is>
      </c>
      <c r="C44" s="4" t="inlineStr">
        <is>
          <t>The failing question is rotational and the measurement is translational.</t>
        </is>
      </c>
    </row>
    <row r="45">
      <c r="A45" s="4" t="inlineStr">
        <is>
          <t>5.7.9</t>
        </is>
      </c>
      <c r="B45" s="4" t="inlineStr">
        <is>
          <t>ACL Reconstruction</t>
        </is>
      </c>
      <c r="C45" s="4" t="inlineStr">
        <is>
          <t>Quantitative maturation sequences have not changed practice.</t>
        </is>
      </c>
    </row>
    <row r="46">
      <c r="A46" s="4" t="inlineStr">
        <is>
          <t>5.7.9</t>
        </is>
      </c>
      <c r="B46" s="4" t="inlineStr">
        <is>
          <t>ACL Reconstruction</t>
        </is>
      </c>
      <c r="C46" s="4" t="inlineStr">
        <is>
          <t>Tunnel positions without graft signal would be a more useful report.</t>
        </is>
      </c>
    </row>
    <row r="47">
      <c r="A47" s="4" t="inlineStr">
        <is>
          <t>5.7.10</t>
        </is>
      </c>
      <c r="B47" s="4" t="inlineStr">
        <is>
          <t>Graft Maturation</t>
        </is>
      </c>
      <c r="C47" s="4" t="inlineStr">
        <is>
          <t>Signal intensity ratios do not transfer between centres.</t>
        </is>
      </c>
    </row>
    <row r="48">
      <c r="A48" s="4" t="inlineStr">
        <is>
          <t>5.7.10</t>
        </is>
      </c>
      <c r="B48" s="4" t="inlineStr">
        <is>
          <t>Graft Maturation</t>
        </is>
      </c>
      <c r="C48" s="4" t="inlineStr">
        <is>
          <t>Water content is at best indirectly related to mechanical strength.</t>
        </is>
      </c>
    </row>
    <row r="49">
      <c r="A49" s="4" t="inlineStr">
        <is>
          <t>5.7.10</t>
        </is>
      </c>
      <c r="B49" s="4" t="inlineStr">
        <is>
          <t>Graft Maturation</t>
        </is>
      </c>
      <c r="C49" s="4" t="inlineStr">
        <is>
          <t>Quantitative composition methods do not measure stiffness.</t>
        </is>
      </c>
    </row>
    <row r="50">
      <c r="A50" s="4" t="inlineStr">
        <is>
          <t>5.7.10</t>
        </is>
      </c>
      <c r="B50" s="4" t="inlineStr">
        <is>
          <t>Graft Maturation</t>
        </is>
      </c>
      <c r="C50" s="4" t="inlineStr">
        <is>
          <t>Ultra short echo time imaging is more direct and is not routine.</t>
        </is>
      </c>
    </row>
    <row r="51">
      <c r="A51" s="4" t="inlineStr">
        <is>
          <t>5.7.10</t>
        </is>
      </c>
      <c r="B51" s="4" t="inlineStr">
        <is>
          <t>Graft Maturation</t>
        </is>
      </c>
      <c r="C51" s="4" t="inlineStr">
        <is>
          <t>An unvalidated surrogate is being pushed towards a return to sport decision.</t>
        </is>
      </c>
    </row>
    <row r="52">
      <c r="A52" s="4" t="inlineStr">
        <is>
          <t>5.7.11</t>
        </is>
      </c>
      <c r="B52" s="4" t="inlineStr">
        <is>
          <t>Graft Failure</t>
        </is>
      </c>
      <c r="C52" s="4" t="inlineStr">
        <is>
          <t>The study's strongest measurement is its most inconsistently reported.</t>
        </is>
      </c>
    </row>
    <row r="53">
      <c r="A53" s="4" t="inlineStr">
        <is>
          <t>5.7.11</t>
        </is>
      </c>
      <c r="B53" s="4" t="inlineStr">
        <is>
          <t>Graft Failure</t>
        </is>
      </c>
      <c r="C53" s="4" t="inlineStr">
        <is>
          <t>Rotational failure is common and no routine study measures rotation.</t>
        </is>
      </c>
    </row>
    <row r="54">
      <c r="A54" s="4" t="inlineStr">
        <is>
          <t>5.7.11</t>
        </is>
      </c>
      <c r="B54" s="4" t="inlineStr">
        <is>
          <t>Graft Failure</t>
        </is>
      </c>
      <c r="C54" s="4" t="inlineStr">
        <is>
          <t>Tibial slope needs a lateral radiograph that is often not requested.</t>
        </is>
      </c>
    </row>
    <row r="55">
      <c r="A55" s="4" t="inlineStr">
        <is>
          <t>5.7.11</t>
        </is>
      </c>
      <c r="B55" s="4" t="inlineStr">
        <is>
          <t>Graft Failure</t>
        </is>
      </c>
      <c r="C55" s="4" t="inlineStr">
        <is>
          <t>Tunnel widening is a computed tomography question and is often skipped.</t>
        </is>
      </c>
    </row>
    <row r="56">
      <c r="A56" s="4" t="inlineStr">
        <is>
          <t>5.7.11</t>
        </is>
      </c>
      <c r="B56" s="4" t="inlineStr">
        <is>
          <t>Graft Failure</t>
        </is>
      </c>
      <c r="C56" s="4" t="inlineStr">
        <is>
          <t>The useful report names the tunnels, the slope and the corners.</t>
        </is>
      </c>
    </row>
    <row r="57">
      <c r="A57" s="4" t="inlineStr">
        <is>
          <t>5.7.12</t>
        </is>
      </c>
      <c r="B57" s="4" t="inlineStr">
        <is>
          <t>Tunnel Assessment</t>
        </is>
      </c>
      <c r="C57" s="4" t="inlineStr">
        <is>
          <t>A position stated without its method is not a measurement.</t>
        </is>
      </c>
    </row>
    <row r="58">
      <c r="A58" s="4" t="inlineStr">
        <is>
          <t>5.7.12</t>
        </is>
      </c>
      <c r="B58" s="4" t="inlineStr">
        <is>
          <t>Tunnel Assessment</t>
        </is>
      </c>
      <c r="C58" s="4" t="inlineStr">
        <is>
          <t>Accurate position needs reformatting the apertures are oblique to.</t>
        </is>
      </c>
    </row>
    <row r="59">
      <c r="A59" s="4" t="inlineStr">
        <is>
          <t>5.7.12</t>
        </is>
      </c>
      <c r="B59" s="4" t="inlineStr">
        <is>
          <t>Tunnel Assessment</t>
        </is>
      </c>
      <c r="C59" s="4" t="inlineStr">
        <is>
          <t>Widening thresholds come from small series with different methods.</t>
        </is>
      </c>
    </row>
    <row r="60">
      <c r="A60" s="4" t="inlineStr">
        <is>
          <t>5.7.12</t>
        </is>
      </c>
      <c r="B60" s="4" t="inlineStr">
        <is>
          <t>Tunnel Assessment</t>
        </is>
      </c>
      <c r="C60" s="4" t="inlineStr">
        <is>
          <t>The surgeon needs the position and the report supplies the signal.</t>
        </is>
      </c>
    </row>
    <row r="61">
      <c r="A61" s="4" t="inlineStr">
        <is>
          <t>5.7.12</t>
        </is>
      </c>
      <c r="B61" s="4" t="inlineStr">
        <is>
          <t>Tunnel Assessment</t>
        </is>
      </c>
      <c r="C61" s="4" t="inlineStr">
        <is>
          <t>Automated tunnel geometry is tractable and has not arrived.</t>
        </is>
      </c>
    </row>
    <row r="62">
      <c r="A62" s="4" t="inlineStr">
        <is>
          <t>5.7.13</t>
        </is>
      </c>
      <c r="B62" s="4" t="inlineStr">
        <is>
          <t>Cyclops Lesions</t>
        </is>
      </c>
      <c r="C62" s="4" t="inlineStr">
        <is>
          <t>The imaging appearance is commoner than the condition.</t>
        </is>
      </c>
    </row>
    <row r="63">
      <c r="A63" s="4" t="inlineStr">
        <is>
          <t>5.7.13</t>
        </is>
      </c>
      <c r="B63" s="4" t="inlineStr">
        <is>
          <t>Cyclops Lesions</t>
        </is>
      </c>
      <c r="C63" s="4" t="inlineStr">
        <is>
          <t>No size or signal criterion separates symptomatic from incidental.</t>
        </is>
      </c>
    </row>
    <row r="64">
      <c r="A64" s="4" t="inlineStr">
        <is>
          <t>5.7.13</t>
        </is>
      </c>
      <c r="B64" s="4" t="inlineStr">
        <is>
          <t>Cyclops Lesions</t>
        </is>
      </c>
      <c r="C64" s="4" t="inlineStr">
        <is>
          <t>The name describes an arthroscopic appearance, so the imaging call is inference.</t>
        </is>
      </c>
    </row>
    <row r="65">
      <c r="A65" s="4" t="inlineStr">
        <is>
          <t>5.7.13</t>
        </is>
      </c>
      <c r="B65" s="4" t="inlineStr">
        <is>
          <t>Cyclops Lesions</t>
        </is>
      </c>
      <c r="C65" s="4" t="inlineStr">
        <is>
          <t>Recurrence relates to tunnel geometry the report often omits.</t>
        </is>
      </c>
    </row>
    <row r="66">
      <c r="A66" s="4" t="inlineStr">
        <is>
          <t>5.7.13</t>
        </is>
      </c>
      <c r="B66" s="4" t="inlineStr">
        <is>
          <t>Cyclops Lesions</t>
        </is>
      </c>
      <c r="C66" s="4" t="inlineStr">
        <is>
          <t>The third question, whether the tunnel explains it, is rarely answered.</t>
        </is>
      </c>
    </row>
    <row r="67">
      <c r="A67" s="4" t="inlineStr">
        <is>
          <t>5.7.14</t>
        </is>
      </c>
      <c r="B67" s="4" t="inlineStr">
        <is>
          <t>Revision ACL Imaging</t>
        </is>
      </c>
      <c r="C67" s="4" t="inlineStr">
        <is>
          <t>The needed information is spread across three studies with no convention binding them.</t>
        </is>
      </c>
    </row>
    <row r="68">
      <c r="A68" s="4" t="inlineStr">
        <is>
          <t>5.7.14</t>
        </is>
      </c>
      <c r="B68" s="4" t="inlineStr">
        <is>
          <t>Revision ACL Imaging</t>
        </is>
      </c>
      <c r="C68" s="4" t="inlineStr">
        <is>
          <t>The staging thresholds come from series with different measurement methods.</t>
        </is>
      </c>
    </row>
    <row r="69">
      <c r="A69" s="4" t="inlineStr">
        <is>
          <t>5.7.14</t>
        </is>
      </c>
      <c r="B69" s="4" t="inlineStr">
        <is>
          <t>Revision ACL Imaging</t>
        </is>
      </c>
      <c r="C69" s="4" t="inlineStr">
        <is>
          <t>The commonest failure mode is the least imaged.</t>
        </is>
      </c>
    </row>
    <row r="70">
      <c r="A70" s="4" t="inlineStr">
        <is>
          <t>5.7.14</t>
        </is>
      </c>
      <c r="B70" s="4" t="inlineStr">
        <is>
          <t>Revision ACL Imaging</t>
        </is>
      </c>
      <c r="C70" s="4" t="inlineStr">
        <is>
          <t>Tibial slope is accepted as a cause and its radiograph is not routine.</t>
        </is>
      </c>
    </row>
    <row r="71">
      <c r="A71" s="4" t="inlineStr">
        <is>
          <t>5.7.14</t>
        </is>
      </c>
      <c r="B71" s="4" t="inlineStr">
        <is>
          <t>Revision ACL Imaging</t>
        </is>
      </c>
      <c r="C71" s="4" t="inlineStr">
        <is>
          <t>Revision planning asks the most of imaging and gets the least organised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5.7.1-P1</t>
        </is>
      </c>
      <c r="B3" s="4" t="inlineStr">
        <is>
          <t>5.7.1</t>
        </is>
      </c>
      <c r="C3" s="4" t="inlineStr">
        <is>
          <t>medical_student</t>
        </is>
      </c>
      <c r="D3" s="4" t="inlineStr">
        <is>
          <t>Confirm on the coronal and axial images, because the sagittal plane alone cuts the ligament obliquely and can make it disappear.</t>
        </is>
      </c>
      <c r="E3" s="4" t="inlineStr"/>
      <c r="F3" s="4" t="inlineStr"/>
      <c r="G3" s="4" t="inlineStr"/>
    </row>
    <row r="4">
      <c r="A4" s="4" t="inlineStr">
        <is>
          <t>5.7.1-P2</t>
        </is>
      </c>
      <c r="B4" s="4" t="inlineStr">
        <is>
          <t>5.7.1</t>
        </is>
      </c>
      <c r="C4" s="4" t="inlineStr">
        <is>
          <t>medical_student</t>
        </is>
      </c>
      <c r="D4" s="4" t="inlineStr">
        <is>
          <t>Use a proton density or intermediate weighted sequence for the fibre pattern and a fluid sensitive one for oedema.</t>
        </is>
      </c>
      <c r="E4" s="4" t="inlineStr"/>
      <c r="F4" s="4" t="inlineStr"/>
      <c r="G4" s="4" t="inlineStr"/>
    </row>
    <row r="5">
      <c r="A5" s="4" t="inlineStr">
        <is>
          <t>5.7.1-P3</t>
        </is>
      </c>
      <c r="B5" s="4" t="inlineStr">
        <is>
          <t>5.7.1</t>
        </is>
      </c>
      <c r="C5" s="4" t="inlineStr">
        <is>
          <t>medical_student</t>
        </is>
      </c>
      <c r="D5" s="4" t="inlineStr">
        <is>
          <t>Follow the ligament from the femoral attachment to the tibial attachment without losing it, which is what a normal reading requires.</t>
        </is>
      </c>
      <c r="E5" s="4" t="inlineStr"/>
      <c r="F5" s="4" t="inlineStr"/>
      <c r="G5" s="4" t="inlineStr"/>
    </row>
    <row r="6">
      <c r="A6" s="4" t="inlineStr">
        <is>
          <t>5.7.1-P4</t>
        </is>
      </c>
      <c r="B6" s="4" t="inlineStr">
        <is>
          <t>5.7.1</t>
        </is>
      </c>
      <c r="C6" s="4" t="inlineStr">
        <is>
          <t>medical_student</t>
        </is>
      </c>
      <c r="D6" s="4" t="inlineStr">
        <is>
          <t>Assess its line against the roof of the notch, because a normal ligament runs parallel to it.</t>
        </is>
      </c>
      <c r="E6" s="4" t="inlineStr"/>
      <c r="F6" s="4" t="inlineStr"/>
      <c r="G6" s="4" t="inlineStr"/>
    </row>
    <row r="7">
      <c r="A7" s="4" t="inlineStr">
        <is>
          <t>5.7.1-P5</t>
        </is>
      </c>
      <c r="B7" s="4" t="inlineStr">
        <is>
          <t>5.7.1</t>
        </is>
      </c>
      <c r="C7" s="4" t="inlineStr">
        <is>
          <t>medical_student</t>
        </is>
      </c>
      <c r="D7" s="4" t="inlineStr">
        <is>
          <t>- It must be followed from one attachment to the other on more than one plane.</t>
        </is>
      </c>
      <c r="E7" s="4" t="inlineStr"/>
      <c r="F7" s="4" t="inlineStr"/>
      <c r="G7" s="4" t="inlineStr"/>
    </row>
    <row r="8">
      <c r="A8" s="4" t="inlineStr">
        <is>
          <t>5.7.2-P1</t>
        </is>
      </c>
      <c r="B8" s="4" t="inlineStr">
        <is>
          <t>5.7.2</t>
        </is>
      </c>
      <c r="C8" s="4" t="inlineStr">
        <is>
          <t>medical_student</t>
        </is>
      </c>
      <c r="D8" s="4" t="inlineStr">
        <is>
          <t>Assess continuity bundle by bundle rather than for the ligament as a whole, which needs the oblique and axial images.</t>
        </is>
      </c>
      <c r="E8" s="4" t="inlineStr"/>
      <c r="F8" s="4" t="inlineStr"/>
      <c r="G8" s="4" t="inlineStr"/>
    </row>
    <row r="9">
      <c r="A9" s="4" t="inlineStr">
        <is>
          <t>5.7.2-P2</t>
        </is>
      </c>
      <c r="B9" s="4" t="inlineStr">
        <is>
          <t>5.7.2</t>
        </is>
      </c>
      <c r="C9" s="4" t="inlineStr">
        <is>
          <t>medical_student</t>
        </is>
      </c>
      <c r="D9" s="4" t="inlineStr">
        <is>
          <t>Check the line of the remaining fibres against the notch roof, because partially torn fibres often keep a normal line.</t>
        </is>
      </c>
      <c r="E9" s="4" t="inlineStr"/>
      <c r="F9" s="4" t="inlineStr"/>
      <c r="G9" s="4" t="inlineStr"/>
    </row>
    <row r="10">
      <c r="A10" s="4" t="inlineStr">
        <is>
          <t>5.7.2-P3</t>
        </is>
      </c>
      <c r="B10" s="4" t="inlineStr">
        <is>
          <t>5.7.2</t>
        </is>
      </c>
      <c r="C10" s="4" t="inlineStr">
        <is>
          <t>medical_student</t>
        </is>
      </c>
      <c r="D10" s="4" t="inlineStr">
        <is>
          <t>Use a fluid sensitive sequence for the oedema and an intermediate weighted one for the fibres, because the two questions need different contrast.</t>
        </is>
      </c>
      <c r="E10" s="4" t="inlineStr"/>
      <c r="F10" s="4" t="inlineStr"/>
      <c r="G10" s="4" t="inlineStr"/>
    </row>
    <row r="11">
      <c r="A11" s="4" t="inlineStr">
        <is>
          <t>5.7.2-P4</t>
        </is>
      </c>
      <c r="B11" s="4" t="inlineStr">
        <is>
          <t>5.7.2</t>
        </is>
      </c>
      <c r="C11" s="4" t="inlineStr">
        <is>
          <t>medical_student</t>
        </is>
      </c>
      <c r="D11" s="4" t="inlineStr">
        <is>
          <t>Compare with the posterior cruciate for buckling, which is a translation sign rather than a ligament sign.</t>
        </is>
      </c>
      <c r="E11" s="4" t="inlineStr"/>
      <c r="F11" s="4" t="inlineStr"/>
      <c r="G11" s="4" t="inlineStr"/>
    </row>
    <row r="12">
      <c r="A12" s="4" t="inlineStr">
        <is>
          <t>5.7.3-P1</t>
        </is>
      </c>
      <c r="B12" s="4" t="inlineStr">
        <is>
          <t>5.7.3</t>
        </is>
      </c>
      <c r="C12" s="4" t="inlineStr">
        <is>
          <t>medical_student</t>
        </is>
      </c>
      <c r="D12" s="4" t="inlineStr">
        <is>
          <t>Assess the line of any remaining fibres, because a flat ligament lying below the notch roof is the line sign.</t>
        </is>
      </c>
      <c r="E12" s="4" t="inlineStr"/>
      <c r="F12" s="4" t="inlineStr"/>
      <c r="G12" s="4" t="inlineStr"/>
    </row>
    <row r="13">
      <c r="A13" s="4" t="inlineStr">
        <is>
          <t>5.7.3-P2</t>
        </is>
      </c>
      <c r="B13" s="4" t="inlineStr">
        <is>
          <t>5.7.3</t>
        </is>
      </c>
      <c r="C13" s="4" t="inlineStr">
        <is>
          <t>medical_student</t>
        </is>
      </c>
      <c r="D13" s="4" t="inlineStr">
        <is>
          <t>Measure anterior tibial translation against the femoral condyles, which is a mechanical consequence rather than a ligament appearance.</t>
        </is>
      </c>
      <c r="E13" s="4" t="inlineStr"/>
      <c r="F13" s="4" t="inlineStr"/>
      <c r="G13" s="4" t="inlineStr"/>
    </row>
    <row r="14">
      <c r="A14" s="4" t="inlineStr">
        <is>
          <t>5.7.4-P1</t>
        </is>
      </c>
      <c r="B14" s="4" t="inlineStr">
        <is>
          <t>5.7.4</t>
        </is>
      </c>
      <c r="C14" s="4" t="inlineStr">
        <is>
          <t>medical_student</t>
        </is>
      </c>
      <c r="D14" s="4" t="inlineStr">
        <is>
          <t>Use a fluid sensitive sequence in all three planes, because oedema is the signal that carries most of this study.</t>
        </is>
      </c>
      <c r="E14" s="4" t="inlineStr"/>
      <c r="F14" s="4" t="inlineStr"/>
      <c r="G14" s="4" t="inlineStr"/>
    </row>
    <row r="15">
      <c r="A15" s="4" t="inlineStr">
        <is>
          <t>5.7.4-P2</t>
        </is>
      </c>
      <c r="B15" s="4" t="inlineStr">
        <is>
          <t>5.7.4</t>
        </is>
      </c>
      <c r="C15" s="4" t="inlineStr">
        <is>
          <t>medical_student</t>
        </is>
      </c>
      <c r="D15" s="4" t="inlineStr">
        <is>
          <t>Read the marrow signal first in an equivocal study, since it is present early and resolves later.</t>
        </is>
      </c>
      <c r="E15" s="4" t="inlineStr"/>
      <c r="F15" s="4" t="inlineStr"/>
      <c r="G15" s="4" t="inlineStr"/>
    </row>
    <row r="16">
      <c r="A16" s="4" t="inlineStr">
        <is>
          <t>5.7.4-P3</t>
        </is>
      </c>
      <c r="B16" s="4" t="inlineStr">
        <is>
          <t>5.7.4</t>
        </is>
      </c>
      <c r="C16" s="4" t="inlineStr">
        <is>
          <t>medical_student</t>
        </is>
      </c>
      <c r="D16" s="4" t="inlineStr">
        <is>
          <t>Assess the cartilage surfaces, because an impaction injury damages them at the same instant.</t>
        </is>
      </c>
      <c r="E16" s="4" t="inlineStr"/>
      <c r="F16" s="4" t="inlineStr"/>
      <c r="G16" s="4" t="inlineStr"/>
    </row>
    <row r="17">
      <c r="A17" s="4" t="inlineStr">
        <is>
          <t>5.7.5-P1</t>
        </is>
      </c>
      <c r="B17" s="4" t="inlineStr">
        <is>
          <t>5.7.5</t>
        </is>
      </c>
      <c r="C17" s="4" t="inlineStr">
        <is>
          <t>medical_student</t>
        </is>
      </c>
      <c r="D17" s="4" t="inlineStr">
        <is>
          <t>Confirm the ligament's absence on all three planes, since there is no oedema to draw the eye to it.</t>
        </is>
      </c>
      <c r="E17" s="4" t="inlineStr"/>
      <c r="F17" s="4" t="inlineStr"/>
      <c r="G17" s="4" t="inlineStr"/>
    </row>
    <row r="18">
      <c r="A18" s="4" t="inlineStr">
        <is>
          <t>5.7.5-P2</t>
        </is>
      </c>
      <c r="B18" s="4" t="inlineStr">
        <is>
          <t>5.7.5</t>
        </is>
      </c>
      <c r="C18" s="4" t="inlineStr">
        <is>
          <t>medical_student</t>
        </is>
      </c>
      <c r="D18" s="4" t="inlineStr">
        <is>
          <t>Assess the menisci specifically, because the cruciate deficient knee tears its medial meniscus over time.</t>
        </is>
      </c>
      <c r="E18" s="4" t="inlineStr"/>
      <c r="F18" s="4" t="inlineStr"/>
      <c r="G18" s="4" t="inlineStr"/>
    </row>
    <row r="19">
      <c r="A19" s="4" t="inlineStr">
        <is>
          <t>5.7.5-P3</t>
        </is>
      </c>
      <c r="B19" s="4" t="inlineStr">
        <is>
          <t>5.7.5</t>
        </is>
      </c>
      <c r="C19" s="4" t="inlineStr">
        <is>
          <t>medical_student</t>
        </is>
      </c>
      <c r="D19" s="4" t="inlineStr">
        <is>
          <t>Measure meniscal extrusion and assess the compartments, which is the prognostic information in this study.</t>
        </is>
      </c>
      <c r="E19" s="4" t="inlineStr"/>
      <c r="F19" s="4" t="inlineStr"/>
      <c r="G19" s="4" t="inlineStr"/>
    </row>
    <row r="20">
      <c r="A20" s="4" t="inlineStr">
        <is>
          <t>5.7.5-P4</t>
        </is>
      </c>
      <c r="B20" s="4" t="inlineStr">
        <is>
          <t>5.7.5</t>
        </is>
      </c>
      <c r="C20" s="4" t="inlineStr">
        <is>
          <t>medical_student</t>
        </is>
      </c>
      <c r="D20" s="4" t="inlineStr">
        <is>
          <t>Assess alignment on a long leg radiograph rather than on the magnetic resonance study, because the mechanical question is a standing one.</t>
        </is>
      </c>
      <c r="E20" s="4" t="inlineStr"/>
      <c r="F20" s="4" t="inlineStr"/>
      <c r="G20" s="4" t="inlineStr"/>
    </row>
    <row r="21">
      <c r="A21" s="4" t="inlineStr">
        <is>
          <t>5.7.6-P1</t>
        </is>
      </c>
      <c r="B21" s="4" t="inlineStr">
        <is>
          <t>5.7.6</t>
        </is>
      </c>
      <c r="C21" s="4" t="inlineStr">
        <is>
          <t>medical_student</t>
        </is>
      </c>
      <c r="D21" s="4" t="inlineStr">
        <is>
          <t>Assess continuity first, because an intact ligament is what separates this from a tear.</t>
        </is>
      </c>
      <c r="E21" s="4" t="inlineStr"/>
      <c r="F21" s="4" t="inlineStr"/>
      <c r="G21" s="4" t="inlineStr"/>
    </row>
    <row r="22">
      <c r="A22" s="4" t="inlineStr">
        <is>
          <t>5.7.6-P2</t>
        </is>
      </c>
      <c r="B22" s="4" t="inlineStr">
        <is>
          <t>5.7.6</t>
        </is>
      </c>
      <c r="C22" s="4" t="inlineStr">
        <is>
          <t>medical_student</t>
        </is>
      </c>
      <c r="D22" s="4" t="inlineStr">
        <is>
          <t>Assess the ligament's calibre, since mucoid change thickens it where a tear does not.</t>
        </is>
      </c>
      <c r="E22" s="4" t="inlineStr"/>
      <c r="F22" s="4" t="inlineStr"/>
      <c r="G22" s="4" t="inlineStr"/>
    </row>
    <row r="23">
      <c r="A23" s="4" t="inlineStr">
        <is>
          <t>5.7.6-P3</t>
        </is>
      </c>
      <c r="B23" s="4" t="inlineStr">
        <is>
          <t>5.7.6</t>
        </is>
      </c>
      <c r="C23" s="4" t="inlineStr">
        <is>
          <t>medical_student</t>
        </is>
      </c>
      <c r="D23" s="4" t="inlineStr">
        <is>
          <t>Assess the line against the notch roof, which is preserved here.</t>
        </is>
      </c>
      <c r="E23" s="4" t="inlineStr"/>
      <c r="F23" s="4" t="inlineStr"/>
      <c r="G23" s="4" t="inlineStr"/>
    </row>
    <row r="24">
      <c r="A24" s="4" t="inlineStr">
        <is>
          <t>5.7.7-P1</t>
        </is>
      </c>
      <c r="B24" s="4" t="inlineStr">
        <is>
          <t>5.7.7</t>
        </is>
      </c>
      <c r="C24" s="4" t="inlineStr">
        <is>
          <t>medical_student</t>
        </is>
      </c>
      <c r="D24" s="4" t="inlineStr">
        <is>
          <t>Confirm the lesion follows fluid signal on every sequence, which is what makes it a cyst.</t>
        </is>
      </c>
      <c r="E24" s="4" t="inlineStr"/>
      <c r="F24" s="4" t="inlineStr"/>
      <c r="G24" s="4" t="inlineStr"/>
    </row>
    <row r="25">
      <c r="A25" s="4" t="inlineStr">
        <is>
          <t>5.7.7-P2</t>
        </is>
      </c>
      <c r="B25" s="4" t="inlineStr">
        <is>
          <t>5.7.7</t>
        </is>
      </c>
      <c r="C25" s="4" t="inlineStr">
        <is>
          <t>medical_student</t>
        </is>
      </c>
      <c r="D25" s="4" t="inlineStr">
        <is>
          <t>Assess the ligament itself, because mucoid change and a cyst frequently coexist.</t>
        </is>
      </c>
      <c r="E25" s="4" t="inlineStr"/>
      <c r="F25" s="4" t="inlineStr"/>
      <c r="G25" s="4" t="inlineStr"/>
    </row>
    <row r="26">
      <c r="A26" s="4" t="inlineStr">
        <is>
          <t>5.7.8-P1</t>
        </is>
      </c>
      <c r="B26" s="4" t="inlineStr">
        <is>
          <t>5.7.8</t>
        </is>
      </c>
      <c r="C26" s="4" t="inlineStr">
        <is>
          <t>medical_student</t>
        </is>
      </c>
      <c r="D26" s="4" t="inlineStr">
        <is>
          <t>Assess the line against the notch roof, because healed tissue can be continuous and slack.</t>
        </is>
      </c>
      <c r="E26" s="4" t="inlineStr"/>
      <c r="F26" s="4" t="inlineStr"/>
      <c r="G26" s="4" t="inlineStr"/>
    </row>
    <row r="27">
      <c r="A27" s="4" t="inlineStr">
        <is>
          <t>5.7.8-P2</t>
        </is>
      </c>
      <c r="B27" s="4" t="inlineStr">
        <is>
          <t>5.7.8</t>
        </is>
      </c>
      <c r="C27" s="4" t="inlineStr">
        <is>
          <t>medical_student</t>
        </is>
      </c>
      <c r="D27" s="4" t="inlineStr">
        <is>
          <t>Measure anterior tibial translation, which is the mechanical observation rather than the appearance.</t>
        </is>
      </c>
      <c r="E27" s="4" t="inlineStr"/>
      <c r="F27" s="4" t="inlineStr"/>
      <c r="G27" s="4" t="inlineStr"/>
    </row>
    <row r="28">
      <c r="A28" s="4" t="inlineStr">
        <is>
          <t>5.7.8-P3</t>
        </is>
      </c>
      <c r="B28" s="4" t="inlineStr">
        <is>
          <t>5.7.8</t>
        </is>
      </c>
      <c r="C28" s="4" t="inlineStr">
        <is>
          <t>medical_student</t>
        </is>
      </c>
      <c r="D28" s="4" t="inlineStr">
        <is>
          <t>Compare with an earlier study where one exists, since the change over time is more informative than the appearance.</t>
        </is>
      </c>
      <c r="E28" s="4" t="inlineStr"/>
      <c r="F28" s="4" t="inlineStr"/>
      <c r="G28" s="4" t="inlineStr"/>
    </row>
    <row r="29">
      <c r="A29" s="4" t="inlineStr">
        <is>
          <t>5.7.9-P1</t>
        </is>
      </c>
      <c r="B29" s="4" t="inlineStr">
        <is>
          <t>5.7.9</t>
        </is>
      </c>
      <c r="C29" s="4" t="inlineStr">
        <is>
          <t>medical_student</t>
        </is>
      </c>
      <c r="D29" s="4" t="inlineStr">
        <is>
          <t>Use the post-operative protocol, since metal or bioabsorbable fixation produces artefact at the two places the study must assess.</t>
        </is>
      </c>
      <c r="E29" s="4" t="inlineStr"/>
      <c r="F29" s="4" t="inlineStr"/>
      <c r="G29" s="4" t="inlineStr"/>
    </row>
    <row r="30">
      <c r="A30" s="4" t="inlineStr">
        <is>
          <t>5.7.9-P2</t>
        </is>
      </c>
      <c r="B30" s="4" t="inlineStr">
        <is>
          <t>5.7.9</t>
        </is>
      </c>
      <c r="C30" s="4" t="inlineStr">
        <is>
          <t>medical_student</t>
        </is>
      </c>
      <c r="D30" s="4" t="inlineStr">
        <is>
          <t>Assess the graft's continuity and its line against the notch roof, which are the same two observations the native ligament needed.</t>
        </is>
      </c>
      <c r="E30" s="4" t="inlineStr"/>
      <c r="F30" s="4" t="inlineStr"/>
      <c r="G30" s="4" t="inlineStr"/>
    </row>
    <row r="31">
      <c r="A31" s="4" t="inlineStr">
        <is>
          <t>5.7.9-P3</t>
        </is>
      </c>
      <c r="B31" s="4" t="inlineStr">
        <is>
          <t>5.7.9</t>
        </is>
      </c>
      <c r="C31" s="4" t="inlineStr">
        <is>
          <t>medical_student</t>
        </is>
      </c>
      <c r="D31" s="4" t="inlineStr">
        <is>
          <t>Assess the tunnel positions, which are measurable where graft signal is not.</t>
        </is>
      </c>
      <c r="E31" s="4" t="inlineStr"/>
      <c r="F31" s="4" t="inlineStr"/>
      <c r="G31" s="4" t="inlineStr"/>
    </row>
    <row r="32">
      <c r="A32" s="4" t="inlineStr">
        <is>
          <t>5.7.9-P4</t>
        </is>
      </c>
      <c r="B32" s="4" t="inlineStr">
        <is>
          <t>5.7.9</t>
        </is>
      </c>
      <c r="C32" s="4" t="inlineStr">
        <is>
          <t>medical_student</t>
        </is>
      </c>
      <c r="D32" s="4" t="inlineStr">
        <is>
          <t>Assess the rest of the knee, because the menisci and cartilage decide the outcome the patient notices.</t>
        </is>
      </c>
      <c r="E32" s="4" t="inlineStr"/>
      <c r="F32" s="4" t="inlineStr"/>
      <c r="G32" s="4" t="inlineStr"/>
    </row>
    <row r="33">
      <c r="A33" s="4" t="inlineStr">
        <is>
          <t>5.7.10-P1</t>
        </is>
      </c>
      <c r="B33" s="4" t="inlineStr">
        <is>
          <t>5.7.10</t>
        </is>
      </c>
      <c r="C33" s="4" t="inlineStr">
        <is>
          <t>medical_student</t>
        </is>
      </c>
      <c r="D33" s="4" t="inlineStr">
        <is>
          <t>Assess continuity first, since a continuous graft with high signal is a different thing from a discontinuous one.</t>
        </is>
      </c>
      <c r="E33" s="4" t="inlineStr"/>
      <c r="F33" s="4" t="inlineStr"/>
      <c r="G33" s="4" t="inlineStr"/>
    </row>
    <row r="34">
      <c r="A34" s="4" t="inlineStr">
        <is>
          <t>5.7.10-P2</t>
        </is>
      </c>
      <c r="B34" s="4" t="inlineStr">
        <is>
          <t>5.7.10</t>
        </is>
      </c>
      <c r="C34" s="4" t="inlineStr">
        <is>
          <t>medical_student</t>
        </is>
      </c>
      <c r="D34" s="4" t="inlineStr">
        <is>
          <t>Compare with the earliest post-operative study, which turns the appearance into a trend.</t>
        </is>
      </c>
      <c r="E34" s="4" t="inlineStr"/>
      <c r="F34" s="4" t="inlineStr"/>
      <c r="G34" s="4" t="inlineStr"/>
    </row>
    <row r="35">
      <c r="A35" s="4" t="inlineStr">
        <is>
          <t>5.7.10-P3</t>
        </is>
      </c>
      <c r="B35" s="4" t="inlineStr">
        <is>
          <t>5.7.10</t>
        </is>
      </c>
      <c r="C35" s="4" t="inlineStr">
        <is>
          <t>medical_student</t>
        </is>
      </c>
      <c r="D35" s="4" t="inlineStr">
        <is>
          <t>Use consistent sequences between studies, because graft signal cannot be compared across different contrast.</t>
        </is>
      </c>
      <c r="E35" s="4" t="inlineStr"/>
      <c r="F35" s="4" t="inlineStr"/>
      <c r="G35" s="4" t="inlineStr"/>
    </row>
    <row r="36">
      <c r="A36" s="4" t="inlineStr">
        <is>
          <t>5.7.11-P1</t>
        </is>
      </c>
      <c r="B36" s="4" t="inlineStr">
        <is>
          <t>5.7.11</t>
        </is>
      </c>
      <c r="C36" s="4" t="inlineStr">
        <is>
          <t>medical_student</t>
        </is>
      </c>
      <c r="D36" s="4" t="inlineStr">
        <is>
          <t>Assess continuity on three planes, which separates a rupture from the other mechanisms.</t>
        </is>
      </c>
      <c r="E36" s="4" t="inlineStr"/>
      <c r="F36" s="4" t="inlineStr"/>
      <c r="G36" s="4" t="inlineStr"/>
    </row>
    <row r="37">
      <c r="A37" s="4" t="inlineStr">
        <is>
          <t>5.7.11-P2</t>
        </is>
      </c>
      <c r="B37" s="4" t="inlineStr">
        <is>
          <t>5.7.11</t>
        </is>
      </c>
      <c r="C37" s="4" t="inlineStr">
        <is>
          <t>medical_student</t>
        </is>
      </c>
      <c r="D37" s="4" t="inlineStr">
        <is>
          <t>Assess the graft's line against the notch roof, which detects a graft that is continuous and lengthened.</t>
        </is>
      </c>
      <c r="E37" s="4" t="inlineStr"/>
      <c r="F37" s="4" t="inlineStr"/>
      <c r="G37" s="4" t="inlineStr"/>
    </row>
    <row r="38">
      <c r="A38" s="4" t="inlineStr">
        <is>
          <t>5.7.11-P3</t>
        </is>
      </c>
      <c r="B38" s="4" t="inlineStr">
        <is>
          <t>5.7.11</t>
        </is>
      </c>
      <c r="C38" s="4" t="inlineStr">
        <is>
          <t>medical_student</t>
        </is>
      </c>
      <c r="D38" s="4" t="inlineStr">
        <is>
          <t>Assess the tunnel positions, since a malpositioned tunnel is the explanation rather than the consequence.</t>
        </is>
      </c>
      <c r="E38" s="4" t="inlineStr"/>
      <c r="F38" s="4" t="inlineStr"/>
      <c r="G38" s="4" t="inlineStr"/>
    </row>
    <row r="39">
      <c r="A39" s="4" t="inlineStr">
        <is>
          <t>5.7.11-P4</t>
        </is>
      </c>
      <c r="B39" s="4" t="inlineStr">
        <is>
          <t>5.7.11</t>
        </is>
      </c>
      <c r="C39" s="4" t="inlineStr">
        <is>
          <t>medical_student</t>
        </is>
      </c>
      <c r="D39" s="4" t="inlineStr">
        <is>
          <t>Measure anterior tibial translation, which is the mechanical state.</t>
        </is>
      </c>
      <c r="E39" s="4" t="inlineStr"/>
      <c r="F39" s="4" t="inlineStr"/>
      <c r="G39" s="4" t="inlineStr"/>
    </row>
    <row r="40">
      <c r="A40" s="4" t="inlineStr">
        <is>
          <t>5.7.11-P5</t>
        </is>
      </c>
      <c r="B40" s="4" t="inlineStr">
        <is>
          <t>5.7.11</t>
        </is>
      </c>
      <c r="C40" s="4" t="inlineStr">
        <is>
          <t>medical_student</t>
        </is>
      </c>
      <c r="D40" s="4" t="inlineStr">
        <is>
          <t>Assess the secondary restraints, because a failed graft in a knee with an unaddressed corner injury is a different problem.</t>
        </is>
      </c>
      <c r="E40" s="4" t="inlineStr"/>
      <c r="F40" s="4" t="inlineStr"/>
      <c r="G40" s="4" t="inlineStr"/>
    </row>
    <row r="41">
      <c r="A41" s="4" t="inlineStr">
        <is>
          <t>5.7.11-P6</t>
        </is>
      </c>
      <c r="B41" s="4" t="inlineStr">
        <is>
          <t>5.7.11</t>
        </is>
      </c>
      <c r="C41" s="4" t="inlineStr">
        <is>
          <t>frcs</t>
        </is>
      </c>
      <c r="D41" s="4" t="inlineStr">
        <is>
          <t>Correct tunnels with a traumatic rupture mean the revision can follow the same plan, which is the simplest case.</t>
        </is>
      </c>
      <c r="E41" s="4" t="inlineStr"/>
      <c r="F41" s="4" t="inlineStr"/>
      <c r="G41" s="4" t="inlineStr"/>
    </row>
    <row r="42">
      <c r="A42" s="4" t="inlineStr">
        <is>
          <t>5.7.12-P1</t>
        </is>
      </c>
      <c r="B42" s="4" t="inlineStr">
        <is>
          <t>5.7.12</t>
        </is>
      </c>
      <c r="C42" s="4" t="inlineStr">
        <is>
          <t>medical_student</t>
        </is>
      </c>
      <c r="D42" s="4" t="inlineStr">
        <is>
          <t>Assess tunnel width along its length, looking for a tunnel wider than its aperture.</t>
        </is>
      </c>
      <c r="E42" s="4" t="inlineStr"/>
      <c r="F42" s="4" t="inlineStr"/>
      <c r="G42" s="4" t="inlineStr"/>
    </row>
    <row r="43">
      <c r="A43" s="4" t="inlineStr">
        <is>
          <t>5.7.12-P2</t>
        </is>
      </c>
      <c r="B43" s="4" t="inlineStr">
        <is>
          <t>5.7.12</t>
        </is>
      </c>
      <c r="C43" s="4" t="inlineStr">
        <is>
          <t>medical_student</t>
        </is>
      </c>
      <c r="D43" s="4" t="inlineStr">
        <is>
          <t>Assess the graft's line, since tunnel position and graft line are two views of the same geometry.</t>
        </is>
      </c>
      <c r="E43" s="4" t="inlineStr"/>
      <c r="F43" s="4" t="inlineStr"/>
      <c r="G43" s="4" t="inlineStr"/>
    </row>
    <row r="44">
      <c r="A44" s="4" t="inlineStr">
        <is>
          <t>5.7.12-P3</t>
        </is>
      </c>
      <c r="B44" s="4" t="inlineStr">
        <is>
          <t>5.7.12</t>
        </is>
      </c>
      <c r="C44" s="4" t="inlineStr">
        <is>
          <t>frcs</t>
        </is>
      </c>
      <c r="D44" s="4" t="inlineStr">
        <is>
          <t>Correct tunnels with a ruptured graft allow a revision along the same lines.</t>
        </is>
      </c>
      <c r="E44" s="4" t="inlineStr"/>
      <c r="F44" s="4" t="inlineStr"/>
      <c r="G44" s="4" t="inlineStr"/>
    </row>
    <row r="45">
      <c r="A45" s="4" t="inlineStr">
        <is>
          <t>5.7.13-P1</t>
        </is>
      </c>
      <c r="B45" s="4" t="inlineStr">
        <is>
          <t>5.7.13</t>
        </is>
      </c>
      <c r="C45" s="4" t="inlineStr">
        <is>
          <t>medical_student</t>
        </is>
      </c>
      <c r="D45" s="4" t="inlineStr">
        <is>
          <t>Assess its signal, since a fibrous nodule is lower in signal than fluid and higher than cortical bone.</t>
        </is>
      </c>
      <c r="E45" s="4" t="inlineStr"/>
      <c r="F45" s="4" t="inlineStr"/>
      <c r="G45" s="4" t="inlineStr"/>
    </row>
    <row r="46">
      <c r="A46" s="4" t="inlineStr">
        <is>
          <t>5.7.13-P2</t>
        </is>
      </c>
      <c r="B46" s="4" t="inlineStr">
        <is>
          <t>5.7.13</t>
        </is>
      </c>
      <c r="C46" s="4" t="inlineStr">
        <is>
          <t>medical_student</t>
        </is>
      </c>
      <c r="D46" s="4" t="inlineStr">
        <is>
          <t>Assess the tibial tunnel position, because a forward tunnel is the association.</t>
        </is>
      </c>
      <c r="E46" s="4" t="inlineStr"/>
      <c r="F46" s="4" t="inlineStr"/>
      <c r="G46" s="4" t="inlineStr"/>
    </row>
    <row r="47">
      <c r="A47" s="4" t="inlineStr">
        <is>
          <t>5.7.13-P3</t>
        </is>
      </c>
      <c r="B47" s="4" t="inlineStr">
        <is>
          <t>5.7.13</t>
        </is>
      </c>
      <c r="C47" s="4" t="inlineStr">
        <is>
          <t>medical_student</t>
        </is>
      </c>
      <c r="D47" s="4" t="inlineStr">
        <is>
          <t>Assess the graft itself, since the nodule sits in front of it rather than within it.</t>
        </is>
      </c>
      <c r="E47" s="4" t="inlineStr"/>
      <c r="F47" s="4" t="inlineStr"/>
      <c r="G47" s="4" t="inlineStr"/>
    </row>
    <row r="48">
      <c r="A48" s="4" t="inlineStr">
        <is>
          <t>5.7.14-P1</t>
        </is>
      </c>
      <c r="B48" s="4" t="inlineStr">
        <is>
          <t>5.7.14</t>
        </is>
      </c>
      <c r="C48" s="4" t="inlineStr">
        <is>
          <t>medical_student</t>
        </is>
      </c>
      <c r="D48" s="4" t="inlineStr">
        <is>
          <t>Use a protocol that accommodates metal, since hardware artefact sits over the tunnels.</t>
        </is>
      </c>
      <c r="E48" s="4" t="inlineStr"/>
      <c r="F48" s="4" t="inlineStr"/>
      <c r="G48" s="4" t="inlineStr"/>
    </row>
    <row r="49">
      <c r="A49" s="4" t="inlineStr">
        <is>
          <t>5.7.14-P2</t>
        </is>
      </c>
      <c r="B49" s="4" t="inlineStr">
        <is>
          <t>5.7.14</t>
        </is>
      </c>
      <c r="C49" s="4" t="inlineStr">
        <is>
          <t>medical_student</t>
        </is>
      </c>
      <c r="D49" s="4" t="inlineStr">
        <is>
          <t>Assess tunnel position and width, which decide whether the revision can be single stage.</t>
        </is>
      </c>
      <c r="E49" s="4" t="inlineStr"/>
      <c r="F49" s="4" t="inlineStr"/>
      <c r="G49" s="4" t="inlineStr"/>
    </row>
    <row r="50">
      <c r="A50" s="4" t="inlineStr">
        <is>
          <t>5.7.14-P3</t>
        </is>
      </c>
      <c r="B50" s="4" t="inlineStr">
        <is>
          <t>5.7.14</t>
        </is>
      </c>
      <c r="C50" s="4" t="inlineStr">
        <is>
          <t>medical_student</t>
        </is>
      </c>
      <c r="D50" s="4" t="inlineStr">
        <is>
          <t>Assess the menisci and cartilage, because their state limits what a revision can achieve.</t>
        </is>
      </c>
      <c r="E50" s="4" t="inlineStr"/>
      <c r="F50" s="4" t="inlineStr"/>
      <c r="G50" s="4" t="inlineStr"/>
    </row>
    <row r="51">
      <c r="A51" s="4" t="inlineStr">
        <is>
          <t>5.7.14-P4</t>
        </is>
      </c>
      <c r="B51" s="4" t="inlineStr">
        <is>
          <t>5.7.14</t>
        </is>
      </c>
      <c r="C51" s="4" t="inlineStr">
        <is>
          <t>frcs</t>
        </is>
      </c>
      <c r="D51" s="4" t="inlineStr">
        <is>
          <t>Read as a graft study, it omits the causes of failure.</t>
        </is>
      </c>
      <c r="E51" s="4" t="inlineStr"/>
      <c r="F51" s="4" t="inlineStr"/>
      <c r="G51" s="4" t="inlineStr"/>
    </row>
  </sheetData>
  <dataValidations count="1">
    <dataValidation sqref="E3:E51"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49</f>
        <v/>
      </c>
      <c r="C2" s="3">
        <f>0</f>
        <v/>
      </c>
    </row>
    <row r="3">
      <c r="A3" s="2" t="inlineStr">
        <is>
          <t>Decided</t>
        </is>
      </c>
      <c r="B3" s="3">
        <f>COUNTIF(Recommendations!E3:E51,"&lt;&gt;")</f>
        <v/>
      </c>
      <c r="C3" s="3">
        <f>COUNTIF(Measurements!F3:F2,"&lt;&gt;")</f>
        <v/>
      </c>
    </row>
    <row r="4">
      <c r="A4" s="2" t="inlineStr">
        <is>
          <t>Still blank</t>
        </is>
      </c>
      <c r="B4" s="3">
        <f>B2-B3</f>
        <v/>
      </c>
      <c r="C4" s="3">
        <f>C2-C3</f>
        <v/>
      </c>
    </row>
    <row r="5">
      <c r="A5" s="2" t="inlineStr">
        <is>
          <t>CONFIRMED</t>
        </is>
      </c>
      <c r="B5" s="3">
        <f>COUNTIF(Recommendations!E3:E51,"CONFIRMED")</f>
        <v/>
      </c>
      <c r="C5" s="3" t="inlineStr"/>
    </row>
    <row r="6">
      <c r="A6" s="2" t="inlineStr">
        <is>
          <t>AMENDED</t>
        </is>
      </c>
      <c r="B6" s="3">
        <f>COUNTIF(Recommendations!E3:E51,"AMENDED")</f>
        <v/>
      </c>
      <c r="C6" s="3" t="inlineStr"/>
    </row>
    <row r="7">
      <c r="A7" s="2" t="inlineStr">
        <is>
          <t>WITHDRAWN</t>
        </is>
      </c>
      <c r="B7" s="3">
        <f>COUNTIF(Recommendations!E3:E51,"WITHDRAWN")</f>
        <v/>
      </c>
      <c r="C7" s="3" t="inlineStr"/>
    </row>
    <row r="8">
      <c r="A8" s="2" t="inlineStr">
        <is>
          <t>NOT_CLINICAL</t>
        </is>
      </c>
      <c r="B8" s="3">
        <f>COUNTIF(Recommendations!E3:E51,"NOT_CLINICAL")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2026-10-16T20:04:02Z</dcterms:created>
  <dcterms:modified xmlns:dcterms="http://purl.org/dc/terms/" xmlns:xsi="http://www.w3.org/2001/XMLSchema-instance" xsi:type="dcterms:W3CDTF">2026-10-16T20:04:02Z</dcterms:modified>
</cp:coreProperties>
</file>