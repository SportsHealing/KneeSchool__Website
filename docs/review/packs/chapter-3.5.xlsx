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3.5 Tibiofemoral Contact Mechanics</t>
        </is>
      </c>
    </row>
    <row r="3">
      <c r="A3" s="2" t="inlineStr">
        <is>
          <t>Section</t>
        </is>
      </c>
      <c r="B3" s="3" t="inlineStr">
        <is>
          <t>3</t>
        </is>
      </c>
    </row>
    <row r="4">
      <c r="A4" s="2" t="inlineStr">
        <is>
          <t>Chapter</t>
        </is>
      </c>
      <c r="B4" s="3" t="inlineStr">
        <is>
          <t>3.5 Tibiofemoral Contact Mechanics</t>
        </is>
      </c>
    </row>
    <row r="5">
      <c r="A5" s="2" t="inlineStr">
        <is>
          <t>Pages</t>
        </is>
      </c>
      <c r="B5" s="3" t="n">
        <v>10</v>
      </c>
    </row>
    <row r="6">
      <c r="A6" s="2" t="inlineStr">
        <is>
          <t>Page type</t>
        </is>
      </c>
      <c r="B6" s="3" t="inlineStr">
        <is>
          <t>biomechanics</t>
        </is>
      </c>
    </row>
    <row r="7">
      <c r="A7" s="2" t="inlineStr">
        <is>
          <t>Tiers</t>
        </is>
      </c>
      <c r="B7" s="3" t="inlineStr">
        <is>
          <t>medical student, mrcs, frcs</t>
        </is>
      </c>
    </row>
    <row r="8">
      <c r="A8" s="2" t="inlineStr">
        <is>
          <t>Words</t>
        </is>
      </c>
      <c r="B8" s="3" t="inlineStr">
        <is>
          <t>11,869</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8</v>
      </c>
    </row>
    <row r="12">
      <c r="A12" s="2" t="inlineStr">
        <is>
          <t>Recommendations to sign</t>
        </is>
      </c>
      <c r="B12" s="3" t="n">
        <v>71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3.5.1</t>
        </is>
      </c>
      <c r="B2" s="6" t="inlineStr">
        <is>
          <t>Contact Areas</t>
        </is>
      </c>
      <c r="C2" s="6" t="n">
        <v>3</v>
      </c>
      <c r="D2" s="6" t="n">
        <v>1318</v>
      </c>
      <c r="E2" s="6" t="inlineStr">
        <is>
          <t>biomechanics/contact-areas.html</t>
        </is>
      </c>
    </row>
    <row r="3">
      <c r="A3" s="6" t="inlineStr">
        <is>
          <t>3.5.2</t>
        </is>
      </c>
      <c r="B3" s="6" t="inlineStr">
        <is>
          <t>Contact Pressures</t>
        </is>
      </c>
      <c r="C3" s="6" t="n">
        <v>3</v>
      </c>
      <c r="D3" s="6" t="n">
        <v>1196</v>
      </c>
      <c r="E3" s="6" t="inlineStr">
        <is>
          <t>biomechanics/contact-pressures.html</t>
        </is>
      </c>
    </row>
    <row r="4">
      <c r="A4" s="6" t="inlineStr">
        <is>
          <t>3.5.3</t>
        </is>
      </c>
      <c r="B4" s="6" t="inlineStr">
        <is>
          <t>Load Distribution</t>
        </is>
      </c>
      <c r="C4" s="6" t="n">
        <v>3</v>
      </c>
      <c r="D4" s="6" t="n">
        <v>1204</v>
      </c>
      <c r="E4" s="6" t="inlineStr">
        <is>
          <t>biomechanics/load-distribution.html</t>
        </is>
      </c>
    </row>
    <row r="5">
      <c r="A5" s="6" t="inlineStr">
        <is>
          <t>3.5.4</t>
        </is>
      </c>
      <c r="B5" s="6" t="inlineStr">
        <is>
          <t>Effects of Flexion</t>
        </is>
      </c>
      <c r="C5" s="6" t="n">
        <v>3</v>
      </c>
      <c r="D5" s="6" t="n">
        <v>1139</v>
      </c>
      <c r="E5" s="6" t="inlineStr">
        <is>
          <t>biomechanics/effects-of-flexion.html</t>
        </is>
      </c>
    </row>
    <row r="6">
      <c r="A6" s="6" t="inlineStr">
        <is>
          <t>3.5.5</t>
        </is>
      </c>
      <c r="B6" s="6" t="inlineStr">
        <is>
          <t>Effects of Meniscal Loss</t>
        </is>
      </c>
      <c r="C6" s="6" t="n">
        <v>3</v>
      </c>
      <c r="D6" s="6" t="n">
        <v>1210</v>
      </c>
      <c r="E6" s="6" t="inlineStr">
        <is>
          <t>biomechanics/effects-of-meniscal-loss.html</t>
        </is>
      </c>
    </row>
    <row r="7">
      <c r="A7" s="6" t="inlineStr">
        <is>
          <t>3.5.6</t>
        </is>
      </c>
      <c r="B7" s="6" t="inlineStr">
        <is>
          <t>Effects of Malalignment</t>
        </is>
      </c>
      <c r="C7" s="6" t="n">
        <v>3</v>
      </c>
      <c r="D7" s="6" t="n">
        <v>1164</v>
      </c>
      <c r="E7" s="6" t="inlineStr">
        <is>
          <t>biomechanics/effects-of-malalignment.html</t>
        </is>
      </c>
    </row>
    <row r="8">
      <c r="A8" s="6" t="inlineStr">
        <is>
          <t>3.5.7</t>
        </is>
      </c>
      <c r="B8" s="6" t="inlineStr">
        <is>
          <t>Effects of Obesity</t>
        </is>
      </c>
      <c r="C8" s="6" t="n">
        <v>3</v>
      </c>
      <c r="D8" s="6" t="n">
        <v>1191</v>
      </c>
      <c r="E8" s="6" t="inlineStr">
        <is>
          <t>biomechanics/effects-of-obesity.html</t>
        </is>
      </c>
    </row>
    <row r="9">
      <c r="A9" s="6" t="inlineStr">
        <is>
          <t>3.5.8</t>
        </is>
      </c>
      <c r="B9" s="6" t="inlineStr">
        <is>
          <t>Contact Mechanics After ACL Injury</t>
        </is>
      </c>
      <c r="C9" s="6" t="n">
        <v>3</v>
      </c>
      <c r="D9" s="6" t="n">
        <v>1133</v>
      </c>
      <c r="E9" s="6" t="inlineStr">
        <is>
          <t>biomechanics/contact-mechanics-after-acl-injury.html</t>
        </is>
      </c>
    </row>
    <row r="10">
      <c r="A10" s="6" t="inlineStr">
        <is>
          <t>3.5.9</t>
        </is>
      </c>
      <c r="B10" s="6" t="inlineStr">
        <is>
          <t>Contact Mechanics After Meniscectomy</t>
        </is>
      </c>
      <c r="C10" s="6" t="n">
        <v>3</v>
      </c>
      <c r="D10" s="6" t="n">
        <v>1159</v>
      </c>
      <c r="E10" s="6" t="inlineStr">
        <is>
          <t>biomechanics/contact-mechanics-after-meniscectomy.html</t>
        </is>
      </c>
    </row>
    <row r="11">
      <c r="A11" s="6" t="inlineStr">
        <is>
          <t>3.5.10</t>
        </is>
      </c>
      <c r="B11" s="6" t="inlineStr">
        <is>
          <t>Contact Mechanics After Osteotomy</t>
        </is>
      </c>
      <c r="C11" s="6" t="n">
        <v>3</v>
      </c>
      <c r="D11" s="6" t="n">
        <v>1155</v>
      </c>
      <c r="E11" s="6" t="inlineStr">
        <is>
          <t>biomechanics/contact-mechanics-after-osteotomy.html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3.5.1</t>
        </is>
      </c>
      <c r="B2" s="4" t="inlineStr">
        <is>
          <t>Contact Areas</t>
        </is>
      </c>
      <c r="C2" s="4" t="inlineStr">
        <is>
          <t>Contact area is what these procedures restore and nothing clinical measures it.</t>
        </is>
      </c>
    </row>
    <row r="3">
      <c r="A3" s="4" t="inlineStr">
        <is>
          <t>3.5.1</t>
        </is>
      </c>
      <c r="B3" s="4" t="inlineStr">
        <is>
          <t>Contact Areas</t>
        </is>
      </c>
      <c r="C3" s="4" t="inlineStr">
        <is>
          <t>The evidence is cadaveric for mechanism and cohort for outcome, with nothing in between.</t>
        </is>
      </c>
    </row>
    <row r="4">
      <c r="A4" s="4" t="inlineStr">
        <is>
          <t>3.5.1</t>
        </is>
      </c>
      <c r="B4" s="4" t="inlineStr">
        <is>
          <t>Contact Areas</t>
        </is>
      </c>
      <c r="C4" s="4" t="inlineStr">
        <is>
          <t>A transplant restores less area than a native meniscus, by conventional teaching.</t>
        </is>
      </c>
    </row>
    <row r="5">
      <c r="A5" s="4" t="inlineStr">
        <is>
          <t>3.5.1</t>
        </is>
      </c>
      <c r="B5" s="4" t="inlineStr">
        <is>
          <t>Contact Areas</t>
        </is>
      </c>
      <c r="C5" s="4" t="inlineStr">
        <is>
          <t>Tissue present is not necessarily tissue working; the ring must be anchored.</t>
        </is>
      </c>
    </row>
    <row r="6">
      <c r="A6" s="4" t="inlineStr">
        <is>
          <t>3.5.1</t>
        </is>
      </c>
      <c r="B6" s="4" t="inlineStr">
        <is>
          <t>Contact Areas</t>
        </is>
      </c>
      <c r="C6" s="4" t="inlineStr">
        <is>
          <t>A pressure sensor alters the contact it is measuring.</t>
        </is>
      </c>
    </row>
    <row r="7">
      <c r="A7" s="4" t="inlineStr">
        <is>
          <t>3.5.2</t>
        </is>
      </c>
      <c r="B7" s="4" t="inlineStr">
        <is>
          <t>Contact Pressures</t>
        </is>
      </c>
      <c r="C7" s="4" t="inlineStr">
        <is>
          <t>Peak contact stress is the common currency of mechanical arguments in the knee.</t>
        </is>
      </c>
    </row>
    <row r="8">
      <c r="A8" s="4" t="inlineStr">
        <is>
          <t>3.5.2</t>
        </is>
      </c>
      <c r="B8" s="4" t="inlineStr">
        <is>
          <t>Contact Pressures</t>
        </is>
      </c>
      <c r="C8" s="4" t="inlineStr">
        <is>
          <t>No in vivo stress threshold is established.</t>
        </is>
      </c>
    </row>
    <row r="9">
      <c r="A9" s="4" t="inlineStr">
        <is>
          <t>3.5.2</t>
        </is>
      </c>
      <c r="B9" s="4" t="inlineStr">
        <is>
          <t>Contact Pressures</t>
        </is>
      </c>
      <c r="C9" s="4" t="inlineStr">
        <is>
          <t>Cadaveric thresholds come from single impacts; degeneration is cumulative.</t>
        </is>
      </c>
    </row>
    <row r="10">
      <c r="A10" s="4" t="inlineStr">
        <is>
          <t>3.5.2</t>
        </is>
      </c>
      <c r="B10" s="4" t="inlineStr">
        <is>
          <t>Contact Pressures</t>
        </is>
      </c>
      <c r="C10" s="4" t="inlineStr">
        <is>
          <t>A stress figure argues mechanism; a cohort argues treatment.</t>
        </is>
      </c>
    </row>
    <row r="11">
      <c r="A11" s="4" t="inlineStr">
        <is>
          <t>3.5.2</t>
        </is>
      </c>
      <c r="B11" s="4" t="inlineStr">
        <is>
          <t>Contact Pressures</t>
        </is>
      </c>
      <c r="C11" s="4" t="inlineStr">
        <is>
          <t>Repair tissue of different stiffness distributes load differently.</t>
        </is>
      </c>
    </row>
    <row r="12">
      <c r="A12" s="4" t="inlineStr">
        <is>
          <t>3.5.3</t>
        </is>
      </c>
      <c r="B12" s="4" t="inlineStr">
        <is>
          <t>Load Distribution</t>
        </is>
      </c>
      <c r="C12" s="4" t="inlineStr">
        <is>
          <t>The division is the target of unicompartmental and realignment surgery.</t>
        </is>
      </c>
    </row>
    <row r="13">
      <c r="A13" s="4" t="inlineStr">
        <is>
          <t>3.5.3</t>
        </is>
      </c>
      <c r="B13" s="4" t="inlineStr">
        <is>
          <t>Load Distribution</t>
        </is>
      </c>
      <c r="C13" s="4" t="inlineStr">
        <is>
          <t>Overcorrection transfers an excessive share by the same arithmetic that justified correction.</t>
        </is>
      </c>
    </row>
    <row r="14">
      <c r="A14" s="4" t="inlineStr">
        <is>
          <t>3.5.3</t>
        </is>
      </c>
      <c r="B14" s="4" t="inlineStr">
        <is>
          <t>Load Distribution</t>
        </is>
      </c>
      <c r="C14" s="4" t="inlineStr">
        <is>
          <t>Unicompartmental replacement relies on the other compartment taking its share.</t>
        </is>
      </c>
    </row>
    <row r="15">
      <c r="A15" s="4" t="inlineStr">
        <is>
          <t>3.5.3</t>
        </is>
      </c>
      <c r="B15" s="4" t="inlineStr">
        <is>
          <t>Load Distribution</t>
        </is>
      </c>
      <c r="C15" s="4" t="inlineStr">
        <is>
          <t>No clinical measurement of the division in an intact knee exists.</t>
        </is>
      </c>
    </row>
    <row r="16">
      <c r="A16" s="4" t="inlineStr">
        <is>
          <t>3.5.3</t>
        </is>
      </c>
      <c r="B16" s="4" t="inlineStr">
        <is>
          <t>Load Distribution</t>
        </is>
      </c>
      <c r="C16" s="4" t="inlineStr">
        <is>
          <t>The division changes as the unoperated compartment progresses.</t>
        </is>
      </c>
    </row>
    <row r="17">
      <c r="A17" s="4" t="inlineStr">
        <is>
          <t>3.5.4</t>
        </is>
      </c>
      <c r="B17" s="4" t="inlineStr">
        <is>
          <t>Effects of Flexion</t>
        </is>
      </c>
      <c r="C17" s="4" t="inlineStr">
        <is>
          <t>Deep flexion loads a small posterior contact area; the bearing has to tolerate it.</t>
        </is>
      </c>
    </row>
    <row r="18">
      <c r="A18" s="4" t="inlineStr">
        <is>
          <t>3.5.4</t>
        </is>
      </c>
      <c r="B18" s="4" t="inlineStr">
        <is>
          <t>Effects of Flexion</t>
        </is>
      </c>
      <c r="C18" s="4" t="inlineStr">
        <is>
          <t>Posterior condylar offset decides both achievable flexion and deep flexion contact.</t>
        </is>
      </c>
    </row>
    <row r="19">
      <c r="A19" s="4" t="inlineStr">
        <is>
          <t>3.5.4</t>
        </is>
      </c>
      <c r="B19" s="4" t="inlineStr">
        <is>
          <t>Effects of Flexion</t>
        </is>
      </c>
      <c r="C19" s="4" t="inlineStr">
        <is>
          <t>The structure under the highest deep flexion load is the posterior horn root.</t>
        </is>
      </c>
    </row>
    <row r="20">
      <c r="A20" s="4" t="inlineStr">
        <is>
          <t>3.5.4</t>
        </is>
      </c>
      <c r="B20" s="4" t="inlineStr">
        <is>
          <t>Effects of Flexion</t>
        </is>
      </c>
      <c r="C20" s="4" t="inlineStr">
        <is>
          <t>Retrieval analysis shows where deep flexion load actually fell.</t>
        </is>
      </c>
    </row>
    <row r="21">
      <c r="A21" s="4" t="inlineStr">
        <is>
          <t>3.5.4</t>
        </is>
      </c>
      <c r="B21" s="4" t="inlineStr">
        <is>
          <t>Effects of Flexion</t>
        </is>
      </c>
      <c r="C21" s="4" t="inlineStr">
        <is>
          <t>Measured range and reported deep flexion ability correlate imperfectly.</t>
        </is>
      </c>
    </row>
    <row r="22">
      <c r="A22" s="4" t="inlineStr">
        <is>
          <t>3.5.5</t>
        </is>
      </c>
      <c r="B22" s="4" t="inlineStr">
        <is>
          <t>Effects of Meniscal Loss</t>
        </is>
      </c>
      <c r="C22" s="4" t="inlineStr">
        <is>
          <t>The contact studies and the clinical cohorts agree, which is unusual and useful.</t>
        </is>
      </c>
    </row>
    <row r="23">
      <c r="A23" s="4" t="inlineStr">
        <is>
          <t>3.5.5</t>
        </is>
      </c>
      <c r="B23" s="4" t="inlineStr">
        <is>
          <t>Effects of Meniscal Loss</t>
        </is>
      </c>
      <c r="C23" s="4" t="inlineStr">
        <is>
          <t>Transplantation restores less area than a native meniscus, and sizing decides how much.</t>
        </is>
      </c>
    </row>
    <row r="24">
      <c r="A24" s="4" t="inlineStr">
        <is>
          <t>3.5.5</t>
        </is>
      </c>
      <c r="B24" s="4" t="inlineStr">
        <is>
          <t>Effects of Meniscal Loss</t>
        </is>
      </c>
      <c r="C24" s="4" t="inlineStr">
        <is>
          <t>Anatomic root repair is specified because position and tension restore the hoop mechanism.</t>
        </is>
      </c>
    </row>
    <row r="25">
      <c r="A25" s="4" t="inlineStr">
        <is>
          <t>3.5.5</t>
        </is>
      </c>
      <c r="B25" s="4" t="inlineStr">
        <is>
          <t>Effects of Meniscal Loss</t>
        </is>
      </c>
      <c r="C25" s="4" t="inlineStr">
        <is>
          <t>A restored meniscus in a malaligned limb is overloaded.</t>
        </is>
      </c>
    </row>
    <row r="26">
      <c r="A26" s="4" t="inlineStr">
        <is>
          <t>3.5.5</t>
        </is>
      </c>
      <c r="B26" s="4" t="inlineStr">
        <is>
          <t>Effects of Meniscal Loss</t>
        </is>
      </c>
      <c r="C26" s="4" t="inlineStr">
        <is>
          <t>Healing on imaging is not restored contact mechanics.</t>
        </is>
      </c>
    </row>
    <row r="27">
      <c r="A27" s="4" t="inlineStr">
        <is>
          <t>3.5.6</t>
        </is>
      </c>
      <c r="B27" s="4" t="inlineStr">
        <is>
          <t>Effects of Malalignment</t>
        </is>
      </c>
      <c r="C27" s="4" t="inlineStr">
        <is>
          <t>Alignment is the only variable here that can be changed by a large amount.</t>
        </is>
      </c>
    </row>
    <row r="28">
      <c r="A28" s="4" t="inlineStr">
        <is>
          <t>3.5.6</t>
        </is>
      </c>
      <c r="B28" s="4" t="inlineStr">
        <is>
          <t>Effects of Malalignment</t>
        </is>
      </c>
      <c r="C28" s="4" t="inlineStr">
        <is>
          <t>Osteotomy precedes or accompanies cartilage and meniscal work rather than following it.</t>
        </is>
      </c>
    </row>
    <row r="29">
      <c r="A29" s="4" t="inlineStr">
        <is>
          <t>3.5.6</t>
        </is>
      </c>
      <c r="B29" s="4" t="inlineStr">
        <is>
          <t>Effects of Malalignment</t>
        </is>
      </c>
      <c r="C29" s="4" t="inlineStr">
        <is>
          <t>Slope is a separate mechanical risk acting on translation and graft failure.</t>
        </is>
      </c>
    </row>
    <row r="30">
      <c r="A30" s="4" t="inlineStr">
        <is>
          <t>3.5.6</t>
        </is>
      </c>
      <c r="B30" s="4" t="inlineStr">
        <is>
          <t>Effects of Malalignment</t>
        </is>
      </c>
      <c r="C30" s="4" t="inlineStr">
        <is>
          <t>Stress radiography separates bony deformity from soft tissue laxity.</t>
        </is>
      </c>
    </row>
    <row r="31">
      <c r="A31" s="4" t="inlineStr">
        <is>
          <t>3.5.6</t>
        </is>
      </c>
      <c r="B31" s="4" t="inlineStr">
        <is>
          <t>Effects of Malalignment</t>
        </is>
      </c>
      <c r="C31" s="4" t="inlineStr">
        <is>
          <t>Confirm the correction radiographically rather than assuming it.</t>
        </is>
      </c>
    </row>
    <row r="32">
      <c r="A32" s="4" t="inlineStr">
        <is>
          <t>3.5.7</t>
        </is>
      </c>
      <c r="B32" s="4" t="inlineStr">
        <is>
          <t>Effects of Obesity</t>
        </is>
      </c>
      <c r="C32" s="4" t="inlineStr">
        <is>
          <t>Mass has the largest achievable effect size and the lowest achievement rate.</t>
        </is>
      </c>
    </row>
    <row r="33">
      <c r="A33" s="4" t="inlineStr">
        <is>
          <t>3.5.7</t>
        </is>
      </c>
      <c r="B33" s="4" t="inlineStr">
        <is>
          <t>Effects of Obesity</t>
        </is>
      </c>
      <c r="C33" s="4" t="inlineStr">
        <is>
          <t>It acts on construct loads and on operative complications, which are separate arguments.</t>
        </is>
      </c>
    </row>
    <row r="34">
      <c r="A34" s="4" t="inlineStr">
        <is>
          <t>3.5.7</t>
        </is>
      </c>
      <c r="B34" s="4" t="inlineStr">
        <is>
          <t>Effects of Obesity</t>
        </is>
      </c>
      <c r="C34" s="4" t="inlineStr">
        <is>
          <t>Higher mass is associated with poorer osteotomy and unicompartmental outcomes.</t>
        </is>
      </c>
    </row>
    <row r="35">
      <c r="A35" s="4" t="inlineStr">
        <is>
          <t>3.5.7</t>
        </is>
      </c>
      <c r="B35" s="4" t="inlineStr">
        <is>
          <t>Effects of Obesity</t>
        </is>
      </c>
      <c r="C35" s="4" t="inlineStr">
        <is>
          <t>Body mass index is a poor description of load distribution.</t>
        </is>
      </c>
    </row>
    <row r="36">
      <c r="A36" s="4" t="inlineStr">
        <is>
          <t>3.5.7</t>
        </is>
      </c>
      <c r="B36" s="4" t="inlineStr">
        <is>
          <t>Effects of Obesity</t>
        </is>
      </c>
      <c r="C36" s="4" t="inlineStr">
        <is>
          <t>No measurement predicts which heavier patient will do well.</t>
        </is>
      </c>
    </row>
    <row r="37">
      <c r="A37" s="4" t="inlineStr">
        <is>
          <t>3.5.8</t>
        </is>
      </c>
      <c r="B37" s="4" t="inlineStr">
        <is>
          <t>Contact Mechanics After ACL Injury</t>
        </is>
      </c>
      <c r="C37" s="4" t="inlineStr">
        <is>
          <t>The contact shift is the mechanical account of post-traumatic degeneration.</t>
        </is>
      </c>
    </row>
    <row r="38">
      <c r="A38" s="4" t="inlineStr">
        <is>
          <t>3.5.8</t>
        </is>
      </c>
      <c r="B38" s="4" t="inlineStr">
        <is>
          <t>Contact Mechanics After ACL Injury</t>
        </is>
      </c>
      <c r="C38" s="4" t="inlineStr">
        <is>
          <t>Reconstruction restores stability reliably and contact position only partially.</t>
        </is>
      </c>
    </row>
    <row r="39">
      <c r="A39" s="4" t="inlineStr">
        <is>
          <t>3.5.8</t>
        </is>
      </c>
      <c r="B39" s="4" t="inlineStr">
        <is>
          <t>Contact Mechanics After ACL Injury</t>
        </is>
      </c>
      <c r="C39" s="4" t="inlineStr">
        <is>
          <t>Stability and long term joint health are different outcomes.</t>
        </is>
      </c>
    </row>
    <row r="40">
      <c r="A40" s="4" t="inlineStr">
        <is>
          <t>3.5.8</t>
        </is>
      </c>
      <c r="B40" s="4" t="inlineStr">
        <is>
          <t>Contact Mechanics After ACL Injury</t>
        </is>
      </c>
      <c r="C40" s="4" t="inlineStr">
        <is>
          <t>Slope correction addresses a shift driven by bony morphology.</t>
        </is>
      </c>
    </row>
    <row r="41">
      <c r="A41" s="4" t="inlineStr">
        <is>
          <t>3.5.8</t>
        </is>
      </c>
      <c r="B41" s="4" t="inlineStr">
        <is>
          <t>Contact Mechanics After ACL Injury</t>
        </is>
      </c>
      <c r="C41" s="4" t="inlineStr">
        <is>
          <t>No clinical measurement confirms restored contact mechanics.</t>
        </is>
      </c>
    </row>
    <row r="42">
      <c r="A42" s="4" t="inlineStr">
        <is>
          <t>3.5.9</t>
        </is>
      </c>
      <c r="B42" s="4" t="inlineStr">
        <is>
          <t>Contact Mechanics After Meniscectomy</t>
        </is>
      </c>
      <c r="C42" s="4" t="inlineStr">
        <is>
          <t>The shift from resection to repair was mechanically predicted before it was demonstrated.</t>
        </is>
      </c>
    </row>
    <row r="43">
      <c r="A43" s="4" t="inlineStr">
        <is>
          <t>3.5.9</t>
        </is>
      </c>
      <c r="B43" s="4" t="inlineStr">
        <is>
          <t>Contact Mechanics After Meniscectomy</t>
        </is>
      </c>
      <c r="C43" s="4" t="inlineStr">
        <is>
          <t>Transplantation relieves symptoms more reliably than it is proven to protect cartilage.</t>
        </is>
      </c>
    </row>
    <row r="44">
      <c r="A44" s="4" t="inlineStr">
        <is>
          <t>3.5.9</t>
        </is>
      </c>
      <c r="B44" s="4" t="inlineStr">
        <is>
          <t>Contact Mechanics After Meniscectomy</t>
        </is>
      </c>
      <c r="C44" s="4" t="inlineStr">
        <is>
          <t>A resected meniscus cannot be undone; the decision is permanent.</t>
        </is>
      </c>
    </row>
    <row r="45">
      <c r="A45" s="4" t="inlineStr">
        <is>
          <t>3.5.9</t>
        </is>
      </c>
      <c r="B45" s="4" t="inlineStr">
        <is>
          <t>Contact Mechanics After Meniscectomy</t>
        </is>
      </c>
      <c r="C45" s="4" t="inlineStr">
        <is>
          <t>No measurement confirms an individual knee's contact mechanics before or after.</t>
        </is>
      </c>
    </row>
    <row r="46">
      <c r="A46" s="4" t="inlineStr">
        <is>
          <t>3.5.9</t>
        </is>
      </c>
      <c r="B46" s="4" t="inlineStr">
        <is>
          <t>Contact Mechanics After Meniscectomy</t>
        </is>
      </c>
      <c r="C46" s="4" t="inlineStr">
        <is>
          <t>Record the resection precisely, because the next surgeon's options depend on it.</t>
        </is>
      </c>
    </row>
    <row r="47">
      <c r="A47" s="4" t="inlineStr">
        <is>
          <t>3.5.10</t>
        </is>
      </c>
      <c r="B47" s="4" t="inlineStr">
        <is>
          <t>Contact Mechanics After Osteotomy</t>
        </is>
      </c>
      <c r="C47" s="4" t="inlineStr">
        <is>
          <t>Osteotomy is the foundation other procedures are built on, not an alternative to them.</t>
        </is>
      </c>
    </row>
    <row r="48">
      <c r="A48" s="4" t="inlineStr">
        <is>
          <t>3.5.10</t>
        </is>
      </c>
      <c r="B48" s="4" t="inlineStr">
        <is>
          <t>Contact Mechanics After Osteotomy</t>
        </is>
      </c>
      <c r="C48" s="4" t="inlineStr">
        <is>
          <t>A correction is a commitment that changes any later arthroplasty.</t>
        </is>
      </c>
    </row>
    <row r="49">
      <c r="A49" s="4" t="inlineStr">
        <is>
          <t>3.5.10</t>
        </is>
      </c>
      <c r="B49" s="4" t="inlineStr">
        <is>
          <t>Contact Mechanics After Osteotomy</t>
        </is>
      </c>
      <c r="C49" s="4" t="inlineStr">
        <is>
          <t>Slope correction is a separate operation with a separate mechanical target.</t>
        </is>
      </c>
    </row>
    <row r="50">
      <c r="A50" s="4" t="inlineStr">
        <is>
          <t>3.5.10</t>
        </is>
      </c>
      <c r="B50" s="4" t="inlineStr">
        <is>
          <t>Contact Mechanics After Osteotomy</t>
        </is>
      </c>
      <c r="C50" s="4" t="inlineStr">
        <is>
          <t>Conversion to arthroplasty is the usual survivorship endpoint.</t>
        </is>
      </c>
    </row>
    <row r="51">
      <c r="A51" s="4" t="inlineStr">
        <is>
          <t>3.5.10</t>
        </is>
      </c>
      <c r="B51" s="4" t="inlineStr">
        <is>
          <t>Contact Mechanics After Osteotomy</t>
        </is>
      </c>
      <c r="C51" s="4" t="inlineStr">
        <is>
          <t>Localise the deformity before correcting and confirm the axis afterwards.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3.5.1-P1</t>
        </is>
      </c>
      <c r="B3" s="4" t="inlineStr">
        <is>
          <t>3.5.1</t>
        </is>
      </c>
      <c r="C3" s="4" t="inlineStr">
        <is>
          <t>mrcs</t>
        </is>
      </c>
      <c r="D3" s="4" t="inlineStr">
        <is>
          <t>Read a contact area figure with its load, flexion angle and method attached, since all three change it.</t>
        </is>
      </c>
      <c r="E3" s="4" t="inlineStr"/>
      <c r="F3" s="4" t="inlineStr"/>
      <c r="G3" s="4" t="inlineStr"/>
    </row>
    <row r="4">
      <c r="A4" s="4" t="inlineStr">
        <is>
          <t>3.5.1-P2</t>
        </is>
      </c>
      <c r="B4" s="4" t="inlineStr">
        <is>
          <t>3.5.1</t>
        </is>
      </c>
      <c r="C4" s="4" t="inlineStr">
        <is>
          <t>mrcs</t>
        </is>
      </c>
      <c r="D4" s="4" t="inlineStr">
        <is>
          <t>Treat the lateral compartment as the more meniscus dependent one, on the ground that it has no bony concavity.</t>
        </is>
      </c>
      <c r="E4" s="4" t="inlineStr"/>
      <c r="F4" s="4" t="inlineStr"/>
      <c r="G4" s="4" t="inlineStr"/>
    </row>
    <row r="5">
      <c r="A5" s="4" t="inlineStr">
        <is>
          <t>3.5.1-P3</t>
        </is>
      </c>
      <c r="B5" s="4" t="inlineStr">
        <is>
          <t>3.5.1</t>
        </is>
      </c>
      <c r="C5" s="4" t="inlineStr">
        <is>
          <t>mrcs</t>
        </is>
      </c>
      <c r="D5" s="4" t="inlineStr">
        <is>
          <t>Expect extrusion or a root tear to reduce contact area without removing tissue.</t>
        </is>
      </c>
      <c r="E5" s="4" t="inlineStr"/>
      <c r="F5" s="4" t="inlineStr"/>
      <c r="G5" s="4" t="inlineStr"/>
    </row>
    <row r="6">
      <c r="A6" s="4" t="inlineStr">
        <is>
          <t>3.5.1-P4</t>
        </is>
      </c>
      <c r="B6" s="4" t="inlineStr">
        <is>
          <t>3.5.1</t>
        </is>
      </c>
      <c r="C6" s="4" t="inlineStr">
        <is>
          <t>mrcs</t>
        </is>
      </c>
      <c r="D6" s="4" t="inlineStr">
        <is>
          <t>Expect deep flexion to be a small area position, and therefore a high stress one.</t>
        </is>
      </c>
      <c r="E6" s="4" t="inlineStr"/>
      <c r="F6" s="4" t="inlineStr"/>
      <c r="G6" s="4" t="inlineStr"/>
    </row>
    <row r="7">
      <c r="A7" s="4" t="inlineStr">
        <is>
          <t>3.5.1-P5</t>
        </is>
      </c>
      <c r="B7" s="4" t="inlineStr">
        <is>
          <t>3.5.1</t>
        </is>
      </c>
      <c r="C7" s="4" t="inlineStr">
        <is>
          <t>frcs</t>
        </is>
      </c>
      <c r="D7" s="4" t="inlineStr">
        <is>
          <t>Treat contact area as the quantity a reconstruction restores and a measurement cannot confirm.</t>
        </is>
      </c>
      <c r="E7" s="4" t="inlineStr"/>
      <c r="F7" s="4" t="inlineStr"/>
      <c r="G7" s="4" t="inlineStr"/>
    </row>
    <row r="8">
      <c r="A8" s="4" t="inlineStr">
        <is>
          <t>3.5.1-P6</t>
        </is>
      </c>
      <c r="B8" s="4" t="inlineStr">
        <is>
          <t>3.5.1</t>
        </is>
      </c>
      <c r="C8" s="4" t="inlineStr">
        <is>
          <t>frcs</t>
        </is>
      </c>
      <c r="D8" s="4" t="inlineStr">
        <is>
          <t>Repair rather than resect where the ring can be restored, on area grounds.</t>
        </is>
      </c>
      <c r="E8" s="4" t="inlineStr"/>
      <c r="F8" s="4" t="inlineStr"/>
      <c r="G8" s="4" t="inlineStr"/>
    </row>
    <row r="9">
      <c r="A9" s="4" t="inlineStr">
        <is>
          <t>3.5.1-P7</t>
        </is>
      </c>
      <c r="B9" s="4" t="inlineStr">
        <is>
          <t>3.5.1</t>
        </is>
      </c>
      <c r="C9" s="4" t="inlineStr">
        <is>
          <t>frcs</t>
        </is>
      </c>
      <c r="D9" s="4" t="inlineStr">
        <is>
          <t>Correct alignment alongside any area restoring procedure, since malalignment concentrates load regardless.</t>
        </is>
      </c>
      <c r="E9" s="4" t="inlineStr"/>
      <c r="F9" s="4" t="inlineStr"/>
      <c r="G9" s="4" t="inlineStr"/>
    </row>
    <row r="10">
      <c r="A10" s="4" t="inlineStr">
        <is>
          <t>3.5.1-P8</t>
        </is>
      </c>
      <c r="B10" s="4" t="inlineStr">
        <is>
          <t>3.5.1</t>
        </is>
      </c>
      <c r="C10" s="4" t="inlineStr">
        <is>
          <t>frcs</t>
        </is>
      </c>
      <c r="D10" s="4" t="inlineStr">
        <is>
          <t>State that contact area cannot be measured clinically when explaining why a procedure's mechanical case rests on cadaveric work.</t>
        </is>
      </c>
      <c r="E10" s="4" t="inlineStr"/>
      <c r="F10" s="4" t="inlineStr"/>
      <c r="G10" s="4" t="inlineStr"/>
    </row>
    <row r="11">
      <c r="A11" s="4" t="inlineStr">
        <is>
          <t>3.5.1-P9</t>
        </is>
      </c>
      <c r="B11" s="4" t="inlineStr">
        <is>
          <t>3.5.1</t>
        </is>
      </c>
      <c r="C11" s="4" t="inlineStr">
        <is>
          <t>frcs</t>
        </is>
      </c>
      <c r="D11" s="4" t="inlineStr">
        <is>
          <t>- Tissue present is not necessarily tissue working; the ring must be anchored.</t>
        </is>
      </c>
      <c r="E11" s="4" t="inlineStr"/>
      <c r="F11" s="4" t="inlineStr"/>
      <c r="G11" s="4" t="inlineStr"/>
    </row>
    <row r="12">
      <c r="A12" s="4" t="inlineStr">
        <is>
          <t>3.5.2-P1</t>
        </is>
      </c>
      <c r="B12" s="4" t="inlineStr">
        <is>
          <t>3.5.2</t>
        </is>
      </c>
      <c r="C12" s="4" t="inlineStr">
        <is>
          <t>mrcs</t>
        </is>
      </c>
      <c r="D12" s="4" t="inlineStr">
        <is>
          <t>Treat a halved contact area as a doubled stress, which is the arithmetic behind the meniscectomy literature.</t>
        </is>
      </c>
      <c r="E12" s="4" t="inlineStr"/>
      <c r="F12" s="4" t="inlineStr"/>
      <c r="G12" s="4" t="inlineStr"/>
    </row>
    <row r="13">
      <c r="A13" s="4" t="inlineStr">
        <is>
          <t>3.5.2-P2</t>
        </is>
      </c>
      <c r="B13" s="4" t="inlineStr">
        <is>
          <t>3.5.2</t>
        </is>
      </c>
      <c r="C13" s="4" t="inlineStr">
        <is>
          <t>mrcs</t>
        </is>
      </c>
      <c r="D13" s="4" t="inlineStr">
        <is>
          <t>Consider shear as well as compression when a delamination or osteochondral lesion is the problem.</t>
        </is>
      </c>
      <c r="E13" s="4" t="inlineStr"/>
      <c r="F13" s="4" t="inlineStr"/>
      <c r="G13" s="4" t="inlineStr"/>
    </row>
    <row r="14">
      <c r="A14" s="4" t="inlineStr">
        <is>
          <t>3.5.2-P3</t>
        </is>
      </c>
      <c r="B14" s="4" t="inlineStr">
        <is>
          <t>3.5.2</t>
        </is>
      </c>
      <c r="C14" s="4" t="inlineStr">
        <is>
          <t>mrcs</t>
        </is>
      </c>
      <c r="D14" s="4" t="inlineStr">
        <is>
          <t>Read an in vivo stress figure as a model output rather than a measurement.</t>
        </is>
      </c>
      <c r="E14" s="4" t="inlineStr"/>
      <c r="F14" s="4" t="inlineStr"/>
      <c r="G14" s="4" t="inlineStr"/>
    </row>
    <row r="15">
      <c r="A15" s="4" t="inlineStr">
        <is>
          <t>3.5.2-P4</t>
        </is>
      </c>
      <c r="B15" s="4" t="inlineStr">
        <is>
          <t>3.5.2</t>
        </is>
      </c>
      <c r="C15" s="4" t="inlineStr">
        <is>
          <t>frcs</t>
        </is>
      </c>
      <c r="D15" s="4" t="inlineStr">
        <is>
          <t>Treat peak contact stress as the common currency of every mechanical argument in the knee.</t>
        </is>
      </c>
      <c r="E15" s="4" t="inlineStr"/>
      <c r="F15" s="4" t="inlineStr"/>
      <c r="G15" s="4" t="inlineStr"/>
    </row>
    <row r="16">
      <c r="A16" s="4" t="inlineStr">
        <is>
          <t>3.5.2-P5</t>
        </is>
      </c>
      <c r="B16" s="4" t="inlineStr">
        <is>
          <t>3.5.2</t>
        </is>
      </c>
      <c r="C16" s="4" t="inlineStr">
        <is>
          <t>frcs</t>
        </is>
      </c>
      <c r="D16" s="4" t="inlineStr">
        <is>
          <t>Expect a cartilage repair of different stiffness to distribute load differently from the original.</t>
        </is>
      </c>
      <c r="E16" s="4" t="inlineStr"/>
      <c r="F16" s="4" t="inlineStr"/>
      <c r="G16" s="4" t="inlineStr"/>
    </row>
    <row r="17">
      <c r="A17" s="4" t="inlineStr">
        <is>
          <t>3.5.2-P6</t>
        </is>
      </c>
      <c r="B17" s="4" t="inlineStr">
        <is>
          <t>3.5.2</t>
        </is>
      </c>
      <c r="C17" s="4" t="inlineStr">
        <is>
          <t>frcs</t>
        </is>
      </c>
      <c r="D17" s="4" t="inlineStr">
        <is>
          <t>State that no in vivo stress threshold is established when a patient asks how much load is safe.</t>
        </is>
      </c>
      <c r="E17" s="4" t="inlineStr"/>
      <c r="F17" s="4" t="inlineStr"/>
      <c r="G17" s="4" t="inlineStr"/>
    </row>
    <row r="18">
      <c r="A18" s="4" t="inlineStr">
        <is>
          <t>3.5.3-P1</t>
        </is>
      </c>
      <c r="B18" s="4" t="inlineStr">
        <is>
          <t>3.5.3</t>
        </is>
      </c>
      <c r="C18" s="4" t="inlineStr">
        <is>
          <t>mrcs</t>
        </is>
      </c>
      <c r="D18" s="4" t="inlineStr">
        <is>
          <t>Assess lateral soft tissue integrity when a medial overload picture is worse than the alignment explains.</t>
        </is>
      </c>
      <c r="E18" s="4" t="inlineStr"/>
      <c r="F18" s="4" t="inlineStr"/>
      <c r="G18" s="4" t="inlineStr"/>
    </row>
    <row r="19">
      <c r="A19" s="4" t="inlineStr">
        <is>
          <t>3.5.3-P2</t>
        </is>
      </c>
      <c r="B19" s="4" t="inlineStr">
        <is>
          <t>3.5.3</t>
        </is>
      </c>
      <c r="C19" s="4" t="inlineStr">
        <is>
          <t>mrcs</t>
        </is>
      </c>
      <c r="D19" s="4" t="inlineStr">
        <is>
          <t>Treat the adduction moment as the measurable proxy for the division.</t>
        </is>
      </c>
      <c r="E19" s="4" t="inlineStr"/>
      <c r="F19" s="4" t="inlineStr"/>
      <c r="G19" s="4" t="inlineStr"/>
    </row>
    <row r="20">
      <c r="A20" s="4" t="inlineStr">
        <is>
          <t>3.5.3-P3</t>
        </is>
      </c>
      <c r="B20" s="4" t="inlineStr">
        <is>
          <t>3.5.3</t>
        </is>
      </c>
      <c r="C20" s="4" t="inlineStr">
        <is>
          <t>mrcs</t>
        </is>
      </c>
      <c r="D20" s="4" t="inlineStr">
        <is>
          <t>Expect the division to vary through a step rather than holding at a quoted average.</t>
        </is>
      </c>
      <c r="E20" s="4" t="inlineStr"/>
      <c r="F20" s="4" t="inlineStr"/>
      <c r="G20" s="4" t="inlineStr"/>
    </row>
    <row r="21">
      <c r="A21" s="4" t="inlineStr">
        <is>
          <t>3.5.3-P4</t>
        </is>
      </c>
      <c r="B21" s="4" t="inlineStr">
        <is>
          <t>3.5.3</t>
        </is>
      </c>
      <c r="C21" s="4" t="inlineStr">
        <is>
          <t>frcs</t>
        </is>
      </c>
      <c r="D21" s="4" t="inlineStr">
        <is>
          <t>Treat the division as the target of unicompartmental and realignment surgery, and treat the published average as a starting point rather than a patient's number.</t>
        </is>
      </c>
      <c r="E21" s="4" t="inlineStr"/>
      <c r="F21" s="4" t="inlineStr"/>
      <c r="G21" s="4" t="inlineStr"/>
    </row>
    <row r="22">
      <c r="A22" s="4" t="inlineStr">
        <is>
          <t>3.5.3-P5</t>
        </is>
      </c>
      <c r="B22" s="4" t="inlineStr">
        <is>
          <t>3.5.3</t>
        </is>
      </c>
      <c r="C22" s="4" t="inlineStr">
        <is>
          <t>frcs</t>
        </is>
      </c>
      <c r="D22" s="4" t="inlineStr">
        <is>
          <t>Assess the opposite compartment and the cruciate before unicompartmental replacement, since the operation relies on them.</t>
        </is>
      </c>
      <c r="E22" s="4" t="inlineStr"/>
      <c r="F22" s="4" t="inlineStr"/>
      <c r="G22" s="4" t="inlineStr"/>
    </row>
    <row r="23">
      <c r="A23" s="4" t="inlineStr">
        <is>
          <t>3.5.3-P6</t>
        </is>
      </c>
      <c r="B23" s="4" t="inlineStr">
        <is>
          <t>3.5.3</t>
        </is>
      </c>
      <c r="C23" s="4" t="inlineStr">
        <is>
          <t>frcs</t>
        </is>
      </c>
      <c r="D23" s="4" t="inlineStr">
        <is>
          <t>Plan correction to avoid transferring an excessive share, rather than to the largest achievable angle.</t>
        </is>
      </c>
      <c r="E23" s="4" t="inlineStr"/>
      <c r="F23" s="4" t="inlineStr"/>
      <c r="G23" s="4" t="inlineStr"/>
    </row>
    <row r="24">
      <c r="A24" s="4" t="inlineStr">
        <is>
          <t>3.5.3-P7</t>
        </is>
      </c>
      <c r="B24" s="4" t="inlineStr">
        <is>
          <t>3.5.3</t>
        </is>
      </c>
      <c r="C24" s="4" t="inlineStr">
        <is>
          <t>frcs</t>
        </is>
      </c>
      <c r="D24" s="4" t="inlineStr">
        <is>
          <t>Use long leg alignment as the clinical proxy for the division.</t>
        </is>
      </c>
      <c r="E24" s="4" t="inlineStr"/>
      <c r="F24" s="4" t="inlineStr"/>
      <c r="G24" s="4" t="inlineStr"/>
    </row>
    <row r="25">
      <c r="A25" s="4" t="inlineStr">
        <is>
          <t>3.5.3-P8</t>
        </is>
      </c>
      <c r="B25" s="4" t="inlineStr">
        <is>
          <t>3.5.3</t>
        </is>
      </c>
      <c r="C25" s="4" t="inlineStr">
        <is>
          <t>frcs</t>
        </is>
      </c>
      <c r="D25" s="4" t="inlineStr">
        <is>
          <t>Expect the division to change as the unoperated compartment progresses.</t>
        </is>
      </c>
      <c r="E25" s="4" t="inlineStr"/>
      <c r="F25" s="4" t="inlineStr"/>
      <c r="G25" s="4" t="inlineStr"/>
    </row>
    <row r="26">
      <c r="A26" s="4" t="inlineStr">
        <is>
          <t>3.5.4-P1</t>
        </is>
      </c>
      <c r="B26" s="4" t="inlineStr">
        <is>
          <t>3.5.4</t>
        </is>
      </c>
      <c r="C26" s="4" t="inlineStr">
        <is>
          <t>mrcs</t>
        </is>
      </c>
      <c r="D26" s="4" t="inlineStr">
        <is>
          <t>Expect posterior horn symptoms in deep flexion and absence of findings in mid range testing.</t>
        </is>
      </c>
      <c r="E26" s="4" t="inlineStr"/>
      <c r="F26" s="4" t="inlineStr"/>
      <c r="G26" s="4" t="inlineStr"/>
    </row>
    <row r="27">
      <c r="A27" s="4" t="inlineStr">
        <is>
          <t>3.5.4-P2</t>
        </is>
      </c>
      <c r="B27" s="4" t="inlineStr">
        <is>
          <t>3.5.4</t>
        </is>
      </c>
      <c r="C27" s="4" t="inlineStr">
        <is>
          <t>mrcs</t>
        </is>
      </c>
      <c r="D27" s="4" t="inlineStr">
        <is>
          <t>Treat the thinness of the deep flexion literature as a limit on confidence rather than as reassurance.</t>
        </is>
      </c>
      <c r="E27" s="4" t="inlineStr"/>
      <c r="F27" s="4" t="inlineStr"/>
      <c r="G27" s="4" t="inlineStr"/>
    </row>
    <row r="28">
      <c r="A28" s="4" t="inlineStr">
        <is>
          <t>3.5.4-P3</t>
        </is>
      </c>
      <c r="B28" s="4" t="inlineStr">
        <is>
          <t>3.5.4</t>
        </is>
      </c>
      <c r="C28" s="4" t="inlineStr">
        <is>
          <t>frcs</t>
        </is>
      </c>
      <c r="D28" s="4" t="inlineStr">
        <is>
          <t>Treat deep flexion as a design constraint with a stated cost.</t>
        </is>
      </c>
      <c r="E28" s="4" t="inlineStr"/>
      <c r="F28" s="4" t="inlineStr"/>
      <c r="G28" s="4" t="inlineStr"/>
    </row>
    <row r="29">
      <c r="A29" s="4" t="inlineStr">
        <is>
          <t>3.5.4-P4</t>
        </is>
      </c>
      <c r="B29" s="4" t="inlineStr">
        <is>
          <t>3.5.4</t>
        </is>
      </c>
      <c r="C29" s="4" t="inlineStr">
        <is>
          <t>frcs</t>
        </is>
      </c>
      <c r="D29" s="4" t="inlineStr">
        <is>
          <t>Restore posterior condylar offset rather than accepting an approximation.</t>
        </is>
      </c>
      <c r="E29" s="4" t="inlineStr"/>
      <c r="F29" s="4" t="inlineStr"/>
      <c r="G29" s="4" t="inlineStr"/>
    </row>
    <row r="30">
      <c r="A30" s="4" t="inlineStr">
        <is>
          <t>3.5.4-P5</t>
        </is>
      </c>
      <c r="B30" s="4" t="inlineStr">
        <is>
          <t>3.5.4</t>
        </is>
      </c>
      <c r="C30" s="4" t="inlineStr">
        <is>
          <t>frcs</t>
        </is>
      </c>
      <c r="D30" s="4" t="inlineStr">
        <is>
          <t>Expect the deep flexion contact area to be small, and choose the bearing accordingly.</t>
        </is>
      </c>
      <c r="E30" s="4" t="inlineStr"/>
      <c r="F30" s="4" t="inlineStr"/>
      <c r="G30" s="4" t="inlineStr"/>
    </row>
    <row r="31">
      <c r="A31" s="4" t="inlineStr">
        <is>
          <t>3.5.4-P6</t>
        </is>
      </c>
      <c r="B31" s="4" t="inlineStr">
        <is>
          <t>3.5.4</t>
        </is>
      </c>
      <c r="C31" s="4" t="inlineStr">
        <is>
          <t>frcs</t>
        </is>
      </c>
      <c r="D31" s="4" t="inlineStr">
        <is>
          <t>Repair posterior horn roots where feasible, on deep flexion loading grounds.</t>
        </is>
      </c>
      <c r="E31" s="4" t="inlineStr"/>
      <c r="F31" s="4" t="inlineStr"/>
      <c r="G31" s="4" t="inlineStr"/>
    </row>
    <row r="32">
      <c r="A32" s="4" t="inlineStr">
        <is>
          <t>3.5.5-P1</t>
        </is>
      </c>
      <c r="B32" s="4" t="inlineStr">
        <is>
          <t>3.5.5</t>
        </is>
      </c>
      <c r="C32" s="4" t="inlineStr">
        <is>
          <t>mrcs</t>
        </is>
      </c>
      <c r="D32" s="4" t="inlineStr">
        <is>
          <t>Resect as little as the tear requires, since the stress rise scales with the resection.</t>
        </is>
      </c>
      <c r="E32" s="4" t="inlineStr"/>
      <c r="F32" s="4" t="inlineStr"/>
      <c r="G32" s="4" t="inlineStr"/>
    </row>
    <row r="33">
      <c r="A33" s="4" t="inlineStr">
        <is>
          <t>3.5.5-P2</t>
        </is>
      </c>
      <c r="B33" s="4" t="inlineStr">
        <is>
          <t>3.5.5</t>
        </is>
      </c>
      <c r="C33" s="4" t="inlineStr">
        <is>
          <t>mrcs</t>
        </is>
      </c>
      <c r="D33" s="4" t="inlineStr">
        <is>
          <t>Preserve the peripheral rim and the roots, which carry the hoop tension.</t>
        </is>
      </c>
      <c r="E33" s="4" t="inlineStr"/>
      <c r="F33" s="4" t="inlineStr"/>
      <c r="G33" s="4" t="inlineStr"/>
    </row>
    <row r="34">
      <c r="A34" s="4" t="inlineStr">
        <is>
          <t>3.5.5-P3</t>
        </is>
      </c>
      <c r="B34" s="4" t="inlineStr">
        <is>
          <t>3.5.5</t>
        </is>
      </c>
      <c r="C34" s="4" t="inlineStr">
        <is>
          <t>mrcs</t>
        </is>
      </c>
      <c r="D34" s="4" t="inlineStr">
        <is>
          <t>Repair a root tear on the same grounds as a meniscal tear, because mechanically it is one.</t>
        </is>
      </c>
      <c r="E34" s="4" t="inlineStr"/>
      <c r="F34" s="4" t="inlineStr"/>
      <c r="G34" s="4" t="inlineStr"/>
    </row>
    <row r="35">
      <c r="A35" s="4" t="inlineStr">
        <is>
          <t>3.5.5-P4</t>
        </is>
      </c>
      <c r="B35" s="4" t="inlineStr">
        <is>
          <t>3.5.5</t>
        </is>
      </c>
      <c r="C35" s="4" t="inlineStr">
        <is>
          <t>mrcs</t>
        </is>
      </c>
      <c r="D35" s="4" t="inlineStr">
        <is>
          <t>Read extrusion as a functional loss even where the meniscus is continuous.</t>
        </is>
      </c>
      <c r="E35" s="4" t="inlineStr"/>
      <c r="F35" s="4" t="inlineStr"/>
      <c r="G35" s="4" t="inlineStr"/>
    </row>
    <row r="36">
      <c r="A36" s="4" t="inlineStr">
        <is>
          <t>3.5.5-P5</t>
        </is>
      </c>
      <c r="B36" s="4" t="inlineStr">
        <is>
          <t>3.5.5</t>
        </is>
      </c>
      <c r="C36" s="4" t="inlineStr">
        <is>
          <t>frcs</t>
        </is>
      </c>
      <c r="D36" s="4" t="inlineStr">
        <is>
          <t>Treat the contact studies as the mechanical case for preservation and the cohorts as the clinical one, and note that they agree.</t>
        </is>
      </c>
      <c r="E36" s="4" t="inlineStr"/>
      <c r="F36" s="4" t="inlineStr"/>
      <c r="G36" s="4" t="inlineStr"/>
    </row>
    <row r="37">
      <c r="A37" s="4" t="inlineStr">
        <is>
          <t>3.5.5-P6</t>
        </is>
      </c>
      <c r="B37" s="4" t="inlineStr">
        <is>
          <t>3.5.5</t>
        </is>
      </c>
      <c r="C37" s="4" t="inlineStr">
        <is>
          <t>frcs</t>
        </is>
      </c>
      <c r="D37" s="4" t="inlineStr">
        <is>
          <t>Repair of a root restores the hoop mechanism if it restores the attachment at the right position and tension, which is the mechanical reason anatomic repair is specified rather than preferred.</t>
        </is>
      </c>
      <c r="E37" s="4" t="inlineStr"/>
      <c r="F37" s="4" t="inlineStr"/>
      <c r="G37" s="4" t="inlineStr"/>
    </row>
    <row r="38">
      <c r="A38" s="4" t="inlineStr">
        <is>
          <t>3.5.5-P7</t>
        </is>
      </c>
      <c r="B38" s="4" t="inlineStr">
        <is>
          <t>3.5.5</t>
        </is>
      </c>
      <c r="C38" s="4" t="inlineStr">
        <is>
          <t>frcs</t>
        </is>
      </c>
      <c r="D38" s="4" t="inlineStr">
        <is>
          <t>Repair rather than resect wherever the hoop mechanism can be restored.</t>
        </is>
      </c>
      <c r="E38" s="4" t="inlineStr"/>
      <c r="F38" s="4" t="inlineStr"/>
      <c r="G38" s="4" t="inlineStr"/>
    </row>
    <row r="39">
      <c r="A39" s="4" t="inlineStr">
        <is>
          <t>3.5.5-P8</t>
        </is>
      </c>
      <c r="B39" s="4" t="inlineStr">
        <is>
          <t>3.5.5</t>
        </is>
      </c>
      <c r="C39" s="4" t="inlineStr">
        <is>
          <t>frcs</t>
        </is>
      </c>
      <c r="D39" s="4" t="inlineStr">
        <is>
          <t>Correct alignment alongside preservation or transplantation, or the restored area is overloaded.</t>
        </is>
      </c>
      <c r="E39" s="4" t="inlineStr"/>
      <c r="F39" s="4" t="inlineStr"/>
      <c r="G39" s="4" t="inlineStr"/>
    </row>
    <row r="40">
      <c r="A40" s="4" t="inlineStr">
        <is>
          <t>3.5.6-P1</t>
        </is>
      </c>
      <c r="B40" s="4" t="inlineStr">
        <is>
          <t>3.5.6</t>
        </is>
      </c>
      <c r="C40" s="4" t="inlineStr">
        <is>
          <t>mrcs</t>
        </is>
      </c>
      <c r="D40" s="4" t="inlineStr">
        <is>
          <t>Measure alignment standing and on a long leg film, since supine imaging underestimates it.</t>
        </is>
      </c>
      <c r="E40" s="4" t="inlineStr"/>
      <c r="F40" s="4" t="inlineStr"/>
      <c r="G40" s="4" t="inlineStr"/>
    </row>
    <row r="41">
      <c r="A41" s="4" t="inlineStr">
        <is>
          <t>3.5.6-P2</t>
        </is>
      </c>
      <c r="B41" s="4" t="inlineStr">
        <is>
          <t>3.5.6</t>
        </is>
      </c>
      <c r="C41" s="4" t="inlineStr">
        <is>
          <t>mrcs</t>
        </is>
      </c>
      <c r="D41" s="4" t="inlineStr">
        <is>
          <t>Localise the deformity to the femur, the tibia or the joint before planning a correction.</t>
        </is>
      </c>
      <c r="E41" s="4" t="inlineStr"/>
      <c r="F41" s="4" t="inlineStr"/>
      <c r="G41" s="4" t="inlineStr"/>
    </row>
    <row r="42">
      <c r="A42" s="4" t="inlineStr">
        <is>
          <t>3.5.6-P3</t>
        </is>
      </c>
      <c r="B42" s="4" t="inlineStr">
        <is>
          <t>3.5.6</t>
        </is>
      </c>
      <c r="C42" s="4" t="inlineStr">
        <is>
          <t>mrcs</t>
        </is>
      </c>
      <c r="D42" s="4" t="inlineStr">
        <is>
          <t>Treat the adduction moment as the quantity alignment is a proxy for.</t>
        </is>
      </c>
      <c r="E42" s="4" t="inlineStr"/>
      <c r="F42" s="4" t="inlineStr"/>
      <c r="G42" s="4" t="inlineStr"/>
    </row>
    <row r="43">
      <c r="A43" s="4" t="inlineStr">
        <is>
          <t>3.5.6-P4</t>
        </is>
      </c>
      <c r="B43" s="4" t="inlineStr">
        <is>
          <t>3.5.6</t>
        </is>
      </c>
      <c r="C43" s="4" t="inlineStr">
        <is>
          <t>frcs</t>
        </is>
      </c>
      <c r="D43" s="4" t="inlineStr">
        <is>
          <t>Treat alignment as the only mechanical variable in this chapter that can be changed by a large amount.</t>
        </is>
      </c>
      <c r="E43" s="4" t="inlineStr"/>
      <c r="F43" s="4" t="inlineStr"/>
      <c r="G43" s="4" t="inlineStr"/>
    </row>
    <row r="44">
      <c r="A44" s="4" t="inlineStr">
        <is>
          <t>3.5.6-P5</t>
        </is>
      </c>
      <c r="B44" s="4" t="inlineStr">
        <is>
          <t>3.5.6</t>
        </is>
      </c>
      <c r="C44" s="4" t="inlineStr">
        <is>
          <t>frcs</t>
        </is>
      </c>
      <c r="D44" s="4" t="inlineStr">
        <is>
          <t>Correct alignment before or with any cartilage or meniscal procedure in a malaligned limb.</t>
        </is>
      </c>
      <c r="E44" s="4" t="inlineStr"/>
      <c r="F44" s="4" t="inlineStr"/>
      <c r="G44" s="4" t="inlineStr"/>
    </row>
    <row r="45">
      <c r="A45" s="4" t="inlineStr">
        <is>
          <t>3.5.6-P6</t>
        </is>
      </c>
      <c r="B45" s="4" t="inlineStr">
        <is>
          <t>3.5.6</t>
        </is>
      </c>
      <c r="C45" s="4" t="inlineStr">
        <is>
          <t>frcs</t>
        </is>
      </c>
      <c r="D45" s="4" t="inlineStr">
        <is>
          <t>Assess slope separately, since it acts on a different mechanism from compartment share.</t>
        </is>
      </c>
      <c r="E45" s="4" t="inlineStr"/>
      <c r="F45" s="4" t="inlineStr"/>
      <c r="G45" s="4" t="inlineStr"/>
    </row>
    <row r="46">
      <c r="A46" s="4" t="inlineStr">
        <is>
          <t>3.5.6-P7</t>
        </is>
      </c>
      <c r="B46" s="4" t="inlineStr">
        <is>
          <t>3.5.6</t>
        </is>
      </c>
      <c r="C46" s="4" t="inlineStr">
        <is>
          <t>frcs</t>
        </is>
      </c>
      <c r="D46" s="4" t="inlineStr">
        <is>
          <t>Confirm the correction radiographically rather than assuming the plan was achieved.</t>
        </is>
      </c>
      <c r="E46" s="4" t="inlineStr"/>
      <c r="F46" s="4" t="inlineStr"/>
      <c r="G46" s="4" t="inlineStr"/>
    </row>
    <row r="47">
      <c r="A47" s="4" t="inlineStr">
        <is>
          <t>3.5.7-P1</t>
        </is>
      </c>
      <c r="B47" s="4" t="inlineStr">
        <is>
          <t>3.5.7</t>
        </is>
      </c>
      <c r="C47" s="4" t="inlineStr">
        <is>
          <t>mrcs</t>
        </is>
      </c>
      <c r="D47" s="4" t="inlineStr">
        <is>
          <t>Expect gait adaptation to offset part of the scaling, so the effect is real and smaller than pure arithmetic.</t>
        </is>
      </c>
      <c r="E47" s="4" t="inlineStr"/>
      <c r="F47" s="4" t="inlineStr"/>
      <c r="G47" s="4" t="inlineStr"/>
    </row>
    <row r="48">
      <c r="A48" s="4" t="inlineStr">
        <is>
          <t>3.5.7-P2</t>
        </is>
      </c>
      <c r="B48" s="4" t="inlineStr">
        <is>
          <t>3.5.7</t>
        </is>
      </c>
      <c r="C48" s="4" t="inlineStr">
        <is>
          <t>mrcs</t>
        </is>
      </c>
      <c r="D48" s="4" t="inlineStr">
        <is>
          <t>Address alignment alongside weight, since it decides where the amplified load falls.</t>
        </is>
      </c>
      <c r="E48" s="4" t="inlineStr"/>
      <c r="F48" s="4" t="inlineStr"/>
      <c r="G48" s="4" t="inlineStr"/>
    </row>
    <row r="49">
      <c r="A49" s="4" t="inlineStr">
        <is>
          <t>3.5.7-P3</t>
        </is>
      </c>
      <c r="B49" s="4" t="inlineStr">
        <is>
          <t>3.5.7</t>
        </is>
      </c>
      <c r="C49" s="4" t="inlineStr">
        <is>
          <t>mrcs</t>
        </is>
      </c>
      <c r="D49" s="4" t="inlineStr">
        <is>
          <t>State that mechanical and metabolic effects both operate and cannot be separated in an individual.</t>
        </is>
      </c>
      <c r="E49" s="4" t="inlineStr"/>
      <c r="F49" s="4" t="inlineStr"/>
      <c r="G49" s="4" t="inlineStr"/>
    </row>
    <row r="50">
      <c r="A50" s="4" t="inlineStr">
        <is>
          <t>3.5.7-P4</t>
        </is>
      </c>
      <c r="B50" s="4" t="inlineStr">
        <is>
          <t>3.5.7</t>
        </is>
      </c>
      <c r="C50" s="4" t="inlineStr">
        <is>
          <t>frcs</t>
        </is>
      </c>
      <c r="D50" s="4" t="inlineStr">
        <is>
          <t>Treat mass as a mechanical variable with the largest achievable effect size and the lowest achievement rate, which is an uncomfortable combination rather than a reason to leave it out.</t>
        </is>
      </c>
      <c r="E50" s="4" t="inlineStr"/>
      <c r="F50" s="4" t="inlineStr"/>
      <c r="G50" s="4" t="inlineStr"/>
    </row>
    <row r="51">
      <c r="A51" s="4" t="inlineStr">
        <is>
          <t>3.5.7-P5</t>
        </is>
      </c>
      <c r="B51" s="4" t="inlineStr">
        <is>
          <t>3.5.7</t>
        </is>
      </c>
      <c r="C51" s="4" t="inlineStr">
        <is>
          <t>frcs</t>
        </is>
      </c>
      <c r="D51" s="4" t="inlineStr">
        <is>
          <t>Discuss mass as a mechanical factor in construct survival, with the registry evidence named.</t>
        </is>
      </c>
      <c r="E51" s="4" t="inlineStr"/>
      <c r="F51" s="4" t="inlineStr"/>
      <c r="G51" s="4" t="inlineStr"/>
    </row>
    <row r="52">
      <c r="A52" s="4" t="inlineStr">
        <is>
          <t>3.5.7-P6</t>
        </is>
      </c>
      <c r="B52" s="4" t="inlineStr">
        <is>
          <t>3.5.7</t>
        </is>
      </c>
      <c r="C52" s="4" t="inlineStr">
        <is>
          <t>frcs</t>
        </is>
      </c>
      <c r="D52" s="4" t="inlineStr">
        <is>
          <t>Correct alignment in a heavier patient, since the amplified load needs directing.</t>
        </is>
      </c>
      <c r="E52" s="4" t="inlineStr"/>
      <c r="F52" s="4" t="inlineStr"/>
      <c r="G52" s="4" t="inlineStr"/>
    </row>
    <row r="53">
      <c r="A53" s="4" t="inlineStr">
        <is>
          <t>3.5.7-P7</t>
        </is>
      </c>
      <c r="B53" s="4" t="inlineStr">
        <is>
          <t>3.5.7</t>
        </is>
      </c>
      <c r="C53" s="4" t="inlineStr">
        <is>
          <t>frcs</t>
        </is>
      </c>
      <c r="D53" s="4" t="inlineStr">
        <is>
          <t>Use the association for counselling rather than as an exclusion, since it does not predict an individual.</t>
        </is>
      </c>
      <c r="E53" s="4" t="inlineStr"/>
      <c r="F53" s="4" t="inlineStr"/>
      <c r="G53" s="4" t="inlineStr"/>
    </row>
    <row r="54">
      <c r="A54" s="4" t="inlineStr">
        <is>
          <t>3.5.8-P1</t>
        </is>
      </c>
      <c r="B54" s="4" t="inlineStr">
        <is>
          <t>3.5.8</t>
        </is>
      </c>
      <c r="C54" s="4" t="inlineStr">
        <is>
          <t>mrcs</t>
        </is>
      </c>
      <c r="D54" s="4" t="inlineStr">
        <is>
          <t>Treat a chronically deficient knee as mechanically different from an acutely injured one, not simply as a later stage.</t>
        </is>
      </c>
      <c r="E54" s="4" t="inlineStr"/>
      <c r="F54" s="4" t="inlineStr"/>
      <c r="G54" s="4" t="inlineStr"/>
    </row>
    <row r="55">
      <c r="A55" s="4" t="inlineStr">
        <is>
          <t>3.5.8-P2</t>
        </is>
      </c>
      <c r="B55" s="4" t="inlineStr">
        <is>
          <t>3.5.8</t>
        </is>
      </c>
      <c r="C55" s="4" t="inlineStr">
        <is>
          <t>mrcs</t>
        </is>
      </c>
      <c r="D55" s="4" t="inlineStr">
        <is>
          <t>Measure slope where translation is larger than the injury explains.</t>
        </is>
      </c>
      <c r="E55" s="4" t="inlineStr"/>
      <c r="F55" s="4" t="inlineStr"/>
      <c r="G55" s="4" t="inlineStr"/>
    </row>
    <row r="56">
      <c r="A56" s="4" t="inlineStr">
        <is>
          <t>3.5.8-P3</t>
        </is>
      </c>
      <c r="B56" s="4" t="inlineStr">
        <is>
          <t>3.5.8</t>
        </is>
      </c>
      <c r="C56" s="4" t="inlineStr">
        <is>
          <t>frcs</t>
        </is>
      </c>
      <c r="D56" s="4" t="inlineStr">
        <is>
          <t>Treat the contact shift as the mechanical account of post-traumatic degeneration after cruciate injury, and treat it as only partly addressable.</t>
        </is>
      </c>
      <c r="E56" s="4" t="inlineStr"/>
      <c r="F56" s="4" t="inlineStr"/>
      <c r="G56" s="4" t="inlineStr"/>
    </row>
    <row r="57">
      <c r="A57" s="4" t="inlineStr">
        <is>
          <t>3.5.8-P4</t>
        </is>
      </c>
      <c r="B57" s="4" t="inlineStr">
        <is>
          <t>3.5.8</t>
        </is>
      </c>
      <c r="C57" s="4" t="inlineStr">
        <is>
          <t>frcs</t>
        </is>
      </c>
      <c r="D57" s="4" t="inlineStr">
        <is>
          <t>It restores stability reliably and contact position partially, so counselling about long term joint health should not rest on the first achievement alone.</t>
        </is>
      </c>
      <c r="E57" s="4" t="inlineStr"/>
      <c r="F57" s="4" t="inlineStr"/>
      <c r="G57" s="4" t="inlineStr"/>
    </row>
    <row r="58">
      <c r="A58" s="4" t="inlineStr">
        <is>
          <t>3.5.8-P5</t>
        </is>
      </c>
      <c r="B58" s="4" t="inlineStr">
        <is>
          <t>3.5.8</t>
        </is>
      </c>
      <c r="C58" s="4" t="inlineStr">
        <is>
          <t>frcs</t>
        </is>
      </c>
      <c r="D58" s="4" t="inlineStr">
        <is>
          <t>Repair a ramp lesion alongside reconstruction, on secondary restraint grounds.</t>
        </is>
      </c>
      <c r="E58" s="4" t="inlineStr"/>
      <c r="F58" s="4" t="inlineStr"/>
      <c r="G58" s="4" t="inlineStr"/>
    </row>
    <row r="59">
      <c r="A59" s="4" t="inlineStr">
        <is>
          <t>3.5.8-P6</t>
        </is>
      </c>
      <c r="B59" s="4" t="inlineStr">
        <is>
          <t>3.5.8</t>
        </is>
      </c>
      <c r="C59" s="4" t="inlineStr">
        <is>
          <t>frcs</t>
        </is>
      </c>
      <c r="D59" s="4" t="inlineStr">
        <is>
          <t>Measure slope in revision and in a graft that failed without a new injury.</t>
        </is>
      </c>
      <c r="E59" s="4" t="inlineStr"/>
      <c r="F59" s="4" t="inlineStr"/>
      <c r="G59" s="4" t="inlineStr"/>
    </row>
    <row r="60">
      <c r="A60" s="4" t="inlineStr">
        <is>
          <t>3.5.9-P1</t>
        </is>
      </c>
      <c r="B60" s="4" t="inlineStr">
        <is>
          <t>3.5.9</t>
        </is>
      </c>
      <c r="C60" s="4" t="inlineStr">
        <is>
          <t>medical_student</t>
        </is>
      </c>
      <c r="D60" s="4" t="inlineStr">
        <is>
          <t>Repair where the tear allows it preserves the ring and therefore the pressure.</t>
        </is>
      </c>
      <c r="E60" s="4" t="inlineStr"/>
      <c r="F60" s="4" t="inlineStr"/>
      <c r="G60" s="4" t="inlineStr"/>
    </row>
    <row r="61">
      <c r="A61" s="4" t="inlineStr">
        <is>
          <t>3.5.9-P2</t>
        </is>
      </c>
      <c r="B61" s="4" t="inlineStr">
        <is>
          <t>3.5.9</t>
        </is>
      </c>
      <c r="C61" s="4" t="inlineStr">
        <is>
          <t>mrcs</t>
        </is>
      </c>
      <c r="D61" s="4" t="inlineStr">
        <is>
          <t>Resect the minimum the tear requires, and record what was resected.</t>
        </is>
      </c>
      <c r="E61" s="4" t="inlineStr"/>
      <c r="F61" s="4" t="inlineStr"/>
      <c r="G61" s="4" t="inlineStr"/>
    </row>
    <row r="62">
      <c r="A62" s="4" t="inlineStr">
        <is>
          <t>3.5.9-P3</t>
        </is>
      </c>
      <c r="B62" s="4" t="inlineStr">
        <is>
          <t>3.5.9</t>
        </is>
      </c>
      <c r="C62" s="4" t="inlineStr">
        <is>
          <t>mrcs</t>
        </is>
      </c>
      <c r="D62" s="4" t="inlineStr">
        <is>
          <t>Treat a young lateral meniscectomy as the worst mechanical combination and counsel accordingly.</t>
        </is>
      </c>
      <c r="E62" s="4" t="inlineStr"/>
      <c r="F62" s="4" t="inlineStr"/>
      <c r="G62" s="4" t="inlineStr"/>
    </row>
    <row r="63">
      <c r="A63" s="4" t="inlineStr">
        <is>
          <t>3.5.9-P4</t>
        </is>
      </c>
      <c r="B63" s="4" t="inlineStr">
        <is>
          <t>3.5.9</t>
        </is>
      </c>
      <c r="C63" s="4" t="inlineStr">
        <is>
          <t>frcs</t>
        </is>
      </c>
      <c r="D63" s="4" t="inlineStr">
        <is>
          <t>Treat the dose response as the mechanical justification for the shift from resection to repair, and note that the shift was mechanically predicted before it was clinically demonstrated.</t>
        </is>
      </c>
      <c r="E63" s="4" t="inlineStr"/>
      <c r="F63" s="4" t="inlineStr"/>
      <c r="G63" s="4" t="inlineStr"/>
    </row>
    <row r="64">
      <c r="A64" s="4" t="inlineStr">
        <is>
          <t>3.5.9-P5</t>
        </is>
      </c>
      <c r="B64" s="4" t="inlineStr">
        <is>
          <t>3.5.9</t>
        </is>
      </c>
      <c r="C64" s="4" t="inlineStr">
        <is>
          <t>frcs</t>
        </is>
      </c>
      <c r="D64" s="4" t="inlineStr">
        <is>
          <t>Repair rather than resect wherever the ring can be restored, in a young patient above all.</t>
        </is>
      </c>
      <c r="E64" s="4" t="inlineStr"/>
      <c r="F64" s="4" t="inlineStr"/>
      <c r="G64" s="4" t="inlineStr"/>
    </row>
    <row r="65">
      <c r="A65" s="4" t="inlineStr">
        <is>
          <t>3.5.9-P6</t>
        </is>
      </c>
      <c r="B65" s="4" t="inlineStr">
        <is>
          <t>3.5.9</t>
        </is>
      </c>
      <c r="C65" s="4" t="inlineStr">
        <is>
          <t>frcs</t>
        </is>
      </c>
      <c r="D65" s="4" t="inlineStr">
        <is>
          <t>Offer transplantation for symptoms with an honest account of its cartilage protection evidence.</t>
        </is>
      </c>
      <c r="E65" s="4" t="inlineStr"/>
      <c r="F65" s="4" t="inlineStr"/>
      <c r="G65" s="4" t="inlineStr"/>
    </row>
    <row r="66">
      <c r="A66" s="4" t="inlineStr">
        <is>
          <t>3.5.9-P7</t>
        </is>
      </c>
      <c r="B66" s="4" t="inlineStr">
        <is>
          <t>3.5.9</t>
        </is>
      </c>
      <c r="C66" s="4" t="inlineStr">
        <is>
          <t>frcs</t>
        </is>
      </c>
      <c r="D66" s="4" t="inlineStr">
        <is>
          <t>Correct alignment in a meniscus deficient compartment before expecting any restoration to hold.</t>
        </is>
      </c>
      <c r="E66" s="4" t="inlineStr"/>
      <c r="F66" s="4" t="inlineStr"/>
      <c r="G66" s="4" t="inlineStr"/>
    </row>
    <row r="67">
      <c r="A67" s="4" t="inlineStr">
        <is>
          <t>3.5.10-P1</t>
        </is>
      </c>
      <c r="B67" s="4" t="inlineStr">
        <is>
          <t>3.5.10</t>
        </is>
      </c>
      <c r="C67" s="4" t="inlineStr">
        <is>
          <t>mrcs</t>
        </is>
      </c>
      <c r="D67" s="4" t="inlineStr">
        <is>
          <t>Plan to a mechanical axis target rather than a correction angle alone.</t>
        </is>
      </c>
      <c r="E67" s="4" t="inlineStr"/>
      <c r="F67" s="4" t="inlineStr"/>
      <c r="G67" s="4" t="inlineStr"/>
    </row>
    <row r="68">
      <c r="A68" s="4" t="inlineStr">
        <is>
          <t>3.5.10-P2</t>
        </is>
      </c>
      <c r="B68" s="4" t="inlineStr">
        <is>
          <t>3.5.10</t>
        </is>
      </c>
      <c r="C68" s="4" t="inlineStr">
        <is>
          <t>mrcs</t>
        </is>
      </c>
      <c r="D68" s="4" t="inlineStr">
        <is>
          <t>Assess the receiving compartment before correcting load into it.</t>
        </is>
      </c>
      <c r="E68" s="4" t="inlineStr"/>
      <c r="F68" s="4" t="inlineStr"/>
      <c r="G68" s="4" t="inlineStr"/>
    </row>
    <row r="69">
      <c r="A69" s="4" t="inlineStr">
        <is>
          <t>3.5.10-P3</t>
        </is>
      </c>
      <c r="B69" s="4" t="inlineStr">
        <is>
          <t>3.5.10</t>
        </is>
      </c>
      <c r="C69" s="4" t="inlineStr">
        <is>
          <t>mrcs</t>
        </is>
      </c>
      <c r="D69" s="4" t="inlineStr">
        <is>
          <t>Confirm the achieved axis radiographically, since the plan and the result can differ.</t>
        </is>
      </c>
      <c r="E69" s="4" t="inlineStr"/>
      <c r="F69" s="4" t="inlineStr"/>
      <c r="G69" s="4" t="inlineStr"/>
    </row>
    <row r="70">
      <c r="A70" s="4" t="inlineStr">
        <is>
          <t>3.5.10-P4</t>
        </is>
      </c>
      <c r="B70" s="4" t="inlineStr">
        <is>
          <t>3.5.10</t>
        </is>
      </c>
      <c r="C70" s="4" t="inlineStr">
        <is>
          <t>frcs</t>
        </is>
      </c>
      <c r="D70" s="4" t="inlineStr">
        <is>
          <t>Treat osteotomy as the mechanical foundation that other procedures are built on, rather than as an alternative to them.</t>
        </is>
      </c>
      <c r="E70" s="4" t="inlineStr"/>
      <c r="F70" s="4" t="inlineStr"/>
      <c r="G70" s="4" t="inlineStr"/>
    </row>
    <row r="71">
      <c r="A71" s="4" t="inlineStr">
        <is>
          <t>3.5.10-P5</t>
        </is>
      </c>
      <c r="B71" s="4" t="inlineStr">
        <is>
          <t>3.5.10</t>
        </is>
      </c>
      <c r="C71" s="4" t="inlineStr">
        <is>
          <t>frcs</t>
        </is>
      </c>
      <c r="D71" s="4" t="inlineStr">
        <is>
          <t>Correct alignment as the foundation for cartilage and meniscal work rather than as an alternative.</t>
        </is>
      </c>
      <c r="E71" s="4" t="inlineStr"/>
      <c r="F71" s="4" t="inlineStr"/>
      <c r="G71" s="4" t="inlineStr"/>
    </row>
    <row r="72">
      <c r="A72" s="4" t="inlineStr">
        <is>
          <t>3.5.10-P6</t>
        </is>
      </c>
      <c r="B72" s="4" t="inlineStr">
        <is>
          <t>3.5.10</t>
        </is>
      </c>
      <c r="C72" s="4" t="inlineStr">
        <is>
          <t>frcs</t>
        </is>
      </c>
      <c r="D72" s="4" t="inlineStr">
        <is>
          <t>Localise the deformity before correcting, and confirm the achieved axis afterwards.</t>
        </is>
      </c>
      <c r="E72" s="4" t="inlineStr"/>
      <c r="F72" s="4" t="inlineStr"/>
      <c r="G72" s="4" t="inlineStr"/>
    </row>
    <row r="73">
      <c r="A73" s="4" t="inlineStr">
        <is>
          <t>3.5.10-P7</t>
        </is>
      </c>
      <c r="B73" s="4" t="inlineStr">
        <is>
          <t>3.5.10</t>
        </is>
      </c>
      <c r="C73" s="4" t="inlineStr">
        <is>
          <t>frcs</t>
        </is>
      </c>
      <c r="D73" s="4" t="inlineStr">
        <is>
          <t>Treat slope correction as a separate operation with its own indication.</t>
        </is>
      </c>
      <c r="E73" s="4" t="inlineStr"/>
      <c r="F73" s="4" t="inlineStr"/>
      <c r="G73" s="4" t="inlineStr"/>
    </row>
  </sheetData>
  <dataValidations count="1">
    <dataValidation sqref="E3:E7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3.5.1-F1</t>
        </is>
      </c>
      <c r="B3" s="4" t="inlineStr">
        <is>
          <t>3.5.1</t>
        </is>
      </c>
      <c r="C3" s="4" t="inlineStr">
        <is>
          <t>medical_student</t>
        </is>
      </c>
      <c r="D3" s="4" t="inlineStr">
        <is>
          <t>1000</t>
        </is>
      </c>
      <c r="E3" s="4" t="inlineStr">
        <is>
          <t>Conventional teaching gives total tibiofemoral contact area in the loaded, extended knee as roughly 1000 to 1200 square millimetres, with the menisci carrying a substantial share of that.</t>
        </is>
      </c>
      <c r="F3" s="4" t="inlineStr"/>
      <c r="G3" s="4" t="inlineStr"/>
      <c r="H3" s="4" t="inlineStr"/>
    </row>
    <row r="4">
      <c r="A4" s="4" t="inlineStr">
        <is>
          <t>3.5.1-F2</t>
        </is>
      </c>
      <c r="B4" s="4" t="inlineStr">
        <is>
          <t>3.5.1</t>
        </is>
      </c>
      <c r="C4" s="4" t="inlineStr">
        <is>
          <t>medical_student</t>
        </is>
      </c>
      <c r="D4" s="4" t="inlineStr">
        <is>
          <t>1200</t>
        </is>
      </c>
      <c r="E4" s="4" t="inlineStr">
        <is>
          <t>Conventional teaching gives total tibiofemoral contact area in the loaded, extended knee as roughly 1000 to 1200 square millimetres, with the menisci carrying a substantial share of that.</t>
        </is>
      </c>
      <c r="F4" s="4" t="inlineStr"/>
      <c r="G4" s="4" t="inlineStr"/>
      <c r="H4" s="4" t="inlineStr"/>
    </row>
    <row r="5">
      <c r="A5" s="4" t="inlineStr">
        <is>
          <t>3.5.2-F1</t>
        </is>
      </c>
      <c r="B5" s="4" t="inlineStr">
        <is>
          <t>3.5.2</t>
        </is>
      </c>
      <c r="C5" s="4" t="inlineStr">
        <is>
          <t>mrcs</t>
        </is>
      </c>
      <c r="D5" s="4" t="inlineStr">
        <is>
          <t>15</t>
        </is>
      </c>
      <c r="E5" s="4" t="inlineStr">
        <is>
          <t>Conventional teaching puts normal peak contact stress in daily activity in the low megapascal range, and cadaveric work places the threshold for cartilage matrix damage from a single impact considerably higher, commonly quoted around 15 to 20 megapascals.</t>
        </is>
      </c>
      <c r="F5" s="4" t="inlineStr"/>
      <c r="G5" s="4" t="inlineStr"/>
      <c r="H5" s="4" t="inlineStr"/>
    </row>
    <row r="6">
      <c r="A6" s="4" t="inlineStr">
        <is>
          <t>3.5.2-F2</t>
        </is>
      </c>
      <c r="B6" s="4" t="inlineStr">
        <is>
          <t>3.5.2</t>
        </is>
      </c>
      <c r="C6" s="4" t="inlineStr">
        <is>
          <t>mrcs</t>
        </is>
      </c>
      <c r="D6" s="4" t="inlineStr">
        <is>
          <t>20</t>
        </is>
      </c>
      <c r="E6" s="4" t="inlineStr">
        <is>
          <t>Conventional teaching puts normal peak contact stress in daily activity in the low megapascal range, and cadaveric work places the threshold for cartilage matrix damage from a single impact considerably higher, commonly quoted around 15 to 20 megapascals.</t>
        </is>
      </c>
      <c r="F6" s="4" t="inlineStr"/>
      <c r="G6" s="4" t="inlineStr"/>
      <c r="H6" s="4" t="inlineStr"/>
    </row>
    <row r="7">
      <c r="A7" s="4" t="inlineStr">
        <is>
          <t>3.5.3-F1</t>
        </is>
      </c>
      <c r="B7" s="4" t="inlineStr">
        <is>
          <t>3.5.3</t>
        </is>
      </c>
      <c r="C7" s="4" t="inlineStr">
        <is>
          <t>medical_student</t>
        </is>
      </c>
      <c r="D7" s="4" t="inlineStr">
        <is>
          <t>60 per cent</t>
        </is>
      </c>
      <c r="E7" s="4" t="inlineStr">
        <is>
          <t>Conventional teaching gives the medial compartment around 60 per cent of tibiofemoral load in a normally aligned knee, with the lateral taking the remainder.</t>
        </is>
      </c>
      <c r="F7" s="4" t="inlineStr"/>
      <c r="G7" s="4" t="inlineStr"/>
      <c r="H7" s="4" t="inlineStr"/>
    </row>
    <row r="8">
      <c r="A8" s="4" t="inlineStr">
        <is>
          <t>3.5.3-F2</t>
        </is>
      </c>
      <c r="B8" s="4" t="inlineStr">
        <is>
          <t>3.5.3</t>
        </is>
      </c>
      <c r="C8" s="4" t="inlineStr">
        <is>
          <t>mrcs</t>
        </is>
      </c>
      <c r="D8" s="4" t="inlineStr">
        <is>
          <t>60 to 70 per cent</t>
        </is>
      </c>
      <c r="E8" s="4" t="inlineStr">
        <is>
          <t>Conventional teaching gives a medial share of roughly 60 to 70 per cent in a normally aligned knee under static load, and the figure rises with varus.</t>
        </is>
      </c>
      <c r="F8" s="4" t="inlineStr"/>
      <c r="G8" s="4" t="inlineStr"/>
      <c r="H8" s="4" t="inlineStr"/>
    </row>
    <row r="9">
      <c r="A9" s="4" t="inlineStr">
        <is>
          <t>3.5.4-F1</t>
        </is>
      </c>
      <c r="B9" s="4" t="inlineStr">
        <is>
          <t>3.5.4</t>
        </is>
      </c>
      <c r="C9" s="4" t="inlineStr">
        <is>
          <t>mrcs</t>
        </is>
      </c>
      <c r="D9" s="4" t="inlineStr">
        <is>
          <t>90 degrees</t>
        </is>
      </c>
      <c r="E9" s="4" t="inlineStr">
        <is>
          <t>Conventional teaching places the steepest changes beyond roughly 90 degrees, where the posterior condyles are fully engaged.</t>
        </is>
      </c>
      <c r="F9" s="4" t="inlineStr"/>
      <c r="G9" s="4" t="inlineStr"/>
      <c r="H9" s="4" t="inlineStr"/>
    </row>
    <row r="10">
      <c r="A10" s="4" t="inlineStr">
        <is>
          <t>3.5.5-F1</t>
        </is>
      </c>
      <c r="B10" s="4" t="inlineStr">
        <is>
          <t>3.5.5</t>
        </is>
      </c>
      <c r="C10" s="4" t="inlineStr">
        <is>
          <t>mrcs</t>
        </is>
      </c>
      <c r="D10" s="4" t="inlineStr">
        <is>
          <t>50 to 70 per cent</t>
        </is>
      </c>
      <c r="E10" s="4" t="inlineStr">
        <is>
          <t>Conventional teaching gives contact area reduction after total meniscectomy as roughly 50 to 70 per cent and peak contact stress increase as roughly two to threefold, from cadaveric contact studies.</t>
        </is>
      </c>
      <c r="F10" s="4" t="inlineStr"/>
      <c r="G10" s="4" t="inlineStr"/>
      <c r="H10" s="4" t="inlineStr"/>
    </row>
  </sheetData>
  <dataValidations count="1">
    <dataValidation sqref="F3:F10"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71</f>
        <v/>
      </c>
      <c r="C2" s="3">
        <f>8</f>
        <v/>
      </c>
    </row>
    <row r="3">
      <c r="A3" s="2" t="inlineStr">
        <is>
          <t>Decided</t>
        </is>
      </c>
      <c r="B3" s="3">
        <f>COUNTIF(Recommendations!E3:E73,"&lt;&gt;")</f>
        <v/>
      </c>
      <c r="C3" s="3">
        <f>COUNTIF(Measurements!F3:F10,"&lt;&gt;")</f>
        <v/>
      </c>
    </row>
    <row r="4">
      <c r="A4" s="2" t="inlineStr">
        <is>
          <t>Still blank</t>
        </is>
      </c>
      <c r="B4" s="3">
        <f>B2-B3</f>
        <v/>
      </c>
      <c r="C4" s="3">
        <f>C2-C3</f>
        <v/>
      </c>
    </row>
    <row r="5">
      <c r="A5" s="2" t="inlineStr">
        <is>
          <t>CONFIRMED</t>
        </is>
      </c>
      <c r="B5" s="3">
        <f>COUNTIF(Recommendations!E3:E73,"CONFIRMED")</f>
        <v/>
      </c>
      <c r="C5" s="3" t="inlineStr"/>
    </row>
    <row r="6">
      <c r="A6" s="2" t="inlineStr">
        <is>
          <t>AMENDED</t>
        </is>
      </c>
      <c r="B6" s="3">
        <f>COUNTIF(Recommendations!E3:E73,"AMENDED")</f>
        <v/>
      </c>
      <c r="C6" s="3" t="inlineStr"/>
    </row>
    <row r="7">
      <c r="A7" s="2" t="inlineStr">
        <is>
          <t>WITHDRAWN</t>
        </is>
      </c>
      <c r="B7" s="3">
        <f>COUNTIF(Recommendations!E3:E73,"WITHDRAWN")</f>
        <v/>
      </c>
      <c r="C7" s="3" t="inlineStr"/>
    </row>
    <row r="8">
      <c r="A8" s="2" t="inlineStr">
        <is>
          <t>NOT_CLINICAL</t>
        </is>
      </c>
      <c r="B8" s="3">
        <f>COUNTIF(Recommendations!E3:E73,"NOT_CLINICAL")</f>
        <v/>
      </c>
      <c r="C8" s="3" t="inlineStr"/>
    </row>
    <row r="9">
      <c r="A9" s="2" t="inlineStr">
        <is>
          <t>VERIFIED</t>
        </is>
      </c>
      <c r="B9" s="3" t="inlineStr"/>
      <c r="C9" s="3">
        <f>COUNTIF(Measurements!F3:F10,"VERIFIED")</f>
        <v/>
      </c>
    </row>
    <row r="10">
      <c r="A10" s="2" t="inlineStr">
        <is>
          <t>CORRECTED</t>
        </is>
      </c>
      <c r="B10" s="3" t="inlineStr"/>
      <c r="C10" s="3">
        <f>COUNTIF(Measurements!F3:F10,"CORRECTED")</f>
        <v/>
      </c>
    </row>
    <row r="11">
      <c r="A11" s="2" t="inlineStr">
        <is>
          <t>REMOVED</t>
        </is>
      </c>
      <c r="B11" s="3" t="inlineStr"/>
      <c r="C11" s="3">
        <f>COUNTIF(Measurements!F3:F10,"REMOVED")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2026-10-10T12:19:57Z</dcterms:created>
  <dcterms:modified xmlns:dcterms="http://purl.org/dc/terms/" xmlns:xsi="http://www.w3.org/2001/XMLSchema-instance" xsi:type="dcterms:W3CDTF">2026-10-10T12:19:57Z</dcterms:modified>
</cp:coreProperties>
</file>