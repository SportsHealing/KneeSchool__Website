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Pages" sheetId="2" state="visible" r:id="rId2"/>
    <sheet xmlns:r="http://schemas.openxmlformats.org/officeDocument/2006/relationships" name="Claims" sheetId="3" state="visible" r:id="rId3"/>
    <sheet xmlns:r="http://schemas.openxmlformats.org/officeDocument/2006/relationships" name="Recommendations" sheetId="4" state="visible" r:id="rId4"/>
    <sheet xmlns:r="http://schemas.openxmlformats.org/officeDocument/2006/relationships" name="Measurements" sheetId="5" state="visible" r:id="rId5"/>
    <sheet xmlns:r="http://schemas.openxmlformats.org/officeDocument/2006/relationships" name="Progress" sheetId="6" state="visible" r:id="rId6"/>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4"/>
    </font>
    <font>
      <name val="Arial"/>
      <b val="1"/>
    </font>
    <font>
      <name val="Arial"/>
    </font>
    <font>
      <name val="Arial"/>
      <b val="1"/>
      <color rgb="00FFFFFF"/>
    </font>
    <font>
      <name val="Arial"/>
      <i val="1"/>
      <color rgb="008A6A2F"/>
    </font>
  </fonts>
  <fills count="4">
    <fill>
      <patternFill/>
    </fill>
    <fill>
      <patternFill patternType="gray125"/>
    </fill>
    <fill>
      <patternFill patternType="solid">
        <fgColor rgb="0016382D"/>
      </patternFill>
    </fill>
    <fill>
      <patternFill patternType="solid">
        <fgColor rgb="00FAF7EF"/>
      </patternFill>
    </fill>
  </fills>
  <borders count="1">
    <border>
      <left/>
      <right/>
      <top/>
      <bottom/>
      <diagonal/>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3" fillId="0" borderId="0" applyAlignment="1" pivotButton="0" quotePrefix="0" xfId="0">
      <alignment vertical="top" wrapText="1"/>
    </xf>
    <xf numFmtId="0" fontId="4" fillId="2" borderId="0" applyAlignment="1" pivotButton="0" quotePrefix="0" xfId="0">
      <alignment vertical="top" wrapText="1"/>
    </xf>
    <xf numFmtId="0" fontId="3" fillId="0" borderId="0" applyAlignment="1" pivotButton="0" quotePrefix="0" xfId="0">
      <alignment vertical="top"/>
    </xf>
    <xf numFmtId="0" fontId="5"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32" customWidth="1" min="1" max="1"/>
    <col width="96" customWidth="1" min="2" max="2"/>
  </cols>
  <sheetData>
    <row r="1">
      <c r="A1" s="1" t="inlineStr">
        <is>
          <t>Consultant review pack: chapter 3.5 Tibiofemoral Contact Mechanics</t>
        </is>
      </c>
    </row>
    <row r="3">
      <c r="A3" s="2" t="inlineStr">
        <is>
          <t>Section</t>
        </is>
      </c>
      <c r="B3" s="3" t="inlineStr">
        <is>
          <t>3</t>
        </is>
      </c>
    </row>
    <row r="4">
      <c r="A4" s="2" t="inlineStr">
        <is>
          <t>Chapter</t>
        </is>
      </c>
      <c r="B4" s="3" t="inlineStr">
        <is>
          <t>3.5 Tibiofemoral Contact Mechanics</t>
        </is>
      </c>
    </row>
    <row r="5">
      <c r="A5" s="2" t="inlineStr">
        <is>
          <t>Pages</t>
        </is>
      </c>
      <c r="B5" s="3" t="n">
        <v>10</v>
      </c>
    </row>
    <row r="6">
      <c r="A6" s="2" t="inlineStr">
        <is>
          <t>Page type</t>
        </is>
      </c>
      <c r="B6" s="3" t="inlineStr">
        <is>
          <t>biomechanics</t>
        </is>
      </c>
    </row>
    <row r="7">
      <c r="A7" s="2" t="inlineStr">
        <is>
          <t>Tiers</t>
        </is>
      </c>
      <c r="B7" s="3" t="inlineStr">
        <is>
          <t>medical student, mrcs, frcs</t>
        </is>
      </c>
    </row>
    <row r="8">
      <c r="A8" s="2" t="inlineStr">
        <is>
          <t>Words</t>
        </is>
      </c>
      <c r="B8" s="3" t="inlineStr">
        <is>
          <t>11,869</t>
        </is>
      </c>
    </row>
    <row r="9">
      <c r="A9" s="2" t="inlineStr">
        <is>
          <t>Style gate</t>
        </is>
      </c>
      <c r="B9" s="3" t="inlineStr">
        <is>
          <t>all pages pass, 0 warnings</t>
        </is>
      </c>
    </row>
    <row r="10">
      <c r="A10" s="2" t="inlineStr">
        <is>
          <t>Evidence verification</t>
        </is>
      </c>
      <c r="B10" s="3" t="inlineStr">
        <is>
          <t>did not run on any page</t>
        </is>
      </c>
    </row>
    <row r="11">
      <c r="A11" s="2" t="inlineStr">
        <is>
          <t>Measurements to check</t>
        </is>
      </c>
      <c r="B11" s="3" t="n">
        <v>8</v>
      </c>
    </row>
    <row r="12">
      <c r="A12" s="2" t="inlineStr">
        <is>
          <t>Recommendations to sign</t>
        </is>
      </c>
      <c r="B12" s="3" t="n">
        <v>76</v>
      </c>
    </row>
    <row r="14">
      <c r="A14" s="2" t="inlineStr">
        <is>
          <t>What this is</t>
        </is>
      </c>
      <c r="B14" s="4" t="inlineStr">
        <is>
          <t>One chapter of KneeSchool, with every measurement and every clinical recommendation on its pages listed for review. Generated from the pages themselves by tools/review_pack.py, so this file cannot disagree with the site.</t>
        </is>
      </c>
    </row>
    <row r="15">
      <c r="A15" s="2" t="inlineStr">
        <is>
          <t>What has not happened</t>
        </is>
      </c>
      <c r="B15" s="4" t="inlineStr">
        <is>
          <t>No source was retrieved for any page in this chapter. The build environment has no access to PubMed, Cochrane, a journal or a textbook, so the pipeline's fact checking stage could not run. Every claim here has been checked by nobody. This pack stands in for the verification stage as well as for the review stage.</t>
        </is>
      </c>
    </row>
    <row r="16">
      <c r="A16" s="2" t="inlineStr">
        <is>
          <t>What to fill in</t>
        </is>
      </c>
      <c r="B16" s="4" t="inlineStr">
        <is>
          <t>The Decision column on the Recommendations and Measurements sheets, and your name. Every other cell is rewritten when the pack is regenerated. A row left blank stays outstanding and comes back in the next pack, so answering part of a sheet is a normal way to use it.</t>
        </is>
      </c>
    </row>
    <row r="17">
      <c r="A17" s="2" t="inlineStr">
        <is>
          <t>Recommendations: allowed decisions</t>
        </is>
      </c>
      <c r="B17" s="4" t="inlineStr">
        <is>
          <t>CONFIRMED, the sentence stands as written. AMENDED, it needs changing and the new wording goes in the Note column. WITHDRAWN, take it off the page. NOT_CLINICAL, it is teaching rather than clinical direction. The detector over collects on purpose, so NOT_CLINICAL is expected and is not a complaint about the page.</t>
        </is>
      </c>
    </row>
    <row r="18">
      <c r="A18" s="2" t="inlineStr">
        <is>
          <t>Measurements: allowed decisions</t>
        </is>
      </c>
      <c r="B18" s="4" t="inlineStr">
        <is>
          <t>VERIFIED, the figure is right and the source goes in the Source column. CORRECTED, the right value goes in the Note column. REMOVED, take the figure off the page.</t>
        </is>
      </c>
    </row>
    <row r="19">
      <c r="A19" s="2" t="inlineStr">
        <is>
          <t>How to return it</t>
        </is>
      </c>
      <c r="B19" s="4" t="inlineStr">
        <is>
          <t>Send the file back. It is read into the registers with: python3 tools/review_pack.py --ingest &lt;this file&gt;. One malformed row stops the whole file, so nothing is written half way.</t>
        </is>
      </c>
    </row>
    <row r="20">
      <c r="A20" s="2" t="inlineStr">
        <is>
          <t>What this cannot do</t>
        </is>
      </c>
      <c r="B20" s="4" t="inlineStr">
        <is>
          <t>It does not change a page. A confirmed recommendation needs nothing; an amended one needs the prose edited, and your wording in the Note column is what the editor works from.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11"/>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8" customWidth="1" min="3" max="3"/>
    <col width="10" customWidth="1" min="4" max="4"/>
    <col width="52" customWidth="1" min="5" max="5"/>
  </cols>
  <sheetData>
    <row r="1">
      <c r="A1" s="5" t="inlineStr">
        <is>
          <t>Page</t>
        </is>
      </c>
      <c r="B1" s="5" t="inlineStr">
        <is>
          <t>Title</t>
        </is>
      </c>
      <c r="C1" s="5" t="inlineStr">
        <is>
          <t>Tiers</t>
        </is>
      </c>
      <c r="D1" s="5" t="inlineStr">
        <is>
          <t>Words</t>
        </is>
      </c>
      <c r="E1" s="5" t="inlineStr">
        <is>
          <t>Published as</t>
        </is>
      </c>
    </row>
    <row r="2">
      <c r="A2" s="6" t="inlineStr">
        <is>
          <t>3.5.1</t>
        </is>
      </c>
      <c r="B2" s="6" t="inlineStr">
        <is>
          <t>Contact Areas</t>
        </is>
      </c>
      <c r="C2" s="6" t="n">
        <v>3</v>
      </c>
      <c r="D2" s="6" t="n">
        <v>1318</v>
      </c>
      <c r="E2" s="6" t="inlineStr">
        <is>
          <t>biomechanics/contact-areas.html</t>
        </is>
      </c>
    </row>
    <row r="3">
      <c r="A3" s="6" t="inlineStr">
        <is>
          <t>3.5.2</t>
        </is>
      </c>
      <c r="B3" s="6" t="inlineStr">
        <is>
          <t>Contact Pressures</t>
        </is>
      </c>
      <c r="C3" s="6" t="n">
        <v>3</v>
      </c>
      <c r="D3" s="6" t="n">
        <v>1196</v>
      </c>
      <c r="E3" s="6" t="inlineStr">
        <is>
          <t>biomechanics/contact-pressures.html</t>
        </is>
      </c>
    </row>
    <row r="4">
      <c r="A4" s="6" t="inlineStr">
        <is>
          <t>3.5.3</t>
        </is>
      </c>
      <c r="B4" s="6" t="inlineStr">
        <is>
          <t>Load Distribution</t>
        </is>
      </c>
      <c r="C4" s="6" t="n">
        <v>3</v>
      </c>
      <c r="D4" s="6" t="n">
        <v>1204</v>
      </c>
      <c r="E4" s="6" t="inlineStr">
        <is>
          <t>biomechanics/load-distribution.html</t>
        </is>
      </c>
    </row>
    <row r="5">
      <c r="A5" s="6" t="inlineStr">
        <is>
          <t>3.5.4</t>
        </is>
      </c>
      <c r="B5" s="6" t="inlineStr">
        <is>
          <t>Effects of Flexion</t>
        </is>
      </c>
      <c r="C5" s="6" t="n">
        <v>3</v>
      </c>
      <c r="D5" s="6" t="n">
        <v>1139</v>
      </c>
      <c r="E5" s="6" t="inlineStr">
        <is>
          <t>biomechanics/effects-of-flexion.html</t>
        </is>
      </c>
    </row>
    <row r="6">
      <c r="A6" s="6" t="inlineStr">
        <is>
          <t>3.5.5</t>
        </is>
      </c>
      <c r="B6" s="6" t="inlineStr">
        <is>
          <t>Effects of Meniscal Loss</t>
        </is>
      </c>
      <c r="C6" s="6" t="n">
        <v>3</v>
      </c>
      <c r="D6" s="6" t="n">
        <v>1210</v>
      </c>
      <c r="E6" s="6" t="inlineStr">
        <is>
          <t>biomechanics/effects-of-meniscal-loss.html</t>
        </is>
      </c>
    </row>
    <row r="7">
      <c r="A7" s="6" t="inlineStr">
        <is>
          <t>3.5.6</t>
        </is>
      </c>
      <c r="B7" s="6" t="inlineStr">
        <is>
          <t>Effects of Malalignment</t>
        </is>
      </c>
      <c r="C7" s="6" t="n">
        <v>3</v>
      </c>
      <c r="D7" s="6" t="n">
        <v>1164</v>
      </c>
      <c r="E7" s="6" t="inlineStr">
        <is>
          <t>biomechanics/effects-of-malalignment.html</t>
        </is>
      </c>
    </row>
    <row r="8">
      <c r="A8" s="6" t="inlineStr">
        <is>
          <t>3.5.7</t>
        </is>
      </c>
      <c r="B8" s="6" t="inlineStr">
        <is>
          <t>Effects of Obesity</t>
        </is>
      </c>
      <c r="C8" s="6" t="n">
        <v>3</v>
      </c>
      <c r="D8" s="6" t="n">
        <v>1191</v>
      </c>
      <c r="E8" s="6" t="inlineStr">
        <is>
          <t>biomechanics/effects-of-obesity.html</t>
        </is>
      </c>
    </row>
    <row r="9">
      <c r="A9" s="6" t="inlineStr">
        <is>
          <t>3.5.8</t>
        </is>
      </c>
      <c r="B9" s="6" t="inlineStr">
        <is>
          <t>Contact Mechanics After ACL Injury</t>
        </is>
      </c>
      <c r="C9" s="6" t="n">
        <v>3</v>
      </c>
      <c r="D9" s="6" t="n">
        <v>1133</v>
      </c>
      <c r="E9" s="6" t="inlineStr">
        <is>
          <t>biomechanics/contact-mechanics-after-acl-injury.html</t>
        </is>
      </c>
    </row>
    <row r="10">
      <c r="A10" s="6" t="inlineStr">
        <is>
          <t>3.5.9</t>
        </is>
      </c>
      <c r="B10" s="6" t="inlineStr">
        <is>
          <t>Contact Mechanics After Meniscectomy</t>
        </is>
      </c>
      <c r="C10" s="6" t="n">
        <v>3</v>
      </c>
      <c r="D10" s="6" t="n">
        <v>1159</v>
      </c>
      <c r="E10" s="6" t="inlineStr">
        <is>
          <t>biomechanics/contact-mechanics-after-meniscectomy.html</t>
        </is>
      </c>
    </row>
    <row r="11">
      <c r="A11" s="6" t="inlineStr">
        <is>
          <t>3.5.10</t>
        </is>
      </c>
      <c r="B11" s="6" t="inlineStr">
        <is>
          <t>Contact Mechanics After Osteotomy</t>
        </is>
      </c>
      <c r="C11" s="6" t="n">
        <v>3</v>
      </c>
      <c r="D11" s="6" t="n">
        <v>1155</v>
      </c>
      <c r="E11" s="6" t="inlineStr">
        <is>
          <t>biomechanics/contact-mechanics-after-osteotomy.html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51"/>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110" customWidth="1" min="3" max="3"/>
  </cols>
  <sheetData>
    <row r="1">
      <c r="A1" s="5" t="inlineStr">
        <is>
          <t>Page</t>
        </is>
      </c>
      <c r="B1" s="5" t="inlineStr">
        <is>
          <t>Title</t>
        </is>
      </c>
      <c r="C1" s="5" t="inlineStr">
        <is>
          <t>Claim</t>
        </is>
      </c>
    </row>
    <row r="2">
      <c r="A2" s="4" t="inlineStr">
        <is>
          <t>3.5.1</t>
        </is>
      </c>
      <c r="B2" s="4" t="inlineStr">
        <is>
          <t>Contact Areas</t>
        </is>
      </c>
      <c r="C2" s="4" t="inlineStr">
        <is>
          <t>Contact area is what these procedures restore and nothing clinical measures it.</t>
        </is>
      </c>
    </row>
    <row r="3">
      <c r="A3" s="4" t="inlineStr">
        <is>
          <t>3.5.1</t>
        </is>
      </c>
      <c r="B3" s="4" t="inlineStr">
        <is>
          <t>Contact Areas</t>
        </is>
      </c>
      <c r="C3" s="4" t="inlineStr">
        <is>
          <t>The evidence is cadaveric for mechanism and cohort for outcome, with nothing in between.</t>
        </is>
      </c>
    </row>
    <row r="4">
      <c r="A4" s="4" t="inlineStr">
        <is>
          <t>3.5.1</t>
        </is>
      </c>
      <c r="B4" s="4" t="inlineStr">
        <is>
          <t>Contact Areas</t>
        </is>
      </c>
      <c r="C4" s="4" t="inlineStr">
        <is>
          <t>A transplant restores less area than a native meniscus, by conventional teaching.</t>
        </is>
      </c>
    </row>
    <row r="5">
      <c r="A5" s="4" t="inlineStr">
        <is>
          <t>3.5.1</t>
        </is>
      </c>
      <c r="B5" s="4" t="inlineStr">
        <is>
          <t>Contact Areas</t>
        </is>
      </c>
      <c r="C5" s="4" t="inlineStr">
        <is>
          <t>Tissue present is not necessarily tissue working; the ring must be anchored.</t>
        </is>
      </c>
    </row>
    <row r="6">
      <c r="A6" s="4" t="inlineStr">
        <is>
          <t>3.5.1</t>
        </is>
      </c>
      <c r="B6" s="4" t="inlineStr">
        <is>
          <t>Contact Areas</t>
        </is>
      </c>
      <c r="C6" s="4" t="inlineStr">
        <is>
          <t>A pressure sensor alters the contact it is measuring.</t>
        </is>
      </c>
    </row>
    <row r="7">
      <c r="A7" s="4" t="inlineStr">
        <is>
          <t>3.5.2</t>
        </is>
      </c>
      <c r="B7" s="4" t="inlineStr">
        <is>
          <t>Contact Pressures</t>
        </is>
      </c>
      <c r="C7" s="4" t="inlineStr">
        <is>
          <t>Peak contact stress is the common currency of mechanical arguments in the knee.</t>
        </is>
      </c>
    </row>
    <row r="8">
      <c r="A8" s="4" t="inlineStr">
        <is>
          <t>3.5.2</t>
        </is>
      </c>
      <c r="B8" s="4" t="inlineStr">
        <is>
          <t>Contact Pressures</t>
        </is>
      </c>
      <c r="C8" s="4" t="inlineStr">
        <is>
          <t>No in vivo stress threshold is established.</t>
        </is>
      </c>
    </row>
    <row r="9">
      <c r="A9" s="4" t="inlineStr">
        <is>
          <t>3.5.2</t>
        </is>
      </c>
      <c r="B9" s="4" t="inlineStr">
        <is>
          <t>Contact Pressures</t>
        </is>
      </c>
      <c r="C9" s="4" t="inlineStr">
        <is>
          <t>Cadaveric thresholds come from single impacts; degeneration is cumulative.</t>
        </is>
      </c>
    </row>
    <row r="10">
      <c r="A10" s="4" t="inlineStr">
        <is>
          <t>3.5.2</t>
        </is>
      </c>
      <c r="B10" s="4" t="inlineStr">
        <is>
          <t>Contact Pressures</t>
        </is>
      </c>
      <c r="C10" s="4" t="inlineStr">
        <is>
          <t>A stress figure argues mechanism; a cohort argues treatment.</t>
        </is>
      </c>
    </row>
    <row r="11">
      <c r="A11" s="4" t="inlineStr">
        <is>
          <t>3.5.2</t>
        </is>
      </c>
      <c r="B11" s="4" t="inlineStr">
        <is>
          <t>Contact Pressures</t>
        </is>
      </c>
      <c r="C11" s="4" t="inlineStr">
        <is>
          <t>Repair tissue of different stiffness distributes load differently.</t>
        </is>
      </c>
    </row>
    <row r="12">
      <c r="A12" s="4" t="inlineStr">
        <is>
          <t>3.5.3</t>
        </is>
      </c>
      <c r="B12" s="4" t="inlineStr">
        <is>
          <t>Load Distribution</t>
        </is>
      </c>
      <c r="C12" s="4" t="inlineStr">
        <is>
          <t>The division is the target of unicompartmental and realignment surgery.</t>
        </is>
      </c>
    </row>
    <row r="13">
      <c r="A13" s="4" t="inlineStr">
        <is>
          <t>3.5.3</t>
        </is>
      </c>
      <c r="B13" s="4" t="inlineStr">
        <is>
          <t>Load Distribution</t>
        </is>
      </c>
      <c r="C13" s="4" t="inlineStr">
        <is>
          <t>Overcorrection transfers an excessive share by the same arithmetic that justified correction.</t>
        </is>
      </c>
    </row>
    <row r="14">
      <c r="A14" s="4" t="inlineStr">
        <is>
          <t>3.5.3</t>
        </is>
      </c>
      <c r="B14" s="4" t="inlineStr">
        <is>
          <t>Load Distribution</t>
        </is>
      </c>
      <c r="C14" s="4" t="inlineStr">
        <is>
          <t>Unicompartmental replacement relies on the other compartment taking its share.</t>
        </is>
      </c>
    </row>
    <row r="15">
      <c r="A15" s="4" t="inlineStr">
        <is>
          <t>3.5.3</t>
        </is>
      </c>
      <c r="B15" s="4" t="inlineStr">
        <is>
          <t>Load Distribution</t>
        </is>
      </c>
      <c r="C15" s="4" t="inlineStr">
        <is>
          <t>No clinical measurement of the division in an intact knee exists.</t>
        </is>
      </c>
    </row>
    <row r="16">
      <c r="A16" s="4" t="inlineStr">
        <is>
          <t>3.5.3</t>
        </is>
      </c>
      <c r="B16" s="4" t="inlineStr">
        <is>
          <t>Load Distribution</t>
        </is>
      </c>
      <c r="C16" s="4" t="inlineStr">
        <is>
          <t>The division changes as the unoperated compartment progresses.</t>
        </is>
      </c>
    </row>
    <row r="17">
      <c r="A17" s="4" t="inlineStr">
        <is>
          <t>3.5.4</t>
        </is>
      </c>
      <c r="B17" s="4" t="inlineStr">
        <is>
          <t>Effects of Flexion</t>
        </is>
      </c>
      <c r="C17" s="4" t="inlineStr">
        <is>
          <t>Deep flexion loads a small posterior contact area; the bearing has to tolerate it.</t>
        </is>
      </c>
    </row>
    <row r="18">
      <c r="A18" s="4" t="inlineStr">
        <is>
          <t>3.5.4</t>
        </is>
      </c>
      <c r="B18" s="4" t="inlineStr">
        <is>
          <t>Effects of Flexion</t>
        </is>
      </c>
      <c r="C18" s="4" t="inlineStr">
        <is>
          <t>Posterior condylar offset decides both achievable flexion and deep flexion contact.</t>
        </is>
      </c>
    </row>
    <row r="19">
      <c r="A19" s="4" t="inlineStr">
        <is>
          <t>3.5.4</t>
        </is>
      </c>
      <c r="B19" s="4" t="inlineStr">
        <is>
          <t>Effects of Flexion</t>
        </is>
      </c>
      <c r="C19" s="4" t="inlineStr">
        <is>
          <t>The structure under the highest deep flexion load is the posterior horn root.</t>
        </is>
      </c>
    </row>
    <row r="20">
      <c r="A20" s="4" t="inlineStr">
        <is>
          <t>3.5.4</t>
        </is>
      </c>
      <c r="B20" s="4" t="inlineStr">
        <is>
          <t>Effects of Flexion</t>
        </is>
      </c>
      <c r="C20" s="4" t="inlineStr">
        <is>
          <t>Retrieval analysis shows where deep flexion load actually fell.</t>
        </is>
      </c>
    </row>
    <row r="21">
      <c r="A21" s="4" t="inlineStr">
        <is>
          <t>3.5.4</t>
        </is>
      </c>
      <c r="B21" s="4" t="inlineStr">
        <is>
          <t>Effects of Flexion</t>
        </is>
      </c>
      <c r="C21" s="4" t="inlineStr">
        <is>
          <t>Measured range and reported deep flexion ability correlate imperfectly.</t>
        </is>
      </c>
    </row>
    <row r="22">
      <c r="A22" s="4" t="inlineStr">
        <is>
          <t>3.5.5</t>
        </is>
      </c>
      <c r="B22" s="4" t="inlineStr">
        <is>
          <t>Effects of Meniscal Loss</t>
        </is>
      </c>
      <c r="C22" s="4" t="inlineStr">
        <is>
          <t>The contact studies and the clinical cohorts agree, which is unusual and useful.</t>
        </is>
      </c>
    </row>
    <row r="23">
      <c r="A23" s="4" t="inlineStr">
        <is>
          <t>3.5.5</t>
        </is>
      </c>
      <c r="B23" s="4" t="inlineStr">
        <is>
          <t>Effects of Meniscal Loss</t>
        </is>
      </c>
      <c r="C23" s="4" t="inlineStr">
        <is>
          <t>Transplantation restores less area than a native meniscus, and sizing decides how much.</t>
        </is>
      </c>
    </row>
    <row r="24">
      <c r="A24" s="4" t="inlineStr">
        <is>
          <t>3.5.5</t>
        </is>
      </c>
      <c r="B24" s="4" t="inlineStr">
        <is>
          <t>Effects of Meniscal Loss</t>
        </is>
      </c>
      <c r="C24" s="4" t="inlineStr">
        <is>
          <t>Anatomic root repair is specified because position and tension restore the hoop mechanism.</t>
        </is>
      </c>
    </row>
    <row r="25">
      <c r="A25" s="4" t="inlineStr">
        <is>
          <t>3.5.5</t>
        </is>
      </c>
      <c r="B25" s="4" t="inlineStr">
        <is>
          <t>Effects of Meniscal Loss</t>
        </is>
      </c>
      <c r="C25" s="4" t="inlineStr">
        <is>
          <t>A restored meniscus in a malaligned limb is overloaded.</t>
        </is>
      </c>
    </row>
    <row r="26">
      <c r="A26" s="4" t="inlineStr">
        <is>
          <t>3.5.5</t>
        </is>
      </c>
      <c r="B26" s="4" t="inlineStr">
        <is>
          <t>Effects of Meniscal Loss</t>
        </is>
      </c>
      <c r="C26" s="4" t="inlineStr">
        <is>
          <t>Healing on imaging is not restored contact mechanics.</t>
        </is>
      </c>
    </row>
    <row r="27">
      <c r="A27" s="4" t="inlineStr">
        <is>
          <t>3.5.6</t>
        </is>
      </c>
      <c r="B27" s="4" t="inlineStr">
        <is>
          <t>Effects of Malalignment</t>
        </is>
      </c>
      <c r="C27" s="4" t="inlineStr">
        <is>
          <t>Alignment is the only variable here that can be changed by a large amount.</t>
        </is>
      </c>
    </row>
    <row r="28">
      <c r="A28" s="4" t="inlineStr">
        <is>
          <t>3.5.6</t>
        </is>
      </c>
      <c r="B28" s="4" t="inlineStr">
        <is>
          <t>Effects of Malalignment</t>
        </is>
      </c>
      <c r="C28" s="4" t="inlineStr">
        <is>
          <t>Osteotomy precedes or accompanies cartilage and meniscal work rather than following it.</t>
        </is>
      </c>
    </row>
    <row r="29">
      <c r="A29" s="4" t="inlineStr">
        <is>
          <t>3.5.6</t>
        </is>
      </c>
      <c r="B29" s="4" t="inlineStr">
        <is>
          <t>Effects of Malalignment</t>
        </is>
      </c>
      <c r="C29" s="4" t="inlineStr">
        <is>
          <t>Slope is a separate mechanical risk acting on translation and graft failure.</t>
        </is>
      </c>
    </row>
    <row r="30">
      <c r="A30" s="4" t="inlineStr">
        <is>
          <t>3.5.6</t>
        </is>
      </c>
      <c r="B30" s="4" t="inlineStr">
        <is>
          <t>Effects of Malalignment</t>
        </is>
      </c>
      <c r="C30" s="4" t="inlineStr">
        <is>
          <t>Stress radiography separates bony deformity from soft tissue laxity.</t>
        </is>
      </c>
    </row>
    <row r="31">
      <c r="A31" s="4" t="inlineStr">
        <is>
          <t>3.5.6</t>
        </is>
      </c>
      <c r="B31" s="4" t="inlineStr">
        <is>
          <t>Effects of Malalignment</t>
        </is>
      </c>
      <c r="C31" s="4" t="inlineStr">
        <is>
          <t>Confirm the correction radiographically rather than assuming it.</t>
        </is>
      </c>
    </row>
    <row r="32">
      <c r="A32" s="4" t="inlineStr">
        <is>
          <t>3.5.7</t>
        </is>
      </c>
      <c r="B32" s="4" t="inlineStr">
        <is>
          <t>Effects of Obesity</t>
        </is>
      </c>
      <c r="C32" s="4" t="inlineStr">
        <is>
          <t>Mass has the largest achievable effect size and the lowest achievement rate.</t>
        </is>
      </c>
    </row>
    <row r="33">
      <c r="A33" s="4" t="inlineStr">
        <is>
          <t>3.5.7</t>
        </is>
      </c>
      <c r="B33" s="4" t="inlineStr">
        <is>
          <t>Effects of Obesity</t>
        </is>
      </c>
      <c r="C33" s="4" t="inlineStr">
        <is>
          <t>It acts on construct loads and on operative complications, which are separate arguments.</t>
        </is>
      </c>
    </row>
    <row r="34">
      <c r="A34" s="4" t="inlineStr">
        <is>
          <t>3.5.7</t>
        </is>
      </c>
      <c r="B34" s="4" t="inlineStr">
        <is>
          <t>Effects of Obesity</t>
        </is>
      </c>
      <c r="C34" s="4" t="inlineStr">
        <is>
          <t>Higher mass is associated with poorer osteotomy and unicompartmental outcomes.</t>
        </is>
      </c>
    </row>
    <row r="35">
      <c r="A35" s="4" t="inlineStr">
        <is>
          <t>3.5.7</t>
        </is>
      </c>
      <c r="B35" s="4" t="inlineStr">
        <is>
          <t>Effects of Obesity</t>
        </is>
      </c>
      <c r="C35" s="4" t="inlineStr">
        <is>
          <t>Body mass index is a poor description of load distribution.</t>
        </is>
      </c>
    </row>
    <row r="36">
      <c r="A36" s="4" t="inlineStr">
        <is>
          <t>3.5.7</t>
        </is>
      </c>
      <c r="B36" s="4" t="inlineStr">
        <is>
          <t>Effects of Obesity</t>
        </is>
      </c>
      <c r="C36" s="4" t="inlineStr">
        <is>
          <t>No measurement predicts which heavier patient will do well.</t>
        </is>
      </c>
    </row>
    <row r="37">
      <c r="A37" s="4" t="inlineStr">
        <is>
          <t>3.5.8</t>
        </is>
      </c>
      <c r="B37" s="4" t="inlineStr">
        <is>
          <t>Contact Mechanics After ACL Injury</t>
        </is>
      </c>
      <c r="C37" s="4" t="inlineStr">
        <is>
          <t>The contact shift is the mechanical account of post-traumatic degeneration.</t>
        </is>
      </c>
    </row>
    <row r="38">
      <c r="A38" s="4" t="inlineStr">
        <is>
          <t>3.5.8</t>
        </is>
      </c>
      <c r="B38" s="4" t="inlineStr">
        <is>
          <t>Contact Mechanics After ACL Injury</t>
        </is>
      </c>
      <c r="C38" s="4" t="inlineStr">
        <is>
          <t>Reconstruction restores stability reliably and contact position only partially.</t>
        </is>
      </c>
    </row>
    <row r="39">
      <c r="A39" s="4" t="inlineStr">
        <is>
          <t>3.5.8</t>
        </is>
      </c>
      <c r="B39" s="4" t="inlineStr">
        <is>
          <t>Contact Mechanics After ACL Injury</t>
        </is>
      </c>
      <c r="C39" s="4" t="inlineStr">
        <is>
          <t>Stability and long term joint health are different outcomes.</t>
        </is>
      </c>
    </row>
    <row r="40">
      <c r="A40" s="4" t="inlineStr">
        <is>
          <t>3.5.8</t>
        </is>
      </c>
      <c r="B40" s="4" t="inlineStr">
        <is>
          <t>Contact Mechanics After ACL Injury</t>
        </is>
      </c>
      <c r="C40" s="4" t="inlineStr">
        <is>
          <t>Slope correction addresses a shift driven by bony morphology.</t>
        </is>
      </c>
    </row>
    <row r="41">
      <c r="A41" s="4" t="inlineStr">
        <is>
          <t>3.5.8</t>
        </is>
      </c>
      <c r="B41" s="4" t="inlineStr">
        <is>
          <t>Contact Mechanics After ACL Injury</t>
        </is>
      </c>
      <c r="C41" s="4" t="inlineStr">
        <is>
          <t>No clinical measurement confirms restored contact mechanics.</t>
        </is>
      </c>
    </row>
    <row r="42">
      <c r="A42" s="4" t="inlineStr">
        <is>
          <t>3.5.9</t>
        </is>
      </c>
      <c r="B42" s="4" t="inlineStr">
        <is>
          <t>Contact Mechanics After Meniscectomy</t>
        </is>
      </c>
      <c r="C42" s="4" t="inlineStr">
        <is>
          <t>The shift from resection to repair was mechanically predicted before it was demonstrated.</t>
        </is>
      </c>
    </row>
    <row r="43">
      <c r="A43" s="4" t="inlineStr">
        <is>
          <t>3.5.9</t>
        </is>
      </c>
      <c r="B43" s="4" t="inlineStr">
        <is>
          <t>Contact Mechanics After Meniscectomy</t>
        </is>
      </c>
      <c r="C43" s="4" t="inlineStr">
        <is>
          <t>Transplantation relieves symptoms more reliably than it is proven to protect cartilage.</t>
        </is>
      </c>
    </row>
    <row r="44">
      <c r="A44" s="4" t="inlineStr">
        <is>
          <t>3.5.9</t>
        </is>
      </c>
      <c r="B44" s="4" t="inlineStr">
        <is>
          <t>Contact Mechanics After Meniscectomy</t>
        </is>
      </c>
      <c r="C44" s="4" t="inlineStr">
        <is>
          <t>A resected meniscus cannot be undone; the decision is permanent.</t>
        </is>
      </c>
    </row>
    <row r="45">
      <c r="A45" s="4" t="inlineStr">
        <is>
          <t>3.5.9</t>
        </is>
      </c>
      <c r="B45" s="4" t="inlineStr">
        <is>
          <t>Contact Mechanics After Meniscectomy</t>
        </is>
      </c>
      <c r="C45" s="4" t="inlineStr">
        <is>
          <t>No measurement confirms an individual knee's contact mechanics before or after.</t>
        </is>
      </c>
    </row>
    <row r="46">
      <c r="A46" s="4" t="inlineStr">
        <is>
          <t>3.5.9</t>
        </is>
      </c>
      <c r="B46" s="4" t="inlineStr">
        <is>
          <t>Contact Mechanics After Meniscectomy</t>
        </is>
      </c>
      <c r="C46" s="4" t="inlineStr">
        <is>
          <t>Record the resection precisely, because the next surgeon's options depend on it.</t>
        </is>
      </c>
    </row>
    <row r="47">
      <c r="A47" s="4" t="inlineStr">
        <is>
          <t>3.5.10</t>
        </is>
      </c>
      <c r="B47" s="4" t="inlineStr">
        <is>
          <t>Contact Mechanics After Osteotomy</t>
        </is>
      </c>
      <c r="C47" s="4" t="inlineStr">
        <is>
          <t>Osteotomy is the foundation other procedures are built on, not an alternative to them.</t>
        </is>
      </c>
    </row>
    <row r="48">
      <c r="A48" s="4" t="inlineStr">
        <is>
          <t>3.5.10</t>
        </is>
      </c>
      <c r="B48" s="4" t="inlineStr">
        <is>
          <t>Contact Mechanics After Osteotomy</t>
        </is>
      </c>
      <c r="C48" s="4" t="inlineStr">
        <is>
          <t>A correction is a commitment that changes any later arthroplasty.</t>
        </is>
      </c>
    </row>
    <row r="49">
      <c r="A49" s="4" t="inlineStr">
        <is>
          <t>3.5.10</t>
        </is>
      </c>
      <c r="B49" s="4" t="inlineStr">
        <is>
          <t>Contact Mechanics After Osteotomy</t>
        </is>
      </c>
      <c r="C49" s="4" t="inlineStr">
        <is>
          <t>Slope correction is a separate operation with a separate mechanical target.</t>
        </is>
      </c>
    </row>
    <row r="50">
      <c r="A50" s="4" t="inlineStr">
        <is>
          <t>3.5.10</t>
        </is>
      </c>
      <c r="B50" s="4" t="inlineStr">
        <is>
          <t>Contact Mechanics After Osteotomy</t>
        </is>
      </c>
      <c r="C50" s="4" t="inlineStr">
        <is>
          <t>Conversion to arthroplasty is the usual survivorship endpoint.</t>
        </is>
      </c>
    </row>
    <row r="51">
      <c r="A51" s="4" t="inlineStr">
        <is>
          <t>3.5.10</t>
        </is>
      </c>
      <c r="B51" s="4" t="inlineStr">
        <is>
          <t>Contact Mechanics After Osteotomy</t>
        </is>
      </c>
      <c r="C51" s="4" t="inlineStr">
        <is>
          <t>Localise the deformity before correcting and confirm the axis afterwards.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78"/>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16" customWidth="1" min="3" max="3"/>
    <col width="86" customWidth="1" min="4" max="4"/>
    <col width="16" customWidth="1" min="5" max="5"/>
    <col width="22" customWidth="1" min="6" max="6"/>
    <col width="50" customWidth="1" min="7" max="7"/>
  </cols>
  <sheetData>
    <row r="1">
      <c r="A1" s="5" t="inlineStr">
        <is>
          <t>Ref</t>
        </is>
      </c>
      <c r="B1" s="5" t="inlineStr">
        <is>
          <t>Page</t>
        </is>
      </c>
      <c r="C1" s="5" t="inlineStr">
        <is>
          <t>Tier</t>
        </is>
      </c>
      <c r="D1" s="5" t="inlineStr">
        <is>
          <t>Sentence</t>
        </is>
      </c>
      <c r="E1" s="5" t="inlineStr">
        <is>
          <t>Decision</t>
        </is>
      </c>
      <c r="F1" s="5" t="inlineStr">
        <is>
          <t>Reviewer</t>
        </is>
      </c>
      <c r="G1" s="5" t="inlineStr">
        <is>
          <t>Note</t>
        </is>
      </c>
    </row>
    <row r="2">
      <c r="A2" s="7" t="inlineStr">
        <is>
          <t>EXAMPLE</t>
        </is>
      </c>
      <c r="B2" s="7" t="inlineStr">
        <is>
          <t>0.0.0</t>
        </is>
      </c>
      <c r="C2" s="7" t="inlineStr">
        <is>
          <t>mrcs</t>
        </is>
      </c>
      <c r="D2" s="7" t="inlineStr">
        <is>
          <t>This row shows the expected format and is ignored when the pack is read back.</t>
        </is>
      </c>
      <c r="E2" s="7" t="inlineStr">
        <is>
          <t>CONFIRMED</t>
        </is>
      </c>
      <c r="F2" s="7" t="inlineStr">
        <is>
          <t>Miss A Surgeon</t>
        </is>
      </c>
      <c r="G2" s="7" t="inlineStr">
        <is>
          <t>Leave the Note column empty unless amending.</t>
        </is>
      </c>
    </row>
    <row r="3">
      <c r="A3" s="4" t="inlineStr">
        <is>
          <t>3.5.1-P1</t>
        </is>
      </c>
      <c r="B3" s="4" t="inlineStr">
        <is>
          <t>3.5.1</t>
        </is>
      </c>
      <c r="C3" s="4" t="inlineStr">
        <is>
          <t>mrcs</t>
        </is>
      </c>
      <c r="D3" s="4" t="inlineStr">
        <is>
          <t>Read a contact area figure with its load, flexion angle and method attached, since all three change it.</t>
        </is>
      </c>
      <c r="E3" s="4" t="inlineStr"/>
      <c r="F3" s="4" t="inlineStr"/>
      <c r="G3" s="4" t="inlineStr"/>
    </row>
    <row r="4">
      <c r="A4" s="4" t="inlineStr">
        <is>
          <t>3.5.1-P2</t>
        </is>
      </c>
      <c r="B4" s="4" t="inlineStr">
        <is>
          <t>3.5.1</t>
        </is>
      </c>
      <c r="C4" s="4" t="inlineStr">
        <is>
          <t>mrcs</t>
        </is>
      </c>
      <c r="D4" s="4" t="inlineStr">
        <is>
          <t>Treat the lateral compartment as the more meniscus dependent one, on the ground that it has no bony concavity.</t>
        </is>
      </c>
      <c r="E4" s="4" t="inlineStr"/>
      <c r="F4" s="4" t="inlineStr"/>
      <c r="G4" s="4" t="inlineStr"/>
    </row>
    <row r="5">
      <c r="A5" s="4" t="inlineStr">
        <is>
          <t>3.5.1-P3</t>
        </is>
      </c>
      <c r="B5" s="4" t="inlineStr">
        <is>
          <t>3.5.1</t>
        </is>
      </c>
      <c r="C5" s="4" t="inlineStr">
        <is>
          <t>mrcs</t>
        </is>
      </c>
      <c r="D5" s="4" t="inlineStr">
        <is>
          <t>Expect extrusion or a root tear to reduce contact area without removing tissue.</t>
        </is>
      </c>
      <c r="E5" s="4" t="inlineStr"/>
      <c r="F5" s="4" t="inlineStr"/>
      <c r="G5" s="4" t="inlineStr"/>
    </row>
    <row r="6">
      <c r="A6" s="4" t="inlineStr">
        <is>
          <t>3.5.1-P4</t>
        </is>
      </c>
      <c r="B6" s="4" t="inlineStr">
        <is>
          <t>3.5.1</t>
        </is>
      </c>
      <c r="C6" s="4" t="inlineStr">
        <is>
          <t>mrcs</t>
        </is>
      </c>
      <c r="D6" s="4" t="inlineStr">
        <is>
          <t>Expect deep flexion to be a small area position, and therefore a high stress one.</t>
        </is>
      </c>
      <c r="E6" s="4" t="inlineStr"/>
      <c r="F6" s="4" t="inlineStr"/>
      <c r="G6" s="4" t="inlineStr"/>
    </row>
    <row r="7">
      <c r="A7" s="4" t="inlineStr">
        <is>
          <t>3.5.1-P5</t>
        </is>
      </c>
      <c r="B7" s="4" t="inlineStr">
        <is>
          <t>3.5.1</t>
        </is>
      </c>
      <c r="C7" s="4" t="inlineStr">
        <is>
          <t>frcs</t>
        </is>
      </c>
      <c r="D7" s="4" t="inlineStr">
        <is>
          <t>Treat contact area as the quantity a reconstruction restores and a measurement cannot confirm.</t>
        </is>
      </c>
      <c r="E7" s="4" t="inlineStr"/>
      <c r="F7" s="4" t="inlineStr"/>
      <c r="G7" s="4" t="inlineStr"/>
    </row>
    <row r="8">
      <c r="A8" s="4" t="inlineStr">
        <is>
          <t>3.5.1-P6</t>
        </is>
      </c>
      <c r="B8" s="4" t="inlineStr">
        <is>
          <t>3.5.1</t>
        </is>
      </c>
      <c r="C8" s="4" t="inlineStr">
        <is>
          <t>frcs</t>
        </is>
      </c>
      <c r="D8" s="4" t="inlineStr">
        <is>
          <t>Repair rather than resect where the ring can be restored, on area grounds.</t>
        </is>
      </c>
      <c r="E8" s="4" t="inlineStr"/>
      <c r="F8" s="4" t="inlineStr"/>
      <c r="G8" s="4" t="inlineStr"/>
    </row>
    <row r="9">
      <c r="A9" s="4" t="inlineStr">
        <is>
          <t>3.5.1-P7</t>
        </is>
      </c>
      <c r="B9" s="4" t="inlineStr">
        <is>
          <t>3.5.1</t>
        </is>
      </c>
      <c r="C9" s="4" t="inlineStr">
        <is>
          <t>frcs</t>
        </is>
      </c>
      <c r="D9" s="4" t="inlineStr">
        <is>
          <t>Correct alignment alongside any area restoring procedure, since malalignment concentrates load regardless.</t>
        </is>
      </c>
      <c r="E9" s="4" t="inlineStr"/>
      <c r="F9" s="4" t="inlineStr"/>
      <c r="G9" s="4" t="inlineStr"/>
    </row>
    <row r="10">
      <c r="A10" s="4" t="inlineStr">
        <is>
          <t>3.5.1-P8</t>
        </is>
      </c>
      <c r="B10" s="4" t="inlineStr">
        <is>
          <t>3.5.1</t>
        </is>
      </c>
      <c r="C10" s="4" t="inlineStr">
        <is>
          <t>frcs</t>
        </is>
      </c>
      <c r="D10" s="4" t="inlineStr">
        <is>
          <t>State that contact area cannot be measured clinically when explaining why a procedure's mechanical case rests on cadaveric work.</t>
        </is>
      </c>
      <c r="E10" s="4" t="inlineStr"/>
      <c r="F10" s="4" t="inlineStr"/>
      <c r="G10" s="4" t="inlineStr"/>
    </row>
    <row r="11">
      <c r="A11" s="4" t="inlineStr">
        <is>
          <t>3.5.1-P9</t>
        </is>
      </c>
      <c r="B11" s="4" t="inlineStr">
        <is>
          <t>3.5.1</t>
        </is>
      </c>
      <c r="C11" s="4" t="inlineStr">
        <is>
          <t>frcs</t>
        </is>
      </c>
      <c r="D11" s="4" t="inlineStr">
        <is>
          <t>- Tissue present is not necessarily tissue working; the ring must be anchored.</t>
        </is>
      </c>
      <c r="E11" s="4" t="inlineStr"/>
      <c r="F11" s="4" t="inlineStr"/>
      <c r="G11" s="4" t="inlineStr"/>
    </row>
    <row r="12">
      <c r="A12" s="4" t="inlineStr">
        <is>
          <t>3.5.2-P1</t>
        </is>
      </c>
      <c r="B12" s="4" t="inlineStr">
        <is>
          <t>3.5.2</t>
        </is>
      </c>
      <c r="C12" s="4" t="inlineStr">
        <is>
          <t>mrcs</t>
        </is>
      </c>
      <c r="D12" s="4" t="inlineStr">
        <is>
          <t>Ask for peak rather than average contact stress when reading a comparative study.</t>
        </is>
      </c>
      <c r="E12" s="4" t="inlineStr"/>
      <c r="F12" s="4" t="inlineStr"/>
      <c r="G12" s="4" t="inlineStr"/>
    </row>
    <row r="13">
      <c r="A13" s="4" t="inlineStr">
        <is>
          <t>3.5.2-P2</t>
        </is>
      </c>
      <c r="B13" s="4" t="inlineStr">
        <is>
          <t>3.5.2</t>
        </is>
      </c>
      <c r="C13" s="4" t="inlineStr">
        <is>
          <t>mrcs</t>
        </is>
      </c>
      <c r="D13" s="4" t="inlineStr">
        <is>
          <t>Treat a halved contact area as a doubled stress, which is the arithmetic behind the meniscectomy literature.</t>
        </is>
      </c>
      <c r="E13" s="4" t="inlineStr"/>
      <c r="F13" s="4" t="inlineStr"/>
      <c r="G13" s="4" t="inlineStr"/>
    </row>
    <row r="14">
      <c r="A14" s="4" t="inlineStr">
        <is>
          <t>3.5.2-P3</t>
        </is>
      </c>
      <c r="B14" s="4" t="inlineStr">
        <is>
          <t>3.5.2</t>
        </is>
      </c>
      <c r="C14" s="4" t="inlineStr">
        <is>
          <t>mrcs</t>
        </is>
      </c>
      <c r="D14" s="4" t="inlineStr">
        <is>
          <t>Consider shear as well as compression when a delamination or osteochondral lesion is the problem.</t>
        </is>
      </c>
      <c r="E14" s="4" t="inlineStr"/>
      <c r="F14" s="4" t="inlineStr"/>
      <c r="G14" s="4" t="inlineStr"/>
    </row>
    <row r="15">
      <c r="A15" s="4" t="inlineStr">
        <is>
          <t>3.5.2-P4</t>
        </is>
      </c>
      <c r="B15" s="4" t="inlineStr">
        <is>
          <t>3.5.2</t>
        </is>
      </c>
      <c r="C15" s="4" t="inlineStr">
        <is>
          <t>mrcs</t>
        </is>
      </c>
      <c r="D15" s="4" t="inlineStr">
        <is>
          <t>Read an in vivo stress figure as a model output rather than a measurement.</t>
        </is>
      </c>
      <c r="E15" s="4" t="inlineStr"/>
      <c r="F15" s="4" t="inlineStr"/>
      <c r="G15" s="4" t="inlineStr"/>
    </row>
    <row r="16">
      <c r="A16" s="4" t="inlineStr">
        <is>
          <t>3.5.2-P5</t>
        </is>
      </c>
      <c r="B16" s="4" t="inlineStr">
        <is>
          <t>3.5.2</t>
        </is>
      </c>
      <c r="C16" s="4" t="inlineStr">
        <is>
          <t>frcs</t>
        </is>
      </c>
      <c r="D16" s="4" t="inlineStr">
        <is>
          <t>Treat peak contact stress as the common currency of every mechanical argument in the knee.</t>
        </is>
      </c>
      <c r="E16" s="4" t="inlineStr"/>
      <c r="F16" s="4" t="inlineStr"/>
      <c r="G16" s="4" t="inlineStr"/>
    </row>
    <row r="17">
      <c r="A17" s="4" t="inlineStr">
        <is>
          <t>3.5.2-P6</t>
        </is>
      </c>
      <c r="B17" s="4" t="inlineStr">
        <is>
          <t>3.5.2</t>
        </is>
      </c>
      <c r="C17" s="4" t="inlineStr">
        <is>
          <t>frcs</t>
        </is>
      </c>
      <c r="D17" s="4" t="inlineStr">
        <is>
          <t>Expect a cartilage repair of different stiffness to distribute load differently from the original.</t>
        </is>
      </c>
      <c r="E17" s="4" t="inlineStr"/>
      <c r="F17" s="4" t="inlineStr"/>
      <c r="G17" s="4" t="inlineStr"/>
    </row>
    <row r="18">
      <c r="A18" s="4" t="inlineStr">
        <is>
          <t>3.5.2-P7</t>
        </is>
      </c>
      <c r="B18" s="4" t="inlineStr">
        <is>
          <t>3.5.2</t>
        </is>
      </c>
      <c r="C18" s="4" t="inlineStr">
        <is>
          <t>frcs</t>
        </is>
      </c>
      <c r="D18" s="4" t="inlineStr">
        <is>
          <t>State that no in vivo stress threshold is established when a patient asks how much load is safe.</t>
        </is>
      </c>
      <c r="E18" s="4" t="inlineStr"/>
      <c r="F18" s="4" t="inlineStr"/>
      <c r="G18" s="4" t="inlineStr"/>
    </row>
    <row r="19">
      <c r="A19" s="4" t="inlineStr">
        <is>
          <t>3.5.3-P1</t>
        </is>
      </c>
      <c r="B19" s="4" t="inlineStr">
        <is>
          <t>3.5.3</t>
        </is>
      </c>
      <c r="C19" s="4" t="inlineStr">
        <is>
          <t>mrcs</t>
        </is>
      </c>
      <c r="D19" s="4" t="inlineStr">
        <is>
          <t>Assess lateral soft tissue integrity when a medial overload picture is worse than the alignment explains.</t>
        </is>
      </c>
      <c r="E19" s="4" t="inlineStr"/>
      <c r="F19" s="4" t="inlineStr"/>
      <c r="G19" s="4" t="inlineStr"/>
    </row>
    <row r="20">
      <c r="A20" s="4" t="inlineStr">
        <is>
          <t>3.5.3-P2</t>
        </is>
      </c>
      <c r="B20" s="4" t="inlineStr">
        <is>
          <t>3.5.3</t>
        </is>
      </c>
      <c r="C20" s="4" t="inlineStr">
        <is>
          <t>mrcs</t>
        </is>
      </c>
      <c r="D20" s="4" t="inlineStr">
        <is>
          <t>Treat the adduction moment as the measurable proxy for the division.</t>
        </is>
      </c>
      <c r="E20" s="4" t="inlineStr"/>
      <c r="F20" s="4" t="inlineStr"/>
      <c r="G20" s="4" t="inlineStr"/>
    </row>
    <row r="21">
      <c r="A21" s="4" t="inlineStr">
        <is>
          <t>3.5.3-P3</t>
        </is>
      </c>
      <c r="B21" s="4" t="inlineStr">
        <is>
          <t>3.5.3</t>
        </is>
      </c>
      <c r="C21" s="4" t="inlineStr">
        <is>
          <t>mrcs</t>
        </is>
      </c>
      <c r="D21" s="4" t="inlineStr">
        <is>
          <t>Expect the division to vary through a step rather than holding at a quoted average.</t>
        </is>
      </c>
      <c r="E21" s="4" t="inlineStr"/>
      <c r="F21" s="4" t="inlineStr"/>
      <c r="G21" s="4" t="inlineStr"/>
    </row>
    <row r="22">
      <c r="A22" s="4" t="inlineStr">
        <is>
          <t>3.5.3-P4</t>
        </is>
      </c>
      <c r="B22" s="4" t="inlineStr">
        <is>
          <t>3.5.3</t>
        </is>
      </c>
      <c r="C22" s="4" t="inlineStr">
        <is>
          <t>frcs</t>
        </is>
      </c>
      <c r="D22" s="4" t="inlineStr">
        <is>
          <t>Treat the division as the target of unicompartmental and realignment surgery, and treat the published average as a starting point rather than a patient's number.</t>
        </is>
      </c>
      <c r="E22" s="4" t="inlineStr"/>
      <c r="F22" s="4" t="inlineStr"/>
      <c r="G22" s="4" t="inlineStr"/>
    </row>
    <row r="23">
      <c r="A23" s="4" t="inlineStr">
        <is>
          <t>3.5.3-P5</t>
        </is>
      </c>
      <c r="B23" s="4" t="inlineStr">
        <is>
          <t>3.5.3</t>
        </is>
      </c>
      <c r="C23" s="4" t="inlineStr">
        <is>
          <t>frcs</t>
        </is>
      </c>
      <c r="D23" s="4" t="inlineStr">
        <is>
          <t>Assess the opposite compartment and the cruciate before unicompartmental replacement, since the operation relies on them.</t>
        </is>
      </c>
      <c r="E23" s="4" t="inlineStr"/>
      <c r="F23" s="4" t="inlineStr"/>
      <c r="G23" s="4" t="inlineStr"/>
    </row>
    <row r="24">
      <c r="A24" s="4" t="inlineStr">
        <is>
          <t>3.5.3-P6</t>
        </is>
      </c>
      <c r="B24" s="4" t="inlineStr">
        <is>
          <t>3.5.3</t>
        </is>
      </c>
      <c r="C24" s="4" t="inlineStr">
        <is>
          <t>frcs</t>
        </is>
      </c>
      <c r="D24" s="4" t="inlineStr">
        <is>
          <t>Plan correction to avoid transferring an excessive share, rather than to the largest achievable angle.</t>
        </is>
      </c>
      <c r="E24" s="4" t="inlineStr"/>
      <c r="F24" s="4" t="inlineStr"/>
      <c r="G24" s="4" t="inlineStr"/>
    </row>
    <row r="25">
      <c r="A25" s="4" t="inlineStr">
        <is>
          <t>3.5.3-P7</t>
        </is>
      </c>
      <c r="B25" s="4" t="inlineStr">
        <is>
          <t>3.5.3</t>
        </is>
      </c>
      <c r="C25" s="4" t="inlineStr">
        <is>
          <t>frcs</t>
        </is>
      </c>
      <c r="D25" s="4" t="inlineStr">
        <is>
          <t>Use long leg alignment as the clinical proxy for the division.</t>
        </is>
      </c>
      <c r="E25" s="4" t="inlineStr"/>
      <c r="F25" s="4" t="inlineStr"/>
      <c r="G25" s="4" t="inlineStr"/>
    </row>
    <row r="26">
      <c r="A26" s="4" t="inlineStr">
        <is>
          <t>3.5.3-P8</t>
        </is>
      </c>
      <c r="B26" s="4" t="inlineStr">
        <is>
          <t>3.5.3</t>
        </is>
      </c>
      <c r="C26" s="4" t="inlineStr">
        <is>
          <t>frcs</t>
        </is>
      </c>
      <c r="D26" s="4" t="inlineStr">
        <is>
          <t>Expect the division to change as the unoperated compartment progresses.</t>
        </is>
      </c>
      <c r="E26" s="4" t="inlineStr"/>
      <c r="F26" s="4" t="inlineStr"/>
      <c r="G26" s="4" t="inlineStr"/>
    </row>
    <row r="27">
      <c r="A27" s="4" t="inlineStr">
        <is>
          <t>3.5.4-P1</t>
        </is>
      </c>
      <c r="B27" s="4" t="inlineStr">
        <is>
          <t>3.5.4</t>
        </is>
      </c>
      <c r="C27" s="4" t="inlineStr">
        <is>
          <t>mrcs</t>
        </is>
      </c>
      <c r="D27" s="4" t="inlineStr">
        <is>
          <t>Record the flexion angle with any contact measurement, since all three quantities move with it.</t>
        </is>
      </c>
      <c r="E27" s="4" t="inlineStr"/>
      <c r="F27" s="4" t="inlineStr"/>
      <c r="G27" s="4" t="inlineStr"/>
    </row>
    <row r="28">
      <c r="A28" s="4" t="inlineStr">
        <is>
          <t>3.5.4-P2</t>
        </is>
      </c>
      <c r="B28" s="4" t="inlineStr">
        <is>
          <t>3.5.4</t>
        </is>
      </c>
      <c r="C28" s="4" t="inlineStr">
        <is>
          <t>mrcs</t>
        </is>
      </c>
      <c r="D28" s="4" t="inlineStr">
        <is>
          <t>Expect posterior horn symptoms in deep flexion and absence of findings in mid range testing.</t>
        </is>
      </c>
      <c r="E28" s="4" t="inlineStr"/>
      <c r="F28" s="4" t="inlineStr"/>
      <c r="G28" s="4" t="inlineStr"/>
    </row>
    <row r="29">
      <c r="A29" s="4" t="inlineStr">
        <is>
          <t>3.5.4-P3</t>
        </is>
      </c>
      <c r="B29" s="4" t="inlineStr">
        <is>
          <t>3.5.4</t>
        </is>
      </c>
      <c r="C29" s="4" t="inlineStr">
        <is>
          <t>mrcs</t>
        </is>
      </c>
      <c r="D29" s="4" t="inlineStr">
        <is>
          <t>Treat the thinness of the deep flexion literature as a limit on confidence rather than as reassurance.</t>
        </is>
      </c>
      <c r="E29" s="4" t="inlineStr"/>
      <c r="F29" s="4" t="inlineStr"/>
      <c r="G29" s="4" t="inlineStr"/>
    </row>
    <row r="30">
      <c r="A30" s="4" t="inlineStr">
        <is>
          <t>3.5.4-P4</t>
        </is>
      </c>
      <c r="B30" s="4" t="inlineStr">
        <is>
          <t>3.5.4</t>
        </is>
      </c>
      <c r="C30" s="4" t="inlineStr">
        <is>
          <t>frcs</t>
        </is>
      </c>
      <c r="D30" s="4" t="inlineStr">
        <is>
          <t>Treat deep flexion as a design constraint with a stated cost.</t>
        </is>
      </c>
      <c r="E30" s="4" t="inlineStr"/>
      <c r="F30" s="4" t="inlineStr"/>
      <c r="G30" s="4" t="inlineStr"/>
    </row>
    <row r="31">
      <c r="A31" s="4" t="inlineStr">
        <is>
          <t>3.5.4-P5</t>
        </is>
      </c>
      <c r="B31" s="4" t="inlineStr">
        <is>
          <t>3.5.4</t>
        </is>
      </c>
      <c r="C31" s="4" t="inlineStr">
        <is>
          <t>frcs</t>
        </is>
      </c>
      <c r="D31" s="4" t="inlineStr">
        <is>
          <t>Restore posterior condylar offset rather than accepting an approximation.</t>
        </is>
      </c>
      <c r="E31" s="4" t="inlineStr"/>
      <c r="F31" s="4" t="inlineStr"/>
      <c r="G31" s="4" t="inlineStr"/>
    </row>
    <row r="32">
      <c r="A32" s="4" t="inlineStr">
        <is>
          <t>3.5.4-P6</t>
        </is>
      </c>
      <c r="B32" s="4" t="inlineStr">
        <is>
          <t>3.5.4</t>
        </is>
      </c>
      <c r="C32" s="4" t="inlineStr">
        <is>
          <t>frcs</t>
        </is>
      </c>
      <c r="D32" s="4" t="inlineStr">
        <is>
          <t>Expect the deep flexion contact area to be small, and choose the bearing accordingly.</t>
        </is>
      </c>
      <c r="E32" s="4" t="inlineStr"/>
      <c r="F32" s="4" t="inlineStr"/>
      <c r="G32" s="4" t="inlineStr"/>
    </row>
    <row r="33">
      <c r="A33" s="4" t="inlineStr">
        <is>
          <t>3.5.4-P7</t>
        </is>
      </c>
      <c r="B33" s="4" t="inlineStr">
        <is>
          <t>3.5.4</t>
        </is>
      </c>
      <c r="C33" s="4" t="inlineStr">
        <is>
          <t>frcs</t>
        </is>
      </c>
      <c r="D33" s="4" t="inlineStr">
        <is>
          <t>Repair posterior horn roots where feasible, on deep flexion loading grounds.</t>
        </is>
      </c>
      <c r="E33" s="4" t="inlineStr"/>
      <c r="F33" s="4" t="inlineStr"/>
      <c r="G33" s="4" t="inlineStr"/>
    </row>
    <row r="34">
      <c r="A34" s="4" t="inlineStr">
        <is>
          <t>3.5.5-P1</t>
        </is>
      </c>
      <c r="B34" s="4" t="inlineStr">
        <is>
          <t>3.5.5</t>
        </is>
      </c>
      <c r="C34" s="4" t="inlineStr">
        <is>
          <t>mrcs</t>
        </is>
      </c>
      <c r="D34" s="4" t="inlineStr">
        <is>
          <t>Resect as little as the tear requires, since the stress rise scales with the resection.</t>
        </is>
      </c>
      <c r="E34" s="4" t="inlineStr"/>
      <c r="F34" s="4" t="inlineStr"/>
      <c r="G34" s="4" t="inlineStr"/>
    </row>
    <row r="35">
      <c r="A35" s="4" t="inlineStr">
        <is>
          <t>3.5.5-P2</t>
        </is>
      </c>
      <c r="B35" s="4" t="inlineStr">
        <is>
          <t>3.5.5</t>
        </is>
      </c>
      <c r="C35" s="4" t="inlineStr">
        <is>
          <t>mrcs</t>
        </is>
      </c>
      <c r="D35" s="4" t="inlineStr">
        <is>
          <t>Preserve the peripheral rim and the roots, which carry the hoop tension.</t>
        </is>
      </c>
      <c r="E35" s="4" t="inlineStr"/>
      <c r="F35" s="4" t="inlineStr"/>
      <c r="G35" s="4" t="inlineStr"/>
    </row>
    <row r="36">
      <c r="A36" s="4" t="inlineStr">
        <is>
          <t>3.5.5-P3</t>
        </is>
      </c>
      <c r="B36" s="4" t="inlineStr">
        <is>
          <t>3.5.5</t>
        </is>
      </c>
      <c r="C36" s="4" t="inlineStr">
        <is>
          <t>mrcs</t>
        </is>
      </c>
      <c r="D36" s="4" t="inlineStr">
        <is>
          <t>Repair a root tear on the same grounds as a meniscal tear, because mechanically it is one.</t>
        </is>
      </c>
      <c r="E36" s="4" t="inlineStr"/>
      <c r="F36" s="4" t="inlineStr"/>
      <c r="G36" s="4" t="inlineStr"/>
    </row>
    <row r="37">
      <c r="A37" s="4" t="inlineStr">
        <is>
          <t>3.5.5-P4</t>
        </is>
      </c>
      <c r="B37" s="4" t="inlineStr">
        <is>
          <t>3.5.5</t>
        </is>
      </c>
      <c r="C37" s="4" t="inlineStr">
        <is>
          <t>mrcs</t>
        </is>
      </c>
      <c r="D37" s="4" t="inlineStr">
        <is>
          <t>Read extrusion as a functional loss even where the meniscus is continuous.</t>
        </is>
      </c>
      <c r="E37" s="4" t="inlineStr"/>
      <c r="F37" s="4" t="inlineStr"/>
      <c r="G37" s="4" t="inlineStr"/>
    </row>
    <row r="38">
      <c r="A38" s="4" t="inlineStr">
        <is>
          <t>3.5.5-P5</t>
        </is>
      </c>
      <c r="B38" s="4" t="inlineStr">
        <is>
          <t>3.5.5</t>
        </is>
      </c>
      <c r="C38" s="4" t="inlineStr">
        <is>
          <t>frcs</t>
        </is>
      </c>
      <c r="D38" s="4" t="inlineStr">
        <is>
          <t>Treat the contact studies as the mechanical case for preservation and the cohorts as the clinical one, and note that they agree.</t>
        </is>
      </c>
      <c r="E38" s="4" t="inlineStr"/>
      <c r="F38" s="4" t="inlineStr"/>
      <c r="G38" s="4" t="inlineStr"/>
    </row>
    <row r="39">
      <c r="A39" s="4" t="inlineStr">
        <is>
          <t>3.5.5-P6</t>
        </is>
      </c>
      <c r="B39" s="4" t="inlineStr">
        <is>
          <t>3.5.5</t>
        </is>
      </c>
      <c r="C39" s="4" t="inlineStr">
        <is>
          <t>frcs</t>
        </is>
      </c>
      <c r="D39" s="4" t="inlineStr">
        <is>
          <t>Repair of a root restores the hoop mechanism if it restores the attachment at the right position and tension, which is the mechanical reason anatomic repair is specified rather than preferred.</t>
        </is>
      </c>
      <c r="E39" s="4" t="inlineStr"/>
      <c r="F39" s="4" t="inlineStr"/>
      <c r="G39" s="4" t="inlineStr"/>
    </row>
    <row r="40">
      <c r="A40" s="4" t="inlineStr">
        <is>
          <t>3.5.5-P7</t>
        </is>
      </c>
      <c r="B40" s="4" t="inlineStr">
        <is>
          <t>3.5.5</t>
        </is>
      </c>
      <c r="C40" s="4" t="inlineStr">
        <is>
          <t>frcs</t>
        </is>
      </c>
      <c r="D40" s="4" t="inlineStr">
        <is>
          <t>Repair rather than resect wherever the hoop mechanism can be restored.</t>
        </is>
      </c>
      <c r="E40" s="4" t="inlineStr"/>
      <c r="F40" s="4" t="inlineStr"/>
      <c r="G40" s="4" t="inlineStr"/>
    </row>
    <row r="41">
      <c r="A41" s="4" t="inlineStr">
        <is>
          <t>3.5.5-P8</t>
        </is>
      </c>
      <c r="B41" s="4" t="inlineStr">
        <is>
          <t>3.5.5</t>
        </is>
      </c>
      <c r="C41" s="4" t="inlineStr">
        <is>
          <t>frcs</t>
        </is>
      </c>
      <c r="D41" s="4" t="inlineStr">
        <is>
          <t>Correct alignment alongside preservation or transplantation, or the restored area is overloaded.</t>
        </is>
      </c>
      <c r="E41" s="4" t="inlineStr"/>
      <c r="F41" s="4" t="inlineStr"/>
      <c r="G41" s="4" t="inlineStr"/>
    </row>
    <row r="42">
      <c r="A42" s="4" t="inlineStr">
        <is>
          <t>3.5.6-P1</t>
        </is>
      </c>
      <c r="B42" s="4" t="inlineStr">
        <is>
          <t>3.5.6</t>
        </is>
      </c>
      <c r="C42" s="4" t="inlineStr">
        <is>
          <t>mrcs</t>
        </is>
      </c>
      <c r="D42" s="4" t="inlineStr">
        <is>
          <t>Measure alignment standing and on a long leg film, since supine imaging underestimates it.</t>
        </is>
      </c>
      <c r="E42" s="4" t="inlineStr"/>
      <c r="F42" s="4" t="inlineStr"/>
      <c r="G42" s="4" t="inlineStr"/>
    </row>
    <row r="43">
      <c r="A43" s="4" t="inlineStr">
        <is>
          <t>3.5.6-P2</t>
        </is>
      </c>
      <c r="B43" s="4" t="inlineStr">
        <is>
          <t>3.5.6</t>
        </is>
      </c>
      <c r="C43" s="4" t="inlineStr">
        <is>
          <t>mrcs</t>
        </is>
      </c>
      <c r="D43" s="4" t="inlineStr">
        <is>
          <t>Localise the deformity to the femur, the tibia or the joint before planning a correction.</t>
        </is>
      </c>
      <c r="E43" s="4" t="inlineStr"/>
      <c r="F43" s="4" t="inlineStr"/>
      <c r="G43" s="4" t="inlineStr"/>
    </row>
    <row r="44">
      <c r="A44" s="4" t="inlineStr">
        <is>
          <t>3.5.6-P3</t>
        </is>
      </c>
      <c r="B44" s="4" t="inlineStr">
        <is>
          <t>3.5.6</t>
        </is>
      </c>
      <c r="C44" s="4" t="inlineStr">
        <is>
          <t>mrcs</t>
        </is>
      </c>
      <c r="D44" s="4" t="inlineStr">
        <is>
          <t>Treat the adduction moment as the quantity alignment is a proxy for.</t>
        </is>
      </c>
      <c r="E44" s="4" t="inlineStr"/>
      <c r="F44" s="4" t="inlineStr"/>
      <c r="G44" s="4" t="inlineStr"/>
    </row>
    <row r="45">
      <c r="A45" s="4" t="inlineStr">
        <is>
          <t>3.5.6-P4</t>
        </is>
      </c>
      <c r="B45" s="4" t="inlineStr">
        <is>
          <t>3.5.6</t>
        </is>
      </c>
      <c r="C45" s="4" t="inlineStr">
        <is>
          <t>frcs</t>
        </is>
      </c>
      <c r="D45" s="4" t="inlineStr">
        <is>
          <t>Treat alignment as the only mechanical variable in this chapter that can be changed by a large amount.</t>
        </is>
      </c>
      <c r="E45" s="4" t="inlineStr"/>
      <c r="F45" s="4" t="inlineStr"/>
      <c r="G45" s="4" t="inlineStr"/>
    </row>
    <row r="46">
      <c r="A46" s="4" t="inlineStr">
        <is>
          <t>3.5.6-P5</t>
        </is>
      </c>
      <c r="B46" s="4" t="inlineStr">
        <is>
          <t>3.5.6</t>
        </is>
      </c>
      <c r="C46" s="4" t="inlineStr">
        <is>
          <t>frcs</t>
        </is>
      </c>
      <c r="D46" s="4" t="inlineStr">
        <is>
          <t>Correct alignment before or with any cartilage or meniscal procedure in a malaligned limb.</t>
        </is>
      </c>
      <c r="E46" s="4" t="inlineStr"/>
      <c r="F46" s="4" t="inlineStr"/>
      <c r="G46" s="4" t="inlineStr"/>
    </row>
    <row r="47">
      <c r="A47" s="4" t="inlineStr">
        <is>
          <t>3.5.6-P6</t>
        </is>
      </c>
      <c r="B47" s="4" t="inlineStr">
        <is>
          <t>3.5.6</t>
        </is>
      </c>
      <c r="C47" s="4" t="inlineStr">
        <is>
          <t>frcs</t>
        </is>
      </c>
      <c r="D47" s="4" t="inlineStr">
        <is>
          <t>Assess slope separately, since it acts on a different mechanism from compartment share.</t>
        </is>
      </c>
      <c r="E47" s="4" t="inlineStr"/>
      <c r="F47" s="4" t="inlineStr"/>
      <c r="G47" s="4" t="inlineStr"/>
    </row>
    <row r="48">
      <c r="A48" s="4" t="inlineStr">
        <is>
          <t>3.5.6-P7</t>
        </is>
      </c>
      <c r="B48" s="4" t="inlineStr">
        <is>
          <t>3.5.6</t>
        </is>
      </c>
      <c r="C48" s="4" t="inlineStr">
        <is>
          <t>frcs</t>
        </is>
      </c>
      <c r="D48" s="4" t="inlineStr">
        <is>
          <t>Confirm the correction radiographically rather than assuming the plan was achieved.</t>
        </is>
      </c>
      <c r="E48" s="4" t="inlineStr"/>
      <c r="F48" s="4" t="inlineStr"/>
      <c r="G48" s="4" t="inlineStr"/>
    </row>
    <row r="49">
      <c r="A49" s="4" t="inlineStr">
        <is>
          <t>3.5.7-P1</t>
        </is>
      </c>
      <c r="B49" s="4" t="inlineStr">
        <is>
          <t>3.5.7</t>
        </is>
      </c>
      <c r="C49" s="4" t="inlineStr">
        <is>
          <t>mrcs</t>
        </is>
      </c>
      <c r="D49" s="4" t="inlineStr">
        <is>
          <t>Expect gait adaptation to offset part of the scaling, so the effect is real and smaller than pure arithmetic.</t>
        </is>
      </c>
      <c r="E49" s="4" t="inlineStr"/>
      <c r="F49" s="4" t="inlineStr"/>
      <c r="G49" s="4" t="inlineStr"/>
    </row>
    <row r="50">
      <c r="A50" s="4" t="inlineStr">
        <is>
          <t>3.5.7-P2</t>
        </is>
      </c>
      <c r="B50" s="4" t="inlineStr">
        <is>
          <t>3.5.7</t>
        </is>
      </c>
      <c r="C50" s="4" t="inlineStr">
        <is>
          <t>mrcs</t>
        </is>
      </c>
      <c r="D50" s="4" t="inlineStr">
        <is>
          <t>Address alignment alongside weight, since it decides where the amplified load falls.</t>
        </is>
      </c>
      <c r="E50" s="4" t="inlineStr"/>
      <c r="F50" s="4" t="inlineStr"/>
      <c r="G50" s="4" t="inlineStr"/>
    </row>
    <row r="51">
      <c r="A51" s="4" t="inlineStr">
        <is>
          <t>3.5.7-P3</t>
        </is>
      </c>
      <c r="B51" s="4" t="inlineStr">
        <is>
          <t>3.5.7</t>
        </is>
      </c>
      <c r="C51" s="4" t="inlineStr">
        <is>
          <t>mrcs</t>
        </is>
      </c>
      <c r="D51" s="4" t="inlineStr">
        <is>
          <t>State that mechanical and metabolic effects both operate and cannot be separated in an individual.</t>
        </is>
      </c>
      <c r="E51" s="4" t="inlineStr"/>
      <c r="F51" s="4" t="inlineStr"/>
      <c r="G51" s="4" t="inlineStr"/>
    </row>
    <row r="52">
      <c r="A52" s="4" t="inlineStr">
        <is>
          <t>3.5.7-P4</t>
        </is>
      </c>
      <c r="B52" s="4" t="inlineStr">
        <is>
          <t>3.5.7</t>
        </is>
      </c>
      <c r="C52" s="4" t="inlineStr">
        <is>
          <t>frcs</t>
        </is>
      </c>
      <c r="D52" s="4" t="inlineStr">
        <is>
          <t>Treat mass as a mechanical variable with the largest achievable effect size and the lowest achievement rate, which is an uncomfortable combination rather than a reason to leave it out.</t>
        </is>
      </c>
      <c r="E52" s="4" t="inlineStr"/>
      <c r="F52" s="4" t="inlineStr"/>
      <c r="G52" s="4" t="inlineStr"/>
    </row>
    <row r="53">
      <c r="A53" s="4" t="inlineStr">
        <is>
          <t>3.5.7-P5</t>
        </is>
      </c>
      <c r="B53" s="4" t="inlineStr">
        <is>
          <t>3.5.7</t>
        </is>
      </c>
      <c r="C53" s="4" t="inlineStr">
        <is>
          <t>frcs</t>
        </is>
      </c>
      <c r="D53" s="4" t="inlineStr">
        <is>
          <t>Discuss mass as a mechanical factor in construct survival, with the registry evidence named.</t>
        </is>
      </c>
      <c r="E53" s="4" t="inlineStr"/>
      <c r="F53" s="4" t="inlineStr"/>
      <c r="G53" s="4" t="inlineStr"/>
    </row>
    <row r="54">
      <c r="A54" s="4" t="inlineStr">
        <is>
          <t>3.5.7-P6</t>
        </is>
      </c>
      <c r="B54" s="4" t="inlineStr">
        <is>
          <t>3.5.7</t>
        </is>
      </c>
      <c r="C54" s="4" t="inlineStr">
        <is>
          <t>frcs</t>
        </is>
      </c>
      <c r="D54" s="4" t="inlineStr">
        <is>
          <t>Correct alignment in a heavier patient, since the amplified load needs directing.</t>
        </is>
      </c>
      <c r="E54" s="4" t="inlineStr"/>
      <c r="F54" s="4" t="inlineStr"/>
      <c r="G54" s="4" t="inlineStr"/>
    </row>
    <row r="55">
      <c r="A55" s="4" t="inlineStr">
        <is>
          <t>3.5.7-P7</t>
        </is>
      </c>
      <c r="B55" s="4" t="inlineStr">
        <is>
          <t>3.5.7</t>
        </is>
      </c>
      <c r="C55" s="4" t="inlineStr">
        <is>
          <t>frcs</t>
        </is>
      </c>
      <c r="D55" s="4" t="inlineStr">
        <is>
          <t>Use the association for counselling rather than as an exclusion, since it does not predict an individual.</t>
        </is>
      </c>
      <c r="E55" s="4" t="inlineStr"/>
      <c r="F55" s="4" t="inlineStr"/>
      <c r="G55" s="4" t="inlineStr"/>
    </row>
    <row r="56">
      <c r="A56" s="4" t="inlineStr">
        <is>
          <t>3.5.8-P1</t>
        </is>
      </c>
      <c r="B56" s="4" t="inlineStr">
        <is>
          <t>3.5.8</t>
        </is>
      </c>
      <c r="C56" s="4" t="inlineStr">
        <is>
          <t>mrcs</t>
        </is>
      </c>
      <c r="D56" s="4" t="inlineStr">
        <is>
          <t>Treat a chronically deficient knee as mechanically different from an acutely injured one, not simply as a later stage.</t>
        </is>
      </c>
      <c r="E56" s="4" t="inlineStr"/>
      <c r="F56" s="4" t="inlineStr"/>
      <c r="G56" s="4" t="inlineStr"/>
    </row>
    <row r="57">
      <c r="A57" s="4" t="inlineStr">
        <is>
          <t>3.5.8-P2</t>
        </is>
      </c>
      <c r="B57" s="4" t="inlineStr">
        <is>
          <t>3.5.8</t>
        </is>
      </c>
      <c r="C57" s="4" t="inlineStr">
        <is>
          <t>mrcs</t>
        </is>
      </c>
      <c r="D57" s="4" t="inlineStr">
        <is>
          <t>Measure slope where translation is larger than the injury explains.</t>
        </is>
      </c>
      <c r="E57" s="4" t="inlineStr"/>
      <c r="F57" s="4" t="inlineStr"/>
      <c r="G57" s="4" t="inlineStr"/>
    </row>
    <row r="58">
      <c r="A58" s="4" t="inlineStr">
        <is>
          <t>3.5.8-P3</t>
        </is>
      </c>
      <c r="B58" s="4" t="inlineStr">
        <is>
          <t>3.5.8</t>
        </is>
      </c>
      <c r="C58" s="4" t="inlineStr">
        <is>
          <t>frcs</t>
        </is>
      </c>
      <c r="D58" s="4" t="inlineStr">
        <is>
          <t>Treat the contact shift as the mechanical account of post-traumatic degeneration after cruciate injury, and treat it as only partly addressable.</t>
        </is>
      </c>
      <c r="E58" s="4" t="inlineStr"/>
      <c r="F58" s="4" t="inlineStr"/>
      <c r="G58" s="4" t="inlineStr"/>
    </row>
    <row r="59">
      <c r="A59" s="4" t="inlineStr">
        <is>
          <t>3.5.8-P4</t>
        </is>
      </c>
      <c r="B59" s="4" t="inlineStr">
        <is>
          <t>3.5.8</t>
        </is>
      </c>
      <c r="C59" s="4" t="inlineStr">
        <is>
          <t>frcs</t>
        </is>
      </c>
      <c r="D59" s="4" t="inlineStr">
        <is>
          <t>It restores stability reliably and contact position partially, so counselling about long term joint health should not rest on the first achievement alone.</t>
        </is>
      </c>
      <c r="E59" s="4" t="inlineStr"/>
      <c r="F59" s="4" t="inlineStr"/>
      <c r="G59" s="4" t="inlineStr"/>
    </row>
    <row r="60">
      <c r="A60" s="4" t="inlineStr">
        <is>
          <t>3.5.8-P5</t>
        </is>
      </c>
      <c r="B60" s="4" t="inlineStr">
        <is>
          <t>3.5.8</t>
        </is>
      </c>
      <c r="C60" s="4" t="inlineStr">
        <is>
          <t>frcs</t>
        </is>
      </c>
      <c r="D60" s="4" t="inlineStr">
        <is>
          <t>Repair a ramp lesion alongside reconstruction, on secondary restraint grounds.</t>
        </is>
      </c>
      <c r="E60" s="4" t="inlineStr"/>
      <c r="F60" s="4" t="inlineStr"/>
      <c r="G60" s="4" t="inlineStr"/>
    </row>
    <row r="61">
      <c r="A61" s="4" t="inlineStr">
        <is>
          <t>3.5.8-P6</t>
        </is>
      </c>
      <c r="B61" s="4" t="inlineStr">
        <is>
          <t>3.5.8</t>
        </is>
      </c>
      <c r="C61" s="4" t="inlineStr">
        <is>
          <t>frcs</t>
        </is>
      </c>
      <c r="D61" s="4" t="inlineStr">
        <is>
          <t>Measure slope in revision and in a graft that failed without a new injury.</t>
        </is>
      </c>
      <c r="E61" s="4" t="inlineStr"/>
      <c r="F61" s="4" t="inlineStr"/>
      <c r="G61" s="4" t="inlineStr"/>
    </row>
    <row r="62">
      <c r="A62" s="4" t="inlineStr">
        <is>
          <t>3.5.8-P7</t>
        </is>
      </c>
      <c r="B62" s="4" t="inlineStr">
        <is>
          <t>3.5.8</t>
        </is>
      </c>
      <c r="C62" s="4" t="inlineStr">
        <is>
          <t>frcs</t>
        </is>
      </c>
      <c r="D62" s="4" t="inlineStr">
        <is>
          <t>Counsel that stability and long term joint health are different outcomes.</t>
        </is>
      </c>
      <c r="E62" s="4" t="inlineStr"/>
      <c r="F62" s="4" t="inlineStr"/>
      <c r="G62" s="4" t="inlineStr"/>
    </row>
    <row r="63">
      <c r="A63" s="4" t="inlineStr">
        <is>
          <t>3.5.9-P1</t>
        </is>
      </c>
      <c r="B63" s="4" t="inlineStr">
        <is>
          <t>3.5.9</t>
        </is>
      </c>
      <c r="C63" s="4" t="inlineStr">
        <is>
          <t>medical_student</t>
        </is>
      </c>
      <c r="D63" s="4" t="inlineStr">
        <is>
          <t>Repair where the tear allows it preserves the ring and therefore the pressure.</t>
        </is>
      </c>
      <c r="E63" s="4" t="inlineStr"/>
      <c r="F63" s="4" t="inlineStr"/>
      <c r="G63" s="4" t="inlineStr"/>
    </row>
    <row r="64">
      <c r="A64" s="4" t="inlineStr">
        <is>
          <t>3.5.9-P2</t>
        </is>
      </c>
      <c r="B64" s="4" t="inlineStr">
        <is>
          <t>3.5.9</t>
        </is>
      </c>
      <c r="C64" s="4" t="inlineStr">
        <is>
          <t>mrcs</t>
        </is>
      </c>
      <c r="D64" s="4" t="inlineStr">
        <is>
          <t>Resect the minimum the tear requires, and record what was resected.</t>
        </is>
      </c>
      <c r="E64" s="4" t="inlineStr"/>
      <c r="F64" s="4" t="inlineStr"/>
      <c r="G64" s="4" t="inlineStr"/>
    </row>
    <row r="65">
      <c r="A65" s="4" t="inlineStr">
        <is>
          <t>3.5.9-P3</t>
        </is>
      </c>
      <c r="B65" s="4" t="inlineStr">
        <is>
          <t>3.5.9</t>
        </is>
      </c>
      <c r="C65" s="4" t="inlineStr">
        <is>
          <t>mrcs</t>
        </is>
      </c>
      <c r="D65" s="4" t="inlineStr">
        <is>
          <t>Treat a young lateral meniscectomy as the worst mechanical combination and counsel accordingly.</t>
        </is>
      </c>
      <c r="E65" s="4" t="inlineStr"/>
      <c r="F65" s="4" t="inlineStr"/>
      <c r="G65" s="4" t="inlineStr"/>
    </row>
    <row r="66">
      <c r="A66" s="4" t="inlineStr">
        <is>
          <t>3.5.9-P4</t>
        </is>
      </c>
      <c r="B66" s="4" t="inlineStr">
        <is>
          <t>3.5.9</t>
        </is>
      </c>
      <c r="C66" s="4" t="inlineStr">
        <is>
          <t>frcs</t>
        </is>
      </c>
      <c r="D66" s="4" t="inlineStr">
        <is>
          <t>Treat the dose response as the mechanical justification for the shift from resection to repair, and note that the shift was mechanically predicted before it was clinically demonstrated.</t>
        </is>
      </c>
      <c r="E66" s="4" t="inlineStr"/>
      <c r="F66" s="4" t="inlineStr"/>
      <c r="G66" s="4" t="inlineStr"/>
    </row>
    <row r="67">
      <c r="A67" s="4" t="inlineStr">
        <is>
          <t>3.5.9-P5</t>
        </is>
      </c>
      <c r="B67" s="4" t="inlineStr">
        <is>
          <t>3.5.9</t>
        </is>
      </c>
      <c r="C67" s="4" t="inlineStr">
        <is>
          <t>frcs</t>
        </is>
      </c>
      <c r="D67" s="4" t="inlineStr">
        <is>
          <t>Repair rather than resect wherever the ring can be restored, in a young patient above all.</t>
        </is>
      </c>
      <c r="E67" s="4" t="inlineStr"/>
      <c r="F67" s="4" t="inlineStr"/>
      <c r="G67" s="4" t="inlineStr"/>
    </row>
    <row r="68">
      <c r="A68" s="4" t="inlineStr">
        <is>
          <t>3.5.9-P6</t>
        </is>
      </c>
      <c r="B68" s="4" t="inlineStr">
        <is>
          <t>3.5.9</t>
        </is>
      </c>
      <c r="C68" s="4" t="inlineStr">
        <is>
          <t>frcs</t>
        </is>
      </c>
      <c r="D68" s="4" t="inlineStr">
        <is>
          <t>Offer transplantation for symptoms with an honest account of its cartilage protection evidence.</t>
        </is>
      </c>
      <c r="E68" s="4" t="inlineStr"/>
      <c r="F68" s="4" t="inlineStr"/>
      <c r="G68" s="4" t="inlineStr"/>
    </row>
    <row r="69">
      <c r="A69" s="4" t="inlineStr">
        <is>
          <t>3.5.9-P7</t>
        </is>
      </c>
      <c r="B69" s="4" t="inlineStr">
        <is>
          <t>3.5.9</t>
        </is>
      </c>
      <c r="C69" s="4" t="inlineStr">
        <is>
          <t>frcs</t>
        </is>
      </c>
      <c r="D69" s="4" t="inlineStr">
        <is>
          <t>Correct alignment in a meniscus deficient compartment before expecting any restoration to hold.</t>
        </is>
      </c>
      <c r="E69" s="4" t="inlineStr"/>
      <c r="F69" s="4" t="inlineStr"/>
      <c r="G69" s="4" t="inlineStr"/>
    </row>
    <row r="70">
      <c r="A70" s="4" t="inlineStr">
        <is>
          <t>3.5.9-P8</t>
        </is>
      </c>
      <c r="B70" s="4" t="inlineStr">
        <is>
          <t>3.5.9</t>
        </is>
      </c>
      <c r="C70" s="4" t="inlineStr">
        <is>
          <t>frcs</t>
        </is>
      </c>
      <c r="D70" s="4" t="inlineStr">
        <is>
          <t>Record the resection precisely, since the next surgeon's options depend on it.</t>
        </is>
      </c>
      <c r="E70" s="4" t="inlineStr"/>
      <c r="F70" s="4" t="inlineStr"/>
      <c r="G70" s="4" t="inlineStr"/>
    </row>
    <row r="71">
      <c r="A71" s="4" t="inlineStr">
        <is>
          <t>3.5.10-P1</t>
        </is>
      </c>
      <c r="B71" s="4" t="inlineStr">
        <is>
          <t>3.5.10</t>
        </is>
      </c>
      <c r="C71" s="4" t="inlineStr">
        <is>
          <t>mrcs</t>
        </is>
      </c>
      <c r="D71" s="4" t="inlineStr">
        <is>
          <t>Plan to a mechanical axis target rather than a correction angle alone.</t>
        </is>
      </c>
      <c r="E71" s="4" t="inlineStr"/>
      <c r="F71" s="4" t="inlineStr"/>
      <c r="G71" s="4" t="inlineStr"/>
    </row>
    <row r="72">
      <c r="A72" s="4" t="inlineStr">
        <is>
          <t>3.5.10-P2</t>
        </is>
      </c>
      <c r="B72" s="4" t="inlineStr">
        <is>
          <t>3.5.10</t>
        </is>
      </c>
      <c r="C72" s="4" t="inlineStr">
        <is>
          <t>mrcs</t>
        </is>
      </c>
      <c r="D72" s="4" t="inlineStr">
        <is>
          <t>Assess the receiving compartment before correcting load into it.</t>
        </is>
      </c>
      <c r="E72" s="4" t="inlineStr"/>
      <c r="F72" s="4" t="inlineStr"/>
      <c r="G72" s="4" t="inlineStr"/>
    </row>
    <row r="73">
      <c r="A73" s="4" t="inlineStr">
        <is>
          <t>3.5.10-P3</t>
        </is>
      </c>
      <c r="B73" s="4" t="inlineStr">
        <is>
          <t>3.5.10</t>
        </is>
      </c>
      <c r="C73" s="4" t="inlineStr">
        <is>
          <t>mrcs</t>
        </is>
      </c>
      <c r="D73" s="4" t="inlineStr">
        <is>
          <t>Confirm the achieved axis radiographically, since the plan and the result can differ.</t>
        </is>
      </c>
      <c r="E73" s="4" t="inlineStr"/>
      <c r="F73" s="4" t="inlineStr"/>
      <c r="G73" s="4" t="inlineStr"/>
    </row>
    <row r="74">
      <c r="A74" s="4" t="inlineStr">
        <is>
          <t>3.5.10-P4</t>
        </is>
      </c>
      <c r="B74" s="4" t="inlineStr">
        <is>
          <t>3.5.10</t>
        </is>
      </c>
      <c r="C74" s="4" t="inlineStr">
        <is>
          <t>frcs</t>
        </is>
      </c>
      <c r="D74" s="4" t="inlineStr">
        <is>
          <t>Treat osteotomy as the mechanical foundation that other procedures are built on, rather than as an alternative to them.</t>
        </is>
      </c>
      <c r="E74" s="4" t="inlineStr"/>
      <c r="F74" s="4" t="inlineStr"/>
      <c r="G74" s="4" t="inlineStr"/>
    </row>
    <row r="75">
      <c r="A75" s="4" t="inlineStr">
        <is>
          <t>3.5.10-P5</t>
        </is>
      </c>
      <c r="B75" s="4" t="inlineStr">
        <is>
          <t>3.5.10</t>
        </is>
      </c>
      <c r="C75" s="4" t="inlineStr">
        <is>
          <t>frcs</t>
        </is>
      </c>
      <c r="D75" s="4" t="inlineStr">
        <is>
          <t>Correct alignment as the foundation for cartilage and meniscal work rather than as an alternative.</t>
        </is>
      </c>
      <c r="E75" s="4" t="inlineStr"/>
      <c r="F75" s="4" t="inlineStr"/>
      <c r="G75" s="4" t="inlineStr"/>
    </row>
    <row r="76">
      <c r="A76" s="4" t="inlineStr">
        <is>
          <t>3.5.10-P6</t>
        </is>
      </c>
      <c r="B76" s="4" t="inlineStr">
        <is>
          <t>3.5.10</t>
        </is>
      </c>
      <c r="C76" s="4" t="inlineStr">
        <is>
          <t>frcs</t>
        </is>
      </c>
      <c r="D76" s="4" t="inlineStr">
        <is>
          <t>Localise the deformity before correcting, and confirm the achieved axis afterwards.</t>
        </is>
      </c>
      <c r="E76" s="4" t="inlineStr"/>
      <c r="F76" s="4" t="inlineStr"/>
      <c r="G76" s="4" t="inlineStr"/>
    </row>
    <row r="77">
      <c r="A77" s="4" t="inlineStr">
        <is>
          <t>3.5.10-P7</t>
        </is>
      </c>
      <c r="B77" s="4" t="inlineStr">
        <is>
          <t>3.5.10</t>
        </is>
      </c>
      <c r="C77" s="4" t="inlineStr">
        <is>
          <t>frcs</t>
        </is>
      </c>
      <c r="D77" s="4" t="inlineStr">
        <is>
          <t>Counsel that the correction changes any later arthroplasty.</t>
        </is>
      </c>
      <c r="E77" s="4" t="inlineStr"/>
      <c r="F77" s="4" t="inlineStr"/>
      <c r="G77" s="4" t="inlineStr"/>
    </row>
    <row r="78">
      <c r="A78" s="4" t="inlineStr">
        <is>
          <t>3.5.10-P8</t>
        </is>
      </c>
      <c r="B78" s="4" t="inlineStr">
        <is>
          <t>3.5.10</t>
        </is>
      </c>
      <c r="C78" s="4" t="inlineStr">
        <is>
          <t>frcs</t>
        </is>
      </c>
      <c r="D78" s="4" t="inlineStr">
        <is>
          <t>Treat slope correction as a separate operation with its own indication.</t>
        </is>
      </c>
      <c r="E78" s="4" t="inlineStr"/>
      <c r="F78" s="4" t="inlineStr"/>
      <c r="G78" s="4" t="inlineStr"/>
    </row>
  </sheetData>
  <dataValidations count="1">
    <dataValidation sqref="E3:E78" showDropDown="0" showInputMessage="0" showErrorMessage="0" allowBlank="1" errorTitle="Not an allowed decision" error="Use one of: CONFIRMED, AMENDED, WITHDRAWN, NOT_CLINICAL" type="list">
      <formula1>"CONFIRMED,AMENDED,WITHDRAWN,NOT_CLINICAL"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0"/>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16" customWidth="1" min="3" max="3"/>
    <col width="24" customWidth="1" min="4" max="4"/>
    <col width="80" customWidth="1" min="5" max="5"/>
    <col width="16" customWidth="1" min="6" max="6"/>
    <col width="36" customWidth="1" min="7" max="7"/>
    <col width="36" customWidth="1" min="8" max="8"/>
  </cols>
  <sheetData>
    <row r="1">
      <c r="A1" s="5" t="inlineStr">
        <is>
          <t>Ref</t>
        </is>
      </c>
      <c r="B1" s="5" t="inlineStr">
        <is>
          <t>Page</t>
        </is>
      </c>
      <c r="C1" s="5" t="inlineStr">
        <is>
          <t>Tier</t>
        </is>
      </c>
      <c r="D1" s="5" t="inlineStr">
        <is>
          <t>Figure</t>
        </is>
      </c>
      <c r="E1" s="5" t="inlineStr">
        <is>
          <t>The sentence it supports</t>
        </is>
      </c>
      <c r="F1" s="5" t="inlineStr">
        <is>
          <t>Decision</t>
        </is>
      </c>
      <c r="G1" s="5" t="inlineStr">
        <is>
          <t>Source</t>
        </is>
      </c>
      <c r="H1" s="5" t="inlineStr">
        <is>
          <t>Note</t>
        </is>
      </c>
    </row>
    <row r="2">
      <c r="A2" s="7" t="inlineStr">
        <is>
          <t>EXAMPLE</t>
        </is>
      </c>
      <c r="B2" s="7" t="inlineStr">
        <is>
          <t>0.0.0</t>
        </is>
      </c>
      <c r="C2" s="7" t="inlineStr">
        <is>
          <t>mrcs</t>
        </is>
      </c>
      <c r="D2" s="7" t="inlineStr">
        <is>
          <t>20 to 30 degrees</t>
        </is>
      </c>
      <c r="E2" s="7" t="inlineStr">
        <is>
          <t>This row shows the expected format and is ignored when the pack is read back.</t>
        </is>
      </c>
      <c r="F2" s="7" t="inlineStr">
        <is>
          <t>VERIFIED</t>
        </is>
      </c>
      <c r="G2" s="7" t="inlineStr">
        <is>
          <t>Author, title, edition, chapter</t>
        </is>
      </c>
      <c r="H2" s="7" t="inlineStr"/>
    </row>
    <row r="3">
      <c r="A3" s="4" t="inlineStr">
        <is>
          <t>3.5.1-F1</t>
        </is>
      </c>
      <c r="B3" s="4" t="inlineStr">
        <is>
          <t>3.5.1</t>
        </is>
      </c>
      <c r="C3" s="4" t="inlineStr">
        <is>
          <t>medical_student</t>
        </is>
      </c>
      <c r="D3" s="4" t="inlineStr">
        <is>
          <t>1000</t>
        </is>
      </c>
      <c r="E3" s="4" t="inlineStr">
        <is>
          <t>Conventional teaching gives total tibiofemoral contact area in the loaded, extended knee as roughly 1000 to 1200 square millimetres, with the menisci carrying a substantial share of that.</t>
        </is>
      </c>
      <c r="F3" s="4" t="inlineStr"/>
      <c r="G3" s="4" t="inlineStr"/>
      <c r="H3" s="4" t="inlineStr"/>
    </row>
    <row r="4">
      <c r="A4" s="4" t="inlineStr">
        <is>
          <t>3.5.1-F2</t>
        </is>
      </c>
      <c r="B4" s="4" t="inlineStr">
        <is>
          <t>3.5.1</t>
        </is>
      </c>
      <c r="C4" s="4" t="inlineStr">
        <is>
          <t>medical_student</t>
        </is>
      </c>
      <c r="D4" s="4" t="inlineStr">
        <is>
          <t>1200</t>
        </is>
      </c>
      <c r="E4" s="4" t="inlineStr">
        <is>
          <t>Conventional teaching gives total tibiofemoral contact area in the loaded, extended knee as roughly 1000 to 1200 square millimetres, with the menisci carrying a substantial share of that.</t>
        </is>
      </c>
      <c r="F4" s="4" t="inlineStr"/>
      <c r="G4" s="4" t="inlineStr"/>
      <c r="H4" s="4" t="inlineStr"/>
    </row>
    <row r="5">
      <c r="A5" s="4" t="inlineStr">
        <is>
          <t>3.5.2-F1</t>
        </is>
      </c>
      <c r="B5" s="4" t="inlineStr">
        <is>
          <t>3.5.2</t>
        </is>
      </c>
      <c r="C5" s="4" t="inlineStr">
        <is>
          <t>mrcs</t>
        </is>
      </c>
      <c r="D5" s="4" t="inlineStr">
        <is>
          <t>15</t>
        </is>
      </c>
      <c r="E5" s="4" t="inlineStr">
        <is>
          <t>Conventional teaching puts normal peak contact stress in daily activity in the low megapascal range, and cadaveric work places the threshold for cartilage matrix damage from a single impact considerably higher, commonly quoted around 15 to 20 megapascals.</t>
        </is>
      </c>
      <c r="F5" s="4" t="inlineStr"/>
      <c r="G5" s="4" t="inlineStr"/>
      <c r="H5" s="4" t="inlineStr"/>
    </row>
    <row r="6">
      <c r="A6" s="4" t="inlineStr">
        <is>
          <t>3.5.2-F2</t>
        </is>
      </c>
      <c r="B6" s="4" t="inlineStr">
        <is>
          <t>3.5.2</t>
        </is>
      </c>
      <c r="C6" s="4" t="inlineStr">
        <is>
          <t>mrcs</t>
        </is>
      </c>
      <c r="D6" s="4" t="inlineStr">
        <is>
          <t>20</t>
        </is>
      </c>
      <c r="E6" s="4" t="inlineStr">
        <is>
          <t>Conventional teaching puts normal peak contact stress in daily activity in the low megapascal range, and cadaveric work places the threshold for cartilage matrix damage from a single impact considerably higher, commonly quoted around 15 to 20 megapascals.</t>
        </is>
      </c>
      <c r="F6" s="4" t="inlineStr"/>
      <c r="G6" s="4" t="inlineStr"/>
      <c r="H6" s="4" t="inlineStr"/>
    </row>
    <row r="7">
      <c r="A7" s="4" t="inlineStr">
        <is>
          <t>3.5.3-F1</t>
        </is>
      </c>
      <c r="B7" s="4" t="inlineStr">
        <is>
          <t>3.5.3</t>
        </is>
      </c>
      <c r="C7" s="4" t="inlineStr">
        <is>
          <t>medical_student</t>
        </is>
      </c>
      <c r="D7" s="4" t="inlineStr">
        <is>
          <t>60 per cent</t>
        </is>
      </c>
      <c r="E7" s="4" t="inlineStr">
        <is>
          <t>Conventional teaching gives the medial compartment around 60 per cent of tibiofemoral load in a normally aligned knee, with the lateral taking the remainder.</t>
        </is>
      </c>
      <c r="F7" s="4" t="inlineStr"/>
      <c r="G7" s="4" t="inlineStr"/>
      <c r="H7" s="4" t="inlineStr"/>
    </row>
    <row r="8">
      <c r="A8" s="4" t="inlineStr">
        <is>
          <t>3.5.3-F2</t>
        </is>
      </c>
      <c r="B8" s="4" t="inlineStr">
        <is>
          <t>3.5.3</t>
        </is>
      </c>
      <c r="C8" s="4" t="inlineStr">
        <is>
          <t>mrcs</t>
        </is>
      </c>
      <c r="D8" s="4" t="inlineStr">
        <is>
          <t>60 to 70 per cent</t>
        </is>
      </c>
      <c r="E8" s="4" t="inlineStr">
        <is>
          <t>Conventional teaching gives a medial share of roughly 60 to 70 per cent in a normally aligned knee under static load, and the figure rises with varus.</t>
        </is>
      </c>
      <c r="F8" s="4" t="inlineStr"/>
      <c r="G8" s="4" t="inlineStr"/>
      <c r="H8" s="4" t="inlineStr"/>
    </row>
    <row r="9">
      <c r="A9" s="4" t="inlineStr">
        <is>
          <t>3.5.4-F1</t>
        </is>
      </c>
      <c r="B9" s="4" t="inlineStr">
        <is>
          <t>3.5.4</t>
        </is>
      </c>
      <c r="C9" s="4" t="inlineStr">
        <is>
          <t>mrcs</t>
        </is>
      </c>
      <c r="D9" s="4" t="inlineStr">
        <is>
          <t>90 degrees</t>
        </is>
      </c>
      <c r="E9" s="4" t="inlineStr">
        <is>
          <t>Conventional teaching places the steepest changes beyond roughly 90 degrees, where the posterior condyles are fully engaged.</t>
        </is>
      </c>
      <c r="F9" s="4" t="inlineStr"/>
      <c r="G9" s="4" t="inlineStr"/>
      <c r="H9" s="4" t="inlineStr"/>
    </row>
    <row r="10">
      <c r="A10" s="4" t="inlineStr">
        <is>
          <t>3.5.5-F1</t>
        </is>
      </c>
      <c r="B10" s="4" t="inlineStr">
        <is>
          <t>3.5.5</t>
        </is>
      </c>
      <c r="C10" s="4" t="inlineStr">
        <is>
          <t>mrcs</t>
        </is>
      </c>
      <c r="D10" s="4" t="inlineStr">
        <is>
          <t>50 to 70 per cent</t>
        </is>
      </c>
      <c r="E10" s="4" t="inlineStr">
        <is>
          <t>Conventional teaching gives contact area reduction after total meniscectomy as roughly 50 to 70 per cent and peak contact stress increase as roughly two to threefold, from cadaveric contact studies.</t>
        </is>
      </c>
      <c r="F10" s="4" t="inlineStr"/>
      <c r="G10" s="4" t="inlineStr"/>
      <c r="H10" s="4" t="inlineStr"/>
    </row>
  </sheetData>
  <dataValidations count="1">
    <dataValidation sqref="F3:F10" showDropDown="0" showInputMessage="0" showErrorMessage="0" allowBlank="1" errorTitle="Not an allowed decision" error="Use one of: VERIFIED, CORRECTED, REMOVED" type="list">
      <formula1>"VERIFIED,CORRECTED,REMOVED"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11"/>
  <sheetViews>
    <sheetView workbookViewId="0">
      <pane ySplit="1" topLeftCell="A2" activePane="bottomLeft" state="frozen"/>
      <selection pane="bottomLeft" activeCell="A1" sqref="A1"/>
    </sheetView>
  </sheetViews>
  <sheetFormatPr baseColWidth="8" defaultRowHeight="15"/>
  <cols>
    <col width="26" customWidth="1" min="1" max="1"/>
    <col width="18" customWidth="1" min="2" max="2"/>
    <col width="18" customWidth="1" min="3" max="3"/>
  </cols>
  <sheetData>
    <row r="1">
      <c r="A1" s="5" t="inlineStr"/>
      <c r="B1" s="5" t="inlineStr">
        <is>
          <t>Recommendations</t>
        </is>
      </c>
      <c r="C1" s="5" t="inlineStr">
        <is>
          <t>Measurements</t>
        </is>
      </c>
    </row>
    <row r="2">
      <c r="A2" s="2" t="inlineStr">
        <is>
          <t>Rows to decide</t>
        </is>
      </c>
      <c r="B2" s="3">
        <f>76</f>
        <v/>
      </c>
      <c r="C2" s="3">
        <f>8</f>
        <v/>
      </c>
    </row>
    <row r="3">
      <c r="A3" s="2" t="inlineStr">
        <is>
          <t>Decided</t>
        </is>
      </c>
      <c r="B3" s="3">
        <f>COUNTIF(Recommendations!E3:E78,"&lt;&gt;")</f>
        <v/>
      </c>
      <c r="C3" s="3">
        <f>COUNTIF(Measurements!F3:F10,"&lt;&gt;")</f>
        <v/>
      </c>
    </row>
    <row r="4">
      <c r="A4" s="2" t="inlineStr">
        <is>
          <t>Still blank</t>
        </is>
      </c>
      <c r="B4" s="3">
        <f>B2-B3</f>
        <v/>
      </c>
      <c r="C4" s="3">
        <f>C2-C3</f>
        <v/>
      </c>
    </row>
    <row r="5">
      <c r="A5" s="2" t="inlineStr">
        <is>
          <t>CONFIRMED</t>
        </is>
      </c>
      <c r="B5" s="3">
        <f>COUNTIF(Recommendations!E3:E78,"CONFIRMED")</f>
        <v/>
      </c>
      <c r="C5" s="3" t="inlineStr"/>
    </row>
    <row r="6">
      <c r="A6" s="2" t="inlineStr">
        <is>
          <t>AMENDED</t>
        </is>
      </c>
      <c r="B6" s="3">
        <f>COUNTIF(Recommendations!E3:E78,"AMENDED")</f>
        <v/>
      </c>
      <c r="C6" s="3" t="inlineStr"/>
    </row>
    <row r="7">
      <c r="A7" s="2" t="inlineStr">
        <is>
          <t>WITHDRAWN</t>
        </is>
      </c>
      <c r="B7" s="3">
        <f>COUNTIF(Recommendations!E3:E78,"WITHDRAWN")</f>
        <v/>
      </c>
      <c r="C7" s="3" t="inlineStr"/>
    </row>
    <row r="8">
      <c r="A8" s="2" t="inlineStr">
        <is>
          <t>NOT_CLINICAL</t>
        </is>
      </c>
      <c r="B8" s="3">
        <f>COUNTIF(Recommendations!E3:E78,"NOT_CLINICAL")</f>
        <v/>
      </c>
      <c r="C8" s="3" t="inlineStr"/>
    </row>
    <row r="9">
      <c r="A9" s="2" t="inlineStr">
        <is>
          <t>VERIFIED</t>
        </is>
      </c>
      <c r="B9" s="3" t="inlineStr"/>
      <c r="C9" s="3">
        <f>COUNTIF(Measurements!F3:F10,"VERIFIED")</f>
        <v/>
      </c>
    </row>
    <row r="10">
      <c r="A10" s="2" t="inlineStr">
        <is>
          <t>CORRECTED</t>
        </is>
      </c>
      <c r="B10" s="3" t="inlineStr"/>
      <c r="C10" s="3">
        <f>COUNTIF(Measurements!F3:F10,"CORRECTED")</f>
        <v/>
      </c>
    </row>
    <row r="11">
      <c r="A11" s="2" t="inlineStr">
        <is>
          <t>REMOVED</t>
        </is>
      </c>
      <c r="B11" s="3" t="inlineStr"/>
      <c r="C11" s="3">
        <f>COUNTIF(Measurements!F3:F10,"REMOVED")</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2026-10-10T12:34:04Z</dcterms:created>
  <dcterms:modified xmlns:dcterms="http://purl.org/dc/terms/" xmlns:xsi="http://www.w3.org/2001/XMLSchema-instance" xsi:type="dcterms:W3CDTF">2026-10-10T12:34:04Z</dcterms:modified>
</cp:coreProperties>
</file>