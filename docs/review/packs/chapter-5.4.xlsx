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5.4 Ultrasound of the Knee</t>
        </is>
      </c>
    </row>
    <row r="3">
      <c r="A3" s="2" t="inlineStr">
        <is>
          <t>Section</t>
        </is>
      </c>
      <c r="B3" s="3" t="inlineStr">
        <is>
          <t>5</t>
        </is>
      </c>
    </row>
    <row r="4">
      <c r="A4" s="2" t="inlineStr">
        <is>
          <t>Chapter</t>
        </is>
      </c>
      <c r="B4" s="3" t="inlineStr">
        <is>
          <t>5.4 Ultrasound of the Knee</t>
        </is>
      </c>
    </row>
    <row r="5">
      <c r="A5" s="2" t="inlineStr">
        <is>
          <t>Pages</t>
        </is>
      </c>
      <c r="B5" s="3" t="n">
        <v>20</v>
      </c>
    </row>
    <row r="6">
      <c r="A6" s="2" t="inlineStr">
        <is>
          <t>Page type</t>
        </is>
      </c>
      <c r="B6" s="3" t="inlineStr">
        <is>
          <t>imaging</t>
        </is>
      </c>
    </row>
    <row r="7">
      <c r="A7" s="2" t="inlineStr">
        <is>
          <t>Tiers</t>
        </is>
      </c>
      <c r="B7" s="3" t="inlineStr">
        <is>
          <t>medical student, mrcs, frcs, fellowship</t>
        </is>
      </c>
    </row>
    <row r="8">
      <c r="A8" s="2" t="inlineStr">
        <is>
          <t>Words</t>
        </is>
      </c>
      <c r="B8" s="3" t="inlineStr">
        <is>
          <t>25,608</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0</v>
      </c>
    </row>
    <row r="12">
      <c r="A12" s="2" t="inlineStr">
        <is>
          <t>Recommendations to sign</t>
        </is>
      </c>
      <c r="B12" s="3" t="n">
        <v>79</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5.4.1</t>
        </is>
      </c>
      <c r="B2" s="6" t="inlineStr">
        <is>
          <t>Anterior Knee</t>
        </is>
      </c>
      <c r="C2" s="6" t="n">
        <v>4</v>
      </c>
      <c r="D2" s="6" t="n">
        <v>1262</v>
      </c>
      <c r="E2" s="6" t="inlineStr">
        <is>
          <t>imaging/us-anterior-knee.html</t>
        </is>
      </c>
    </row>
    <row r="3">
      <c r="A3" s="6" t="inlineStr">
        <is>
          <t>5.4.2</t>
        </is>
      </c>
      <c r="B3" s="6" t="inlineStr">
        <is>
          <t>Medial Knee</t>
        </is>
      </c>
      <c r="C3" s="6" t="n">
        <v>4</v>
      </c>
      <c r="D3" s="6" t="n">
        <v>1298</v>
      </c>
      <c r="E3" s="6" t="inlineStr">
        <is>
          <t>imaging/us-medial-knee.html</t>
        </is>
      </c>
    </row>
    <row r="4">
      <c r="A4" s="6" t="inlineStr">
        <is>
          <t>5.4.3</t>
        </is>
      </c>
      <c r="B4" s="6" t="inlineStr">
        <is>
          <t>Lateral Knee</t>
        </is>
      </c>
      <c r="C4" s="6" t="n">
        <v>4</v>
      </c>
      <c r="D4" s="6" t="n">
        <v>1338</v>
      </c>
      <c r="E4" s="6" t="inlineStr">
        <is>
          <t>imaging/us-lateral-knee.html</t>
        </is>
      </c>
    </row>
    <row r="5">
      <c r="A5" s="6" t="inlineStr">
        <is>
          <t>5.4.4</t>
        </is>
      </c>
      <c r="B5" s="6" t="inlineStr">
        <is>
          <t>Posterior Knee</t>
        </is>
      </c>
      <c r="C5" s="6" t="n">
        <v>4</v>
      </c>
      <c r="D5" s="6" t="n">
        <v>1329</v>
      </c>
      <c r="E5" s="6" t="inlineStr">
        <is>
          <t>imaging/us-posterior-knee.html</t>
        </is>
      </c>
    </row>
    <row r="6">
      <c r="A6" s="6" t="inlineStr">
        <is>
          <t>5.4.5</t>
        </is>
      </c>
      <c r="B6" s="6" t="inlineStr">
        <is>
          <t>Quadriceps Tendon</t>
        </is>
      </c>
      <c r="C6" s="6" t="n">
        <v>4</v>
      </c>
      <c r="D6" s="6" t="n">
        <v>1238</v>
      </c>
      <c r="E6" s="6" t="inlineStr">
        <is>
          <t>imaging/us-quadriceps-tendon.html</t>
        </is>
      </c>
    </row>
    <row r="7">
      <c r="A7" s="6" t="inlineStr">
        <is>
          <t>5.4.6</t>
        </is>
      </c>
      <c r="B7" s="6" t="inlineStr">
        <is>
          <t>Patellar Tendon</t>
        </is>
      </c>
      <c r="C7" s="6" t="n">
        <v>4</v>
      </c>
      <c r="D7" s="6" t="n">
        <v>1225</v>
      </c>
      <c r="E7" s="6" t="inlineStr">
        <is>
          <t>imaging/us-patellar-tendon.html</t>
        </is>
      </c>
    </row>
    <row r="8">
      <c r="A8" s="6" t="inlineStr">
        <is>
          <t>5.4.7</t>
        </is>
      </c>
      <c r="B8" s="6" t="inlineStr">
        <is>
          <t>Hamstring Tendons</t>
        </is>
      </c>
      <c r="C8" s="6" t="n">
        <v>4</v>
      </c>
      <c r="D8" s="6" t="n">
        <v>1369</v>
      </c>
      <c r="E8" s="6" t="inlineStr">
        <is>
          <t>imaging/us-hamstring-tendons.html</t>
        </is>
      </c>
    </row>
    <row r="9">
      <c r="A9" s="6" t="inlineStr">
        <is>
          <t>5.4.8</t>
        </is>
      </c>
      <c r="B9" s="6" t="inlineStr">
        <is>
          <t>Popliteus Tendon</t>
        </is>
      </c>
      <c r="C9" s="6" t="n">
        <v>4</v>
      </c>
      <c r="D9" s="6" t="n">
        <v>1296</v>
      </c>
      <c r="E9" s="6" t="inlineStr">
        <is>
          <t>imaging/us-popliteus-tendon.html</t>
        </is>
      </c>
    </row>
    <row r="10">
      <c r="A10" s="6" t="inlineStr">
        <is>
          <t>5.4.9</t>
        </is>
      </c>
      <c r="B10" s="6" t="inlineStr">
        <is>
          <t>MCL</t>
        </is>
      </c>
      <c r="C10" s="6" t="n">
        <v>4</v>
      </c>
      <c r="D10" s="6" t="n">
        <v>1257</v>
      </c>
      <c r="E10" s="6" t="inlineStr">
        <is>
          <t>imaging/us-mcl.html</t>
        </is>
      </c>
    </row>
    <row r="11">
      <c r="A11" s="6" t="inlineStr">
        <is>
          <t>5.4.10</t>
        </is>
      </c>
      <c r="B11" s="6" t="inlineStr">
        <is>
          <t>LCL</t>
        </is>
      </c>
      <c r="C11" s="6" t="n">
        <v>4</v>
      </c>
      <c r="D11" s="6" t="n">
        <v>1210</v>
      </c>
      <c r="E11" s="6" t="inlineStr">
        <is>
          <t>imaging/us-lcl.html</t>
        </is>
      </c>
    </row>
    <row r="12">
      <c r="A12" s="6" t="inlineStr">
        <is>
          <t>5.4.11</t>
        </is>
      </c>
      <c r="B12" s="6" t="inlineStr">
        <is>
          <t>MPFL</t>
        </is>
      </c>
      <c r="C12" s="6" t="n">
        <v>4</v>
      </c>
      <c r="D12" s="6" t="n">
        <v>1231</v>
      </c>
      <c r="E12" s="6" t="inlineStr">
        <is>
          <t>imaging/us-mpfl.html</t>
        </is>
      </c>
    </row>
    <row r="13">
      <c r="A13" s="6" t="inlineStr">
        <is>
          <t>5.4.12</t>
        </is>
      </c>
      <c r="B13" s="6" t="inlineStr">
        <is>
          <t>PLC Structures</t>
        </is>
      </c>
      <c r="C13" s="6" t="n">
        <v>4</v>
      </c>
      <c r="D13" s="6" t="n">
        <v>1289</v>
      </c>
      <c r="E13" s="6" t="inlineStr">
        <is>
          <t>imaging/us-plc-structures.html</t>
        </is>
      </c>
    </row>
    <row r="14">
      <c r="A14" s="6" t="inlineStr">
        <is>
          <t>5.4.13</t>
        </is>
      </c>
      <c r="B14" s="6" t="inlineStr">
        <is>
          <t>Snapping Tendons</t>
        </is>
      </c>
      <c r="C14" s="6" t="n">
        <v>4</v>
      </c>
      <c r="D14" s="6" t="n">
        <v>1307</v>
      </c>
      <c r="E14" s="6" t="inlineStr">
        <is>
          <t>imaging/snapping-tendons.html</t>
        </is>
      </c>
    </row>
    <row r="15">
      <c r="A15" s="6" t="inlineStr">
        <is>
          <t>5.4.14</t>
        </is>
      </c>
      <c r="B15" s="6" t="inlineStr">
        <is>
          <t>Patellar Tracking</t>
        </is>
      </c>
      <c r="C15" s="6" t="n">
        <v>4</v>
      </c>
      <c r="D15" s="6" t="n">
        <v>1255</v>
      </c>
      <c r="E15" s="6" t="inlineStr">
        <is>
          <t>imaging/us-patellar-tracking.html</t>
        </is>
      </c>
    </row>
    <row r="16">
      <c r="A16" s="6" t="inlineStr">
        <is>
          <t>5.4.15</t>
        </is>
      </c>
      <c r="B16" s="6" t="inlineStr">
        <is>
          <t>Dynamic Instability</t>
        </is>
      </c>
      <c r="C16" s="6" t="n">
        <v>4</v>
      </c>
      <c r="D16" s="6" t="n">
        <v>1269</v>
      </c>
      <c r="E16" s="6" t="inlineStr">
        <is>
          <t>imaging/dynamic-instability.html</t>
        </is>
      </c>
    </row>
    <row r="17">
      <c r="A17" s="6" t="inlineStr">
        <is>
          <t>5.4.16</t>
        </is>
      </c>
      <c r="B17" s="6" t="inlineStr">
        <is>
          <t>Knee Injection</t>
        </is>
      </c>
      <c r="C17" s="6" t="n">
        <v>4</v>
      </c>
      <c r="D17" s="6" t="n">
        <v>1308</v>
      </c>
      <c r="E17" s="6" t="inlineStr">
        <is>
          <t>imaging/knee-injection.html</t>
        </is>
      </c>
    </row>
    <row r="18">
      <c r="A18" s="6" t="inlineStr">
        <is>
          <t>5.4.17</t>
        </is>
      </c>
      <c r="B18" s="6" t="inlineStr">
        <is>
          <t>Aspiration</t>
        </is>
      </c>
      <c r="C18" s="6" t="n">
        <v>4</v>
      </c>
      <c r="D18" s="6" t="n">
        <v>1269</v>
      </c>
      <c r="E18" s="6" t="inlineStr">
        <is>
          <t>imaging/knee-aspiration.html</t>
        </is>
      </c>
    </row>
    <row r="19">
      <c r="A19" s="6" t="inlineStr">
        <is>
          <t>5.4.18</t>
        </is>
      </c>
      <c r="B19" s="6" t="inlineStr">
        <is>
          <t>Hydrodissection</t>
        </is>
      </c>
      <c r="C19" s="6" t="n">
        <v>4</v>
      </c>
      <c r="D19" s="6" t="n">
        <v>1327</v>
      </c>
      <c r="E19" s="6" t="inlineStr">
        <is>
          <t>imaging/hydrodissection.html</t>
        </is>
      </c>
    </row>
    <row r="20">
      <c r="A20" s="6" t="inlineStr">
        <is>
          <t>5.4.19</t>
        </is>
      </c>
      <c r="B20" s="6" t="inlineStr">
        <is>
          <t>PRP Procedures</t>
        </is>
      </c>
      <c r="C20" s="6" t="n">
        <v>4</v>
      </c>
      <c r="D20" s="6" t="n">
        <v>1267</v>
      </c>
      <c r="E20" s="6" t="inlineStr">
        <is>
          <t>imaging/prp-procedures.html</t>
        </is>
      </c>
    </row>
    <row r="21">
      <c r="A21" s="6" t="inlineStr">
        <is>
          <t>5.4.20</t>
        </is>
      </c>
      <c r="B21" s="6" t="inlineStr">
        <is>
          <t>Tendon Procedures</t>
        </is>
      </c>
      <c r="C21" s="6" t="n">
        <v>4</v>
      </c>
      <c r="D21" s="6" t="n">
        <v>1264</v>
      </c>
      <c r="E21" s="6" t="inlineStr">
        <is>
          <t>imaging/tendon-procedures.html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5.4.1</t>
        </is>
      </c>
      <c r="B2" s="4" t="inlineStr">
        <is>
          <t>Anterior Knee</t>
        </is>
      </c>
      <c r="C2" s="4" t="inlineStr">
        <is>
          <t>The resolution advantage is unavailable to anyone who was not scanning.</t>
        </is>
      </c>
    </row>
    <row r="3">
      <c r="A3" s="4" t="inlineStr">
        <is>
          <t>5.4.1</t>
        </is>
      </c>
      <c r="B3" s="4" t="inlineStr">
        <is>
          <t>Anterior Knee</t>
        </is>
      </c>
      <c r="C3" s="4" t="inlineStr">
        <is>
          <t>A negative is a statement about one examination.</t>
        </is>
      </c>
    </row>
    <row r="4">
      <c r="A4" s="4" t="inlineStr">
        <is>
          <t>5.4.1</t>
        </is>
      </c>
      <c r="B4" s="4" t="inlineStr">
        <is>
          <t>Anterior Knee</t>
        </is>
      </c>
      <c r="C4" s="4" t="inlineStr">
        <is>
          <t>Findings here are common in asymptomatic tendons.</t>
        </is>
      </c>
    </row>
    <row r="5">
      <c r="A5" s="4" t="inlineStr">
        <is>
          <t>5.4.1</t>
        </is>
      </c>
      <c r="B5" s="4" t="inlineStr">
        <is>
          <t>Anterior Knee</t>
        </is>
      </c>
      <c r="C5" s="4" t="inlineStr">
        <is>
          <t>Video capture and a structured template would help and are not standard.</t>
        </is>
      </c>
    </row>
    <row r="6">
      <c r="A6" s="4" t="inlineStr">
        <is>
          <t>5.4.1</t>
        </is>
      </c>
      <c r="B6" s="4" t="inlineStr">
        <is>
          <t>Anterior Knee</t>
        </is>
      </c>
      <c r="C6" s="4" t="inlineStr">
        <is>
          <t>Treat the study as a consultation with the person who performed it.</t>
        </is>
      </c>
    </row>
    <row r="7">
      <c r="A7" s="4" t="inlineStr">
        <is>
          <t>5.4.2</t>
        </is>
      </c>
      <c r="B7" s="4" t="inlineStr">
        <is>
          <t>Medial Knee</t>
        </is>
      </c>
      <c r="C7" s="4" t="inlineStr">
        <is>
          <t>Layer grading is better here than on a static study.</t>
        </is>
      </c>
    </row>
    <row r="8">
      <c r="A8" s="4" t="inlineStr">
        <is>
          <t>5.4.2</t>
        </is>
      </c>
      <c r="B8" s="4" t="inlineStr">
        <is>
          <t>Medial Knee</t>
        </is>
      </c>
      <c r="C8" s="4" t="inlineStr">
        <is>
          <t>The injury rarely occurs in isolation, so the better tool answers less.</t>
        </is>
      </c>
    </row>
    <row r="9">
      <c r="A9" s="4" t="inlineStr">
        <is>
          <t>5.4.2</t>
        </is>
      </c>
      <c r="B9" s="4" t="inlineStr">
        <is>
          <t>Medial Knee</t>
        </is>
      </c>
      <c r="C9" s="4" t="inlineStr">
        <is>
          <t>The meniscocapsular junction is visible and the comparison is unstudied.</t>
        </is>
      </c>
    </row>
    <row r="10">
      <c r="A10" s="4" t="inlineStr">
        <is>
          <t>5.4.2</t>
        </is>
      </c>
      <c r="B10" s="4" t="inlineStr">
        <is>
          <t>Medial Knee</t>
        </is>
      </c>
      <c r="C10" s="4" t="inlineStr">
        <is>
          <t>Dynamic valgus assessment has no agreed protocol or measurement.</t>
        </is>
      </c>
    </row>
    <row r="11">
      <c r="A11" s="4" t="inlineStr">
        <is>
          <t>5.4.2</t>
        </is>
      </c>
      <c r="B11" s="4" t="inlineStr">
        <is>
          <t>Medial Knee</t>
        </is>
      </c>
      <c r="C11" s="4" t="inlineStr">
        <is>
          <t>Use it for a focused question in an otherwise accounted for knee.</t>
        </is>
      </c>
    </row>
    <row r="12">
      <c r="A12" s="4" t="inlineStr">
        <is>
          <t>5.4.3</t>
        </is>
      </c>
      <c r="B12" s="4" t="inlineStr">
        <is>
          <t>Lateral Knee</t>
        </is>
      </c>
      <c r="C12" s="4" t="inlineStr">
        <is>
          <t>The nerve is the clearest resolution advantage and rarely the reason requested.</t>
        </is>
      </c>
    </row>
    <row r="13">
      <c r="A13" s="4" t="inlineStr">
        <is>
          <t>5.4.3</t>
        </is>
      </c>
      <c r="B13" s="4" t="inlineStr">
        <is>
          <t>Lateral Knee</t>
        </is>
      </c>
      <c r="C13" s="4" t="inlineStr">
        <is>
          <t>The corner matters most functionally and cannot be completed here.</t>
        </is>
      </c>
    </row>
    <row r="14">
      <c r="A14" s="4" t="inlineStr">
        <is>
          <t>5.4.3</t>
        </is>
      </c>
      <c r="B14" s="4" t="inlineStr">
        <is>
          <t>Lateral Knee</t>
        </is>
      </c>
      <c r="C14" s="4" t="inlineStr">
        <is>
          <t>Operator dependence is higher here than anywhere else in the knee.</t>
        </is>
      </c>
    </row>
    <row r="15">
      <c r="A15" s="4" t="inlineStr">
        <is>
          <t>5.4.3</t>
        </is>
      </c>
      <c r="B15" s="4" t="inlineStr">
        <is>
          <t>Lateral Knee</t>
        </is>
      </c>
      <c r="C15" s="4" t="inlineStr">
        <is>
          <t>A negative lateral ultrasound is the weakest negative in knee ultrasound.</t>
        </is>
      </c>
    </row>
    <row r="16">
      <c r="A16" s="4" t="inlineStr">
        <is>
          <t>5.4.3</t>
        </is>
      </c>
      <c r="B16" s="4" t="inlineStr">
        <is>
          <t>Lateral Knee</t>
        </is>
      </c>
      <c r="C16" s="4" t="inlineStr">
        <is>
          <t>Use it for the nerve and a named structure, not for the corner.</t>
        </is>
      </c>
    </row>
    <row r="17">
      <c r="A17" s="4" t="inlineStr">
        <is>
          <t>5.4.4</t>
        </is>
      </c>
      <c r="B17" s="4" t="inlineStr">
        <is>
          <t>Posterior Knee</t>
        </is>
      </c>
      <c r="C17" s="4" t="inlineStr">
        <is>
          <t>The cyst is characterised definitively and its cause is invisible.</t>
        </is>
      </c>
    </row>
    <row r="18">
      <c r="A18" s="4" t="inlineStr">
        <is>
          <t>5.4.4</t>
        </is>
      </c>
      <c r="B18" s="4" t="inlineStr">
        <is>
          <t>Posterior Knee</t>
        </is>
      </c>
      <c r="C18" s="4" t="inlineStr">
        <is>
          <t>Treating the visible thing invites recurrence.</t>
        </is>
      </c>
    </row>
    <row r="19">
      <c r="A19" s="4" t="inlineStr">
        <is>
          <t>5.4.4</t>
        </is>
      </c>
      <c r="B19" s="4" t="inlineStr">
        <is>
          <t>Posterior Knee</t>
        </is>
      </c>
      <c r="C19" s="4" t="inlineStr">
        <is>
          <t>The vascular differential is the one urgent knee ultrasound finding.</t>
        </is>
      </c>
    </row>
    <row r="20">
      <c r="A20" s="4" t="inlineStr">
        <is>
          <t>5.4.4</t>
        </is>
      </c>
      <c r="B20" s="4" t="inlineStr">
        <is>
          <t>Posterior Knee</t>
        </is>
      </c>
      <c r="C20" s="4" t="inlineStr">
        <is>
          <t>It depends on applying Doppler to a presumed cyst.</t>
        </is>
      </c>
    </row>
    <row r="21">
      <c r="A21" s="4" t="inlineStr">
        <is>
          <t>5.4.4</t>
        </is>
      </c>
      <c r="B21" s="4" t="inlineStr">
        <is>
          <t>Posterior Knee</t>
        </is>
      </c>
      <c r="C21" s="4" t="inlineStr">
        <is>
          <t>This is a focused characterisation study rather than a regional assessment.</t>
        </is>
      </c>
    </row>
    <row r="22">
      <c r="A22" s="4" t="inlineStr">
        <is>
          <t>5.4.5</t>
        </is>
      </c>
      <c r="B22" s="4" t="inlineStr">
        <is>
          <t>Quadriceps Tendon</t>
        </is>
      </c>
      <c r="C22" s="4" t="inlineStr">
        <is>
          <t>The layer level description rarely appears in a report.</t>
        </is>
      </c>
    </row>
    <row r="23">
      <c r="A23" s="4" t="inlineStr">
        <is>
          <t>5.4.5</t>
        </is>
      </c>
      <c r="B23" s="4" t="inlineStr">
        <is>
          <t>Quadriceps Tendon</t>
        </is>
      </c>
      <c r="C23" s="4" t="inlineStr">
        <is>
          <t>Distinguishing high grade partial from complete has no established criterion.</t>
        </is>
      </c>
    </row>
    <row r="24">
      <c r="A24" s="4" t="inlineStr">
        <is>
          <t>5.4.5</t>
        </is>
      </c>
      <c r="B24" s="4" t="inlineStr">
        <is>
          <t>Quadriceps Tendon</t>
        </is>
      </c>
      <c r="C24" s="4" t="inlineStr">
        <is>
          <t>The dynamic contraction test is not recorded transferably.</t>
        </is>
      </c>
    </row>
    <row r="25">
      <c r="A25" s="4" t="inlineStr">
        <is>
          <t>5.4.5</t>
        </is>
      </c>
      <c r="B25" s="4" t="inlineStr">
        <is>
          <t>Quadriceps Tendon</t>
        </is>
      </c>
      <c r="C25" s="4" t="inlineStr">
        <is>
          <t>Published accuracy reflects the operators in the study.</t>
        </is>
      </c>
    </row>
    <row r="26">
      <c r="A26" s="4" t="inlineStr">
        <is>
          <t>5.4.5</t>
        </is>
      </c>
      <c r="B26" s="4" t="inlineStr">
        <is>
          <t>Quadriceps Tendon</t>
        </is>
      </c>
      <c r="C26" s="4" t="inlineStr">
        <is>
          <t>Name the layers, state whether a contraction transmitted, and say who scanned.</t>
        </is>
      </c>
    </row>
    <row r="27">
      <c r="A27" s="4" t="inlineStr">
        <is>
          <t>5.4.6</t>
        </is>
      </c>
      <c r="B27" s="4" t="inlineStr">
        <is>
          <t>Patellar Tendon</t>
        </is>
      </c>
      <c r="C27" s="4" t="inlineStr">
        <is>
          <t>The appearance is common in asymptomatic athletic tendons.</t>
        </is>
      </c>
    </row>
    <row r="28">
      <c r="A28" s="4" t="inlineStr">
        <is>
          <t>5.4.6</t>
        </is>
      </c>
      <c r="B28" s="4" t="inlineStr">
        <is>
          <t>Patellar Tendon</t>
        </is>
      </c>
      <c r="C28" s="4" t="inlineStr">
        <is>
          <t>Its presence shifts the diagnostic probability very little.</t>
        </is>
      </c>
    </row>
    <row r="29">
      <c r="A29" s="4" t="inlineStr">
        <is>
          <t>5.4.6</t>
        </is>
      </c>
      <c r="B29" s="4" t="inlineStr">
        <is>
          <t>Patellar Tendon</t>
        </is>
      </c>
      <c r="C29" s="4" t="inlineStr">
        <is>
          <t>Its predictive performance as a screening finding is unestablished.</t>
        </is>
      </c>
    </row>
    <row r="30">
      <c r="A30" s="4" t="inlineStr">
        <is>
          <t>5.4.6</t>
        </is>
      </c>
      <c r="B30" s="4" t="inlineStr">
        <is>
          <t>Patellar Tendon</t>
        </is>
      </c>
      <c r="C30" s="4" t="inlineStr">
        <is>
          <t>Vascularity and symptoms correlate inconsistently across studies.</t>
        </is>
      </c>
    </row>
    <row r="31">
      <c r="A31" s="4" t="inlineStr">
        <is>
          <t>5.4.6</t>
        </is>
      </c>
      <c r="B31" s="4" t="inlineStr">
        <is>
          <t>Patellar Tendon</t>
        </is>
      </c>
      <c r="C31" s="4" t="inlineStr">
        <is>
          <t>Elastography is closer to the mechanical question and is not routine.</t>
        </is>
      </c>
    </row>
    <row r="32">
      <c r="A32" s="4" t="inlineStr">
        <is>
          <t>5.4.7</t>
        </is>
      </c>
      <c r="B32" s="4" t="inlineStr">
        <is>
          <t>Hamstring Tendons</t>
        </is>
      </c>
      <c r="C32" s="4" t="inlineStr">
        <is>
          <t>The step from tendon measurement to graft diameter involves the harvest.</t>
        </is>
      </c>
    </row>
    <row r="33">
      <c r="A33" s="4" t="inlineStr">
        <is>
          <t>5.4.7</t>
        </is>
      </c>
      <c r="B33" s="4" t="inlineStr">
        <is>
          <t>Hamstring Tendons</t>
        </is>
      </c>
      <c r="C33" s="4" t="inlineStr">
        <is>
          <t>It is a screening tool rather than a planning measurement.</t>
        </is>
      </c>
    </row>
    <row r="34">
      <c r="A34" s="4" t="inlineStr">
        <is>
          <t>5.4.7</t>
        </is>
      </c>
      <c r="B34" s="4" t="inlineStr">
        <is>
          <t>Hamstring Tendons</t>
        </is>
      </c>
      <c r="C34" s="4" t="inlineStr">
        <is>
          <t>Regeneration is described and its mechanical contribution is not established.</t>
        </is>
      </c>
    </row>
    <row r="35">
      <c r="A35" s="4" t="inlineStr">
        <is>
          <t>5.4.7</t>
        </is>
      </c>
      <c r="B35" s="4" t="inlineStr">
        <is>
          <t>Hamstring Tendons</t>
        </is>
      </c>
      <c r="C35" s="4" t="inlineStr">
        <is>
          <t>Magnetic resonance imaging gives the same measurement within a planned study.</t>
        </is>
      </c>
    </row>
    <row r="36">
      <c r="A36" s="4" t="inlineStr">
        <is>
          <t>5.4.7</t>
        </is>
      </c>
      <c r="B36" s="4" t="inlineStr">
        <is>
          <t>Hamstring Tendons</t>
        </is>
      </c>
      <c r="C36" s="4" t="inlineStr">
        <is>
          <t>Measure where graft adequacy is genuinely in doubt.</t>
        </is>
      </c>
    </row>
    <row r="37">
      <c r="A37" s="4" t="inlineStr">
        <is>
          <t>5.4.8</t>
        </is>
      </c>
      <c r="B37" s="4" t="inlineStr">
        <is>
          <t>Popliteus Tendon</t>
        </is>
      </c>
      <c r="C37" s="4" t="inlineStr">
        <is>
          <t>The intra-articular course is a physical barrier, not a technique problem.</t>
        </is>
      </c>
    </row>
    <row r="38">
      <c r="A38" s="4" t="inlineStr">
        <is>
          <t>5.4.8</t>
        </is>
      </c>
      <c r="B38" s="4" t="inlineStr">
        <is>
          <t>Popliteus Tendon</t>
        </is>
      </c>
      <c r="C38" s="4" t="inlineStr">
        <is>
          <t>A reader cannot tell from a normal report how much was seen.</t>
        </is>
      </c>
    </row>
    <row r="39">
      <c r="A39" s="4" t="inlineStr">
        <is>
          <t>5.4.8</t>
        </is>
      </c>
      <c r="B39" s="4" t="inlineStr">
        <is>
          <t>Popliteus Tendon</t>
        </is>
      </c>
      <c r="C39" s="4" t="inlineStr">
        <is>
          <t>Two wordings describe the same examination and license different conclusions.</t>
        </is>
      </c>
    </row>
    <row r="40">
      <c r="A40" s="4" t="inlineStr">
        <is>
          <t>5.4.8</t>
        </is>
      </c>
      <c r="B40" s="4" t="inlineStr">
        <is>
          <t>Popliteus Tendon</t>
        </is>
      </c>
      <c r="C40" s="4" t="inlineStr">
        <is>
          <t>The popliteus complex is central to posterolateral restraint.</t>
        </is>
      </c>
    </row>
    <row r="41">
      <c r="A41" s="4" t="inlineStr">
        <is>
          <t>5.4.8</t>
        </is>
      </c>
      <c r="B41" s="4" t="inlineStr">
        <is>
          <t>Popliteus Tendon</t>
        </is>
      </c>
      <c r="C41" s="4" t="inlineStr">
        <is>
          <t>Report what was accessible and name what was not.</t>
        </is>
      </c>
    </row>
    <row r="42">
      <c r="A42" s="4" t="inlineStr">
        <is>
          <t>5.4.9</t>
        </is>
      </c>
      <c r="B42" s="4" t="inlineStr">
        <is>
          <t>MCL</t>
        </is>
      </c>
      <c r="C42" s="4" t="inlineStr">
        <is>
          <t>Grades from one modality are mixed with thresholds from another.</t>
        </is>
      </c>
    </row>
    <row r="43">
      <c r="A43" s="4" t="inlineStr">
        <is>
          <t>5.4.9</t>
        </is>
      </c>
      <c r="B43" s="4" t="inlineStr">
        <is>
          <t>MCL</t>
        </is>
      </c>
      <c r="C43" s="4" t="inlineStr">
        <is>
          <t>Dynamic valgus assessment has no protocol and no force measurement.</t>
        </is>
      </c>
    </row>
    <row r="44">
      <c r="A44" s="4" t="inlineStr">
        <is>
          <t>5.4.9</t>
        </is>
      </c>
      <c r="B44" s="4" t="inlineStr">
        <is>
          <t>MCL</t>
        </is>
      </c>
      <c r="C44" s="4" t="inlineStr">
        <is>
          <t>Stress ultrasound would quantify it and is not in routine use.</t>
        </is>
      </c>
    </row>
    <row r="45">
      <c r="A45" s="4" t="inlineStr">
        <is>
          <t>5.4.9</t>
        </is>
      </c>
      <c r="B45" s="4" t="inlineStr">
        <is>
          <t>MCL</t>
        </is>
      </c>
      <c r="C45" s="4" t="inlineStr">
        <is>
          <t>The best graded structure is the least decisive part of the question.</t>
        </is>
      </c>
    </row>
    <row r="46">
      <c r="A46" s="4" t="inlineStr">
        <is>
          <t>5.4.9</t>
        </is>
      </c>
      <c r="B46" s="4" t="inlineStr">
        <is>
          <t>MCL</t>
        </is>
      </c>
      <c r="C46" s="4" t="inlineStr">
        <is>
          <t>Use it for a focused question in an accounted for knee.</t>
        </is>
      </c>
    </row>
    <row r="47">
      <c r="A47" s="4" t="inlineStr">
        <is>
          <t>5.4.10</t>
        </is>
      </c>
      <c r="B47" s="4" t="inlineStr">
        <is>
          <t>LCL</t>
        </is>
      </c>
      <c r="C47" s="4" t="inlineStr">
        <is>
          <t>The cord is imaged end to end better than anything else laterally.</t>
        </is>
      </c>
    </row>
    <row r="48">
      <c r="A48" s="4" t="inlineStr">
        <is>
          <t>5.4.10</t>
        </is>
      </c>
      <c r="B48" s="4" t="inlineStr">
        <is>
          <t>LCL</t>
        </is>
      </c>
      <c r="C48" s="4" t="inlineStr">
        <is>
          <t>The decision rests on the corner's rotational function.</t>
        </is>
      </c>
    </row>
    <row r="49">
      <c r="A49" s="4" t="inlineStr">
        <is>
          <t>5.4.10</t>
        </is>
      </c>
      <c r="B49" s="4" t="inlineStr">
        <is>
          <t>LCL</t>
        </is>
      </c>
      <c r="C49" s="4" t="inlineStr">
        <is>
          <t>A confident assessment of the wrong variable is a subtle failure.</t>
        </is>
      </c>
    </row>
    <row r="50">
      <c r="A50" s="4" t="inlineStr">
        <is>
          <t>5.4.10</t>
        </is>
      </c>
      <c r="B50" s="4" t="inlineStr">
        <is>
          <t>LCL</t>
        </is>
      </c>
      <c r="C50" s="4" t="inlineStr">
        <is>
          <t>Dynamic varus assessment is available and unquantified.</t>
        </is>
      </c>
    </row>
    <row r="51">
      <c r="A51" s="4" t="inlineStr">
        <is>
          <t>5.4.10</t>
        </is>
      </c>
      <c r="B51" s="4" t="inlineStr">
        <is>
          <t>LCL</t>
        </is>
      </c>
      <c r="C51" s="4" t="inlineStr">
        <is>
          <t>Use it for a named structure and put the function to the examination.</t>
        </is>
      </c>
    </row>
    <row r="52">
      <c r="A52" s="4" t="inlineStr">
        <is>
          <t>5.4.11</t>
        </is>
      </c>
      <c r="B52" s="4" t="inlineStr">
        <is>
          <t>MPFL</t>
        </is>
      </c>
      <c r="C52" s="4" t="inlineStr">
        <is>
          <t>Instability surgery is planned from bony measurements.</t>
        </is>
      </c>
    </row>
    <row r="53">
      <c r="A53" s="4" t="inlineStr">
        <is>
          <t>5.4.11</t>
        </is>
      </c>
      <c r="B53" s="4" t="inlineStr">
        <is>
          <t>MPFL</t>
        </is>
      </c>
      <c r="C53" s="4" t="inlineStr">
        <is>
          <t>The ligament is commonly abnormal after a previous dislocation.</t>
        </is>
      </c>
    </row>
    <row r="54">
      <c r="A54" s="4" t="inlineStr">
        <is>
          <t>5.4.11</t>
        </is>
      </c>
      <c r="B54" s="4" t="inlineStr">
        <is>
          <t>MPFL</t>
        </is>
      </c>
      <c r="C54" s="4" t="inlineStr">
        <is>
          <t>Dynamic assessment can be observed without being quantified.</t>
        </is>
      </c>
    </row>
    <row r="55">
      <c r="A55" s="4" t="inlineStr">
        <is>
          <t>5.4.11</t>
        </is>
      </c>
      <c r="B55" s="4" t="inlineStr">
        <is>
          <t>MPFL</t>
        </is>
      </c>
      <c r="C55" s="4" t="inlineStr">
        <is>
          <t>Dynamic magnetic resonance imaging quantifies tracking and is not routine.</t>
        </is>
      </c>
    </row>
    <row r="56">
      <c r="A56" s="4" t="inlineStr">
        <is>
          <t>5.4.11</t>
        </is>
      </c>
      <c r="B56" s="4" t="inlineStr">
        <is>
          <t>MPFL</t>
        </is>
      </c>
      <c r="C56" s="4" t="inlineStr">
        <is>
          <t>The structure is described here and the decision lives elsewhere.</t>
        </is>
      </c>
    </row>
    <row r="57">
      <c r="A57" s="4" t="inlineStr">
        <is>
          <t>5.4.12</t>
        </is>
      </c>
      <c r="B57" s="4" t="inlineStr">
        <is>
          <t>PLC Structures</t>
        </is>
      </c>
      <c r="C57" s="4" t="inlineStr">
        <is>
          <t>Coverage is inversely related to the question's importance here.</t>
        </is>
      </c>
    </row>
    <row r="58">
      <c r="A58" s="4" t="inlineStr">
        <is>
          <t>5.4.12</t>
        </is>
      </c>
      <c r="B58" s="4" t="inlineStr">
        <is>
          <t>PLC Structures</t>
        </is>
      </c>
      <c r="C58" s="4" t="inlineStr">
        <is>
          <t>A report naming the corner implies a completeness never achieved.</t>
        </is>
      </c>
    </row>
    <row r="59">
      <c r="A59" s="4" t="inlineStr">
        <is>
          <t>5.4.12</t>
        </is>
      </c>
      <c r="B59" s="4" t="inlineStr">
        <is>
          <t>PLC Structures</t>
        </is>
      </c>
      <c r="C59" s="4" t="inlineStr">
        <is>
          <t>The nerve finding belongs to a different question and is found incidentally.</t>
        </is>
      </c>
    </row>
    <row r="60">
      <c r="A60" s="4" t="inlineStr">
        <is>
          <t>5.4.12</t>
        </is>
      </c>
      <c r="B60" s="4" t="inlineStr">
        <is>
          <t>PLC Structures</t>
        </is>
      </c>
      <c r="C60" s="4" t="inlineStr">
        <is>
          <t>A negative corner study of either kind carries less weight than a positive one.</t>
        </is>
      </c>
    </row>
    <row r="61">
      <c r="A61" s="4" t="inlineStr">
        <is>
          <t>5.4.12</t>
        </is>
      </c>
      <c r="B61" s="4" t="inlineStr">
        <is>
          <t>PLC Structures</t>
        </is>
      </c>
      <c r="C61" s="4" t="inlineStr">
        <is>
          <t>Request a named structure, and take the corner to magnetic resonance imaging.</t>
        </is>
      </c>
    </row>
    <row r="62">
      <c r="A62" s="4" t="inlineStr">
        <is>
          <t>5.4.13</t>
        </is>
      </c>
      <c r="B62" s="4" t="inlineStr">
        <is>
          <t>Snapping Tendons</t>
        </is>
      </c>
      <c r="C62" s="4" t="inlineStr">
        <is>
          <t>The observation exists only during the examination.</t>
        </is>
      </c>
    </row>
    <row r="63">
      <c r="A63" s="4" t="inlineStr">
        <is>
          <t>5.4.13</t>
        </is>
      </c>
      <c r="B63" s="4" t="inlineStr">
        <is>
          <t>Snapping Tendons</t>
        </is>
      </c>
      <c r="C63" s="4" t="inlineStr">
        <is>
          <t>Video capture would make it transmissible and is not standard.</t>
        </is>
      </c>
    </row>
    <row r="64">
      <c r="A64" s="4" t="inlineStr">
        <is>
          <t>5.4.13</t>
        </is>
      </c>
      <c r="B64" s="4" t="inlineStr">
        <is>
          <t>Snapping Tendons</t>
        </is>
      </c>
      <c r="C64" s="4" t="inlineStr">
        <is>
          <t>A unique capability is recorded in the least reliable form.</t>
        </is>
      </c>
    </row>
    <row r="65">
      <c r="A65" s="4" t="inlineStr">
        <is>
          <t>5.4.13</t>
        </is>
      </c>
      <c r="B65" s="4" t="inlineStr">
        <is>
          <t>Snapping Tendons</t>
        </is>
      </c>
      <c r="C65" s="4" t="inlineStr">
        <is>
          <t>The condition is uncommon, so experience is thin.</t>
        </is>
      </c>
    </row>
    <row r="66">
      <c r="A66" s="4" t="inlineStr">
        <is>
          <t>5.4.13</t>
        </is>
      </c>
      <c r="B66" s="4" t="inlineStr">
        <is>
          <t>Snapping Tendons</t>
        </is>
      </c>
      <c r="C66" s="4" t="inlineStr">
        <is>
          <t>The reference standard is the same examination, so performance is unestablished.</t>
        </is>
      </c>
    </row>
    <row r="67">
      <c r="A67" s="4" t="inlineStr">
        <is>
          <t>5.4.14</t>
        </is>
      </c>
      <c r="B67" s="4" t="inlineStr">
        <is>
          <t>Patellar Tracking</t>
        </is>
      </c>
      <c r="C67" s="4" t="inlineStr">
        <is>
          <t>The static views image the joint in its stable position.</t>
        </is>
      </c>
    </row>
    <row r="68">
      <c r="A68" s="4" t="inlineStr">
        <is>
          <t>5.4.14</t>
        </is>
      </c>
      <c r="B68" s="4" t="inlineStr">
        <is>
          <t>Patellar Tracking</t>
        </is>
      </c>
      <c r="C68" s="4" t="inlineStr">
        <is>
          <t>Ultrasound observes the unstable range without quantifying it.</t>
        </is>
      </c>
    </row>
    <row r="69">
      <c r="A69" s="4" t="inlineStr">
        <is>
          <t>5.4.14</t>
        </is>
      </c>
      <c r="B69" s="4" t="inlineStr">
        <is>
          <t>Patellar Tracking</t>
        </is>
      </c>
      <c r="C69" s="4" t="inlineStr">
        <is>
          <t>Dynamic magnetic resonance imaging quantifies it under artificial loading.</t>
        </is>
      </c>
    </row>
    <row r="70">
      <c r="A70" s="4" t="inlineStr">
        <is>
          <t>5.4.14</t>
        </is>
      </c>
      <c r="B70" s="4" t="inlineStr">
        <is>
          <t>Patellar Tracking</t>
        </is>
      </c>
      <c r="C70" s="4" t="inlineStr">
        <is>
          <t>Probe pressure and window perturb what is measured.</t>
        </is>
      </c>
    </row>
    <row r="71">
      <c r="A71" s="4" t="inlineStr">
        <is>
          <t>5.4.14</t>
        </is>
      </c>
      <c r="B71" s="4" t="inlineStr">
        <is>
          <t>Patellar Tracking</t>
        </is>
      </c>
      <c r="C71" s="4" t="inlineStr">
        <is>
          <t>Functional loading is absent from all the options.</t>
        </is>
      </c>
    </row>
    <row r="72">
      <c r="A72" s="4" t="inlineStr">
        <is>
          <t>5.4.15</t>
        </is>
      </c>
      <c r="B72" s="4" t="inlineStr">
        <is>
          <t>Dynamic Instability</t>
        </is>
      </c>
      <c r="C72" s="4" t="inlineStr">
        <is>
          <t>Section 5 repeatedly concludes that function is not measured.</t>
        </is>
      </c>
    </row>
    <row r="73">
      <c r="A73" s="4" t="inlineStr">
        <is>
          <t>5.4.15</t>
        </is>
      </c>
      <c r="B73" s="4" t="inlineStr">
        <is>
          <t>Dynamic Instability</t>
        </is>
      </c>
      <c r="C73" s="4" t="inlineStr">
        <is>
          <t>This examination observes function and is the least standardised thing in it.</t>
        </is>
      </c>
    </row>
    <row r="74">
      <c r="A74" s="4" t="inlineStr">
        <is>
          <t>5.4.15</t>
        </is>
      </c>
      <c r="B74" s="4" t="inlineStr">
        <is>
          <t>Dynamic Instability</t>
        </is>
      </c>
      <c r="C74" s="4" t="inlineStr">
        <is>
          <t>Stress ultrasound with a measured force is described and not routine.</t>
        </is>
      </c>
    </row>
    <row r="75">
      <c r="A75" s="4" t="inlineStr">
        <is>
          <t>5.4.15</t>
        </is>
      </c>
      <c r="B75" s="4" t="inlineStr">
        <is>
          <t>Dynamic Instability</t>
        </is>
      </c>
      <c r="C75" s="4" t="inlineStr">
        <is>
          <t>The observation does not survive the examination.</t>
        </is>
      </c>
    </row>
    <row r="76">
      <c r="A76" s="4" t="inlineStr">
        <is>
          <t>5.4.15</t>
        </is>
      </c>
      <c r="B76" s="4" t="inlineStr">
        <is>
          <t>Dynamic Instability</t>
        </is>
      </c>
      <c r="C76" s="4" t="inlineStr">
        <is>
          <t>The most promising underdeveloped capability in knee imaging.</t>
        </is>
      </c>
    </row>
    <row r="77">
      <c r="A77" s="4" t="inlineStr">
        <is>
          <t>5.4.16</t>
        </is>
      </c>
      <c r="B77" s="4" t="inlineStr">
        <is>
          <t>Knee Injection</t>
        </is>
      </c>
      <c r="C77" s="4" t="inlineStr">
        <is>
          <t>The accuracy benefit is established and is an anatomical endpoint.</t>
        </is>
      </c>
    </row>
    <row r="78">
      <c r="A78" s="4" t="inlineStr">
        <is>
          <t>5.4.16</t>
        </is>
      </c>
      <c r="B78" s="4" t="inlineStr">
        <is>
          <t>Knee Injection</t>
        </is>
      </c>
      <c r="C78" s="4" t="inlineStr">
        <is>
          <t>A more accurate injection of an ineffective agent is a more accurate nothing.</t>
        </is>
      </c>
    </row>
    <row r="79">
      <c r="A79" s="4" t="inlineStr">
        <is>
          <t>5.4.16</t>
        </is>
      </c>
      <c r="B79" s="4" t="inlineStr">
        <is>
          <t>Knee Injection</t>
        </is>
      </c>
      <c r="C79" s="4" t="inlineStr">
        <is>
          <t>Guidance's value depends on the agent and the indication.</t>
        </is>
      </c>
    </row>
    <row r="80">
      <c r="A80" s="4" t="inlineStr">
        <is>
          <t>5.4.16</t>
        </is>
      </c>
      <c r="B80" s="4" t="inlineStr">
        <is>
          <t>Knee Injection</t>
        </is>
      </c>
      <c r="C80" s="4" t="inlineStr">
        <is>
          <t>The pre-scan's diagnostic contribution is rarely recorded.</t>
        </is>
      </c>
    </row>
    <row r="81">
      <c r="A81" s="4" t="inlineStr">
        <is>
          <t>5.4.16</t>
        </is>
      </c>
      <c r="B81" s="4" t="inlineStr">
        <is>
          <t>Knee Injection</t>
        </is>
      </c>
      <c r="C81" s="4" t="inlineStr">
        <is>
          <t>The imaging claim stops at placement.</t>
        </is>
      </c>
    </row>
    <row r="82">
      <c r="A82" s="4" t="inlineStr">
        <is>
          <t>5.4.17</t>
        </is>
      </c>
      <c r="B82" s="4" t="inlineStr">
        <is>
          <t>Aspiration</t>
        </is>
      </c>
      <c r="C82" s="4" t="inlineStr">
        <is>
          <t>The planning scan also decides whether the procedure should happen.</t>
        </is>
      </c>
    </row>
    <row r="83">
      <c r="A83" s="4" t="inlineStr">
        <is>
          <t>5.4.17</t>
        </is>
      </c>
      <c r="B83" s="4" t="inlineStr">
        <is>
          <t>Aspiration</t>
        </is>
      </c>
      <c r="C83" s="4" t="inlineStr">
        <is>
          <t>A Doppler finding is the only urgent change ultrasound makes here.</t>
        </is>
      </c>
    </row>
    <row r="84">
      <c r="A84" s="4" t="inlineStr">
        <is>
          <t>5.4.17</t>
        </is>
      </c>
      <c r="B84" s="4" t="inlineStr">
        <is>
          <t>Aspiration</t>
        </is>
      </c>
      <c r="C84" s="4" t="inlineStr">
        <is>
          <t>Imaging cannot distinguish infected from inflammatory fluid.</t>
        </is>
      </c>
    </row>
    <row r="85">
      <c r="A85" s="4" t="inlineStr">
        <is>
          <t>5.4.17</t>
        </is>
      </c>
      <c r="B85" s="4" t="inlineStr">
        <is>
          <t>Aspiration</t>
        </is>
      </c>
      <c r="C85" s="4" t="inlineStr">
        <is>
          <t>Guidance's value is inversely matched to its common use.</t>
        </is>
      </c>
    </row>
    <row r="86">
      <c r="A86" s="4" t="inlineStr">
        <is>
          <t>5.4.17</t>
        </is>
      </c>
      <c r="B86" s="4" t="inlineStr">
        <is>
          <t>Aspiration</t>
        </is>
      </c>
      <c r="C86" s="4" t="inlineStr">
        <is>
          <t>Doppler first, laboratory for the fluid, magnetic resonance for the cause.</t>
        </is>
      </c>
    </row>
    <row r="87">
      <c r="A87" s="4" t="inlineStr">
        <is>
          <t>5.4.18</t>
        </is>
      </c>
      <c r="B87" s="4" t="inlineStr">
        <is>
          <t>Hydrodissection</t>
        </is>
      </c>
      <c r="C87" s="4" t="inlineStr">
        <is>
          <t>The technique exists only under ultrasound, so its evidence base is young.</t>
        </is>
      </c>
    </row>
    <row r="88">
      <c r="A88" s="4" t="inlineStr">
        <is>
          <t>5.4.18</t>
        </is>
      </c>
      <c r="B88" s="4" t="inlineStr">
        <is>
          <t>Hydrodissection</t>
        </is>
      </c>
      <c r="C88" s="4" t="inlineStr">
        <is>
          <t>Expertise and enthusiasm are concentrated in the same people.</t>
        </is>
      </c>
    </row>
    <row r="89">
      <c r="A89" s="4" t="inlineStr">
        <is>
          <t>5.4.18</t>
        </is>
      </c>
      <c r="B89" s="4" t="inlineStr">
        <is>
          <t>Hydrodissection</t>
        </is>
      </c>
      <c r="C89" s="4" t="inlineStr">
        <is>
          <t>A satisfying visual endpoint is a technical endpoint.</t>
        </is>
      </c>
    </row>
    <row r="90">
      <c r="A90" s="4" t="inlineStr">
        <is>
          <t>5.4.18</t>
        </is>
      </c>
      <c r="B90" s="4" t="inlineStr">
        <is>
          <t>Hydrodissection</t>
        </is>
      </c>
      <c r="C90" s="4" t="inlineStr">
        <is>
          <t>Durable symptom change in the knee is not established.</t>
        </is>
      </c>
    </row>
    <row r="91">
      <c r="A91" s="4" t="inlineStr">
        <is>
          <t>5.4.18</t>
        </is>
      </c>
      <c r="B91" s="4" t="inlineStr">
        <is>
          <t>Hydrodissection</t>
        </is>
      </c>
      <c r="C91" s="4" t="inlineStr">
        <is>
          <t>The imaging makes the technique safe and does not make it indicated.</t>
        </is>
      </c>
    </row>
    <row r="92">
      <c r="A92" s="4" t="inlineStr">
        <is>
          <t>5.4.19</t>
        </is>
      </c>
      <c r="B92" s="4" t="inlineStr">
        <is>
          <t>PRP Procedures</t>
        </is>
      </c>
      <c r="C92" s="4" t="inlineStr">
        <is>
          <t>The imaging is settled and the treatment's efficacy is contested.</t>
        </is>
      </c>
    </row>
    <row r="93">
      <c r="A93" s="4" t="inlineStr">
        <is>
          <t>5.4.19</t>
        </is>
      </c>
      <c r="B93" s="4" t="inlineStr">
        <is>
          <t>PRP Procedures</t>
        </is>
      </c>
      <c r="C93" s="4" t="inlineStr">
        <is>
          <t>Protocols differ in several variables and only delivery location is an imaging one.</t>
        </is>
      </c>
    </row>
    <row r="94">
      <c r="A94" s="4" t="inlineStr">
        <is>
          <t>5.4.19</t>
        </is>
      </c>
      <c r="B94" s="4" t="inlineStr">
        <is>
          <t>PRP Procedures</t>
        </is>
      </c>
      <c r="C94" s="4" t="inlineStr">
        <is>
          <t>The appearance being treated occurs in asymptomatic tendons.</t>
        </is>
      </c>
    </row>
    <row r="95">
      <c r="A95" s="4" t="inlineStr">
        <is>
          <t>5.4.19</t>
        </is>
      </c>
      <c r="B95" s="4" t="inlineStr">
        <is>
          <t>PRP Procedures</t>
        </is>
      </c>
      <c r="C95" s="4" t="inlineStr">
        <is>
          <t>The pre-procedure scan may contribute most and is rarely recorded.</t>
        </is>
      </c>
    </row>
    <row r="96">
      <c r="A96" s="4" t="inlineStr">
        <is>
          <t>5.4.19</t>
        </is>
      </c>
      <c r="B96" s="4" t="inlineStr">
        <is>
          <t>PRP Procedures</t>
        </is>
      </c>
      <c r="C96" s="4" t="inlineStr">
        <is>
          <t>Reproducible delivery is a precondition for answering efficacy, not an answer.</t>
        </is>
      </c>
    </row>
    <row r="97">
      <c r="A97" s="4" t="inlineStr">
        <is>
          <t>5.4.20</t>
        </is>
      </c>
      <c r="B97" s="4" t="inlineStr">
        <is>
          <t>Tendon Procedures</t>
        </is>
      </c>
      <c r="C97" s="4" t="inlineStr">
        <is>
          <t>Imaging, needle and indication belong to one person here.</t>
        </is>
      </c>
    </row>
    <row r="98">
      <c r="A98" s="4" t="inlineStr">
        <is>
          <t>5.4.20</t>
        </is>
      </c>
      <c r="B98" s="4" t="inlineStr">
        <is>
          <t>Tendon Procedures</t>
        </is>
      </c>
      <c r="C98" s="4" t="inlineStr">
        <is>
          <t>That is the source of the usefulness and of the weak accountability.</t>
        </is>
      </c>
    </row>
    <row r="99">
      <c r="A99" s="4" t="inlineStr">
        <is>
          <t>5.4.20</t>
        </is>
      </c>
      <c r="B99" s="4" t="inlineStr">
        <is>
          <t>Tendon Procedures</t>
        </is>
      </c>
      <c r="C99" s="4" t="inlineStr">
        <is>
          <t>The selection step is weaker than the targeting step.</t>
        </is>
      </c>
    </row>
    <row r="100">
      <c r="A100" s="4" t="inlineStr">
        <is>
          <t>5.4.20</t>
        </is>
      </c>
      <c r="B100" s="4" t="inlineStr">
        <is>
          <t>Tendon Procedures</t>
        </is>
      </c>
      <c r="C100" s="4" t="inlineStr">
        <is>
          <t>The outcome literature mixes procedures imaging cannot distinguish.</t>
        </is>
      </c>
    </row>
    <row r="101">
      <c r="A101" s="4" t="inlineStr">
        <is>
          <t>5.4.20</t>
        </is>
      </c>
      <c r="B101" s="4" t="inlineStr">
        <is>
          <t>Tendon Procedures</t>
        </is>
      </c>
      <c r="C101" s="4" t="inlineStr">
        <is>
          <t>Each of ultrasound's strengths is recorded in a form that does not survive.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5.4.1-P1</t>
        </is>
      </c>
      <c r="B3" s="4" t="inlineStr">
        <is>
          <t>5.4.1</t>
        </is>
      </c>
      <c r="C3" s="4" t="inlineStr">
        <is>
          <t>medical_student</t>
        </is>
      </c>
      <c r="D3" s="4" t="inlineStr">
        <is>
          <t>Use the highest frequency that reaches the target, which at this depth is the highest the probe offers.</t>
        </is>
      </c>
      <c r="E3" s="4" t="inlineStr"/>
      <c r="F3" s="4" t="inlineStr"/>
      <c r="G3" s="4" t="inlineStr"/>
    </row>
    <row r="4">
      <c r="A4" s="4" t="inlineStr">
        <is>
          <t>5.4.1-P2</t>
        </is>
      </c>
      <c r="B4" s="4" t="inlineStr">
        <is>
          <t>5.4.1</t>
        </is>
      </c>
      <c r="C4" s="4" t="inlineStr">
        <is>
          <t>medical_student</t>
        </is>
      </c>
      <c r="D4" s="4" t="inlineStr">
        <is>
          <t>Keep the beam perpendicular to the fibres and follow the curve, because an oblique beam darkens a normal tendon.</t>
        </is>
      </c>
      <c r="E4" s="4" t="inlineStr"/>
      <c r="F4" s="4" t="inlineStr"/>
      <c r="G4" s="4" t="inlineStr"/>
    </row>
    <row r="5">
      <c r="A5" s="4" t="inlineStr">
        <is>
          <t>5.4.1-P3</t>
        </is>
      </c>
      <c r="B5" s="4" t="inlineStr">
        <is>
          <t>5.4.1</t>
        </is>
      </c>
      <c r="C5" s="4" t="inlineStr">
        <is>
          <t>medical_student</t>
        </is>
      </c>
      <c r="D5" s="4" t="inlineStr">
        <is>
          <t>Add colour Doppler where an active process is the question.</t>
        </is>
      </c>
      <c r="E5" s="4" t="inlineStr"/>
      <c r="F5" s="4" t="inlineStr"/>
      <c r="G5" s="4" t="inlineStr"/>
    </row>
    <row r="6">
      <c r="A6" s="4" t="inlineStr">
        <is>
          <t>5.4.1-P4</t>
        </is>
      </c>
      <c r="B6" s="4" t="inlineStr">
        <is>
          <t>5.4.1</t>
        </is>
      </c>
      <c r="C6" s="4" t="inlineStr">
        <is>
          <t>mrcs</t>
        </is>
      </c>
      <c r="D6" s="4" t="inlineStr">
        <is>
          <t>Say that a dark area must be tested by angling onto it.</t>
        </is>
      </c>
      <c r="E6" s="4" t="inlineStr"/>
      <c r="F6" s="4" t="inlineStr"/>
      <c r="G6" s="4" t="inlineStr"/>
    </row>
    <row r="7">
      <c r="A7" s="4" t="inlineStr">
        <is>
          <t>5.4.2-P1</t>
        </is>
      </c>
      <c r="B7" s="4" t="inlineStr">
        <is>
          <t>5.4.2</t>
        </is>
      </c>
      <c r="C7" s="4" t="inlineStr">
        <is>
          <t>medical_student</t>
        </is>
      </c>
      <c r="D7" s="4" t="inlineStr">
        <is>
          <t>Identify the superficial layer, the deep layer and the meniscus between them, which is the sequence to recognise.</t>
        </is>
      </c>
      <c r="E7" s="4" t="inlineStr"/>
      <c r="F7" s="4" t="inlineStr"/>
      <c r="G7" s="4" t="inlineStr"/>
    </row>
    <row r="8">
      <c r="A8" s="4" t="inlineStr">
        <is>
          <t>5.4.2-P2</t>
        </is>
      </c>
      <c r="B8" s="4" t="inlineStr">
        <is>
          <t>5.4.2</t>
        </is>
      </c>
      <c r="C8" s="4" t="inlineStr">
        <is>
          <t>medical_student</t>
        </is>
      </c>
      <c r="D8" s="4" t="inlineStr">
        <is>
          <t>Keep the beam perpendicular, since the collateral is parallel fibred and anisotropic.</t>
        </is>
      </c>
      <c r="E8" s="4" t="inlineStr"/>
      <c r="F8" s="4" t="inlineStr"/>
      <c r="G8" s="4" t="inlineStr"/>
    </row>
    <row r="9">
      <c r="A9" s="4" t="inlineStr">
        <is>
          <t>5.4.2-P3</t>
        </is>
      </c>
      <c r="B9" s="4" t="inlineStr">
        <is>
          <t>5.4.2</t>
        </is>
      </c>
      <c r="C9" s="4" t="inlineStr">
        <is>
          <t>frcs</t>
        </is>
      </c>
      <c r="D9" s="4" t="inlineStr">
        <is>
          <t>At decision level a medial ultrasound answers a focused question and should not be the only study after a significant injury.</t>
        </is>
      </c>
      <c r="E9" s="4" t="inlineStr"/>
      <c r="F9" s="4" t="inlineStr"/>
      <c r="G9" s="4" t="inlineStr"/>
    </row>
    <row r="10">
      <c r="A10" s="4" t="inlineStr">
        <is>
          <t>5.4.3-P1</t>
        </is>
      </c>
      <c r="B10" s="4" t="inlineStr">
        <is>
          <t>5.4.3</t>
        </is>
      </c>
      <c r="C10" s="4" t="inlineStr">
        <is>
          <t>medical_student</t>
        </is>
      </c>
      <c r="D10" s="4" t="inlineStr">
        <is>
          <t>Start at the fibular head, which is the landmark everything else is found from.</t>
        </is>
      </c>
      <c r="E10" s="4" t="inlineStr"/>
      <c r="F10" s="4" t="inlineStr"/>
      <c r="G10" s="4" t="inlineStr"/>
    </row>
    <row r="11">
      <c r="A11" s="4" t="inlineStr">
        <is>
          <t>5.4.3-P2</t>
        </is>
      </c>
      <c r="B11" s="4" t="inlineStr">
        <is>
          <t>5.4.3</t>
        </is>
      </c>
      <c r="C11" s="4" t="inlineStr">
        <is>
          <t>medical_student</t>
        </is>
      </c>
      <c r="D11" s="4" t="inlineStr">
        <is>
          <t>Follow the collateral ligament from the fibular head to the femoral epicondyle, reorienting as it runs obliquely.</t>
        </is>
      </c>
      <c r="E11" s="4" t="inlineStr"/>
      <c r="F11" s="4" t="inlineStr"/>
      <c r="G11" s="4" t="inlineStr"/>
    </row>
    <row r="12">
      <c r="A12" s="4" t="inlineStr">
        <is>
          <t>5.4.3-P3</t>
        </is>
      </c>
      <c r="B12" s="4" t="inlineStr">
        <is>
          <t>5.4.3</t>
        </is>
      </c>
      <c r="C12" s="4" t="inlineStr">
        <is>
          <t>medical_student</t>
        </is>
      </c>
      <c r="D12" s="4" t="inlineStr">
        <is>
          <t>Follow the biceps femoris to its insertion and the common peroneal nerve around the fibular neck.</t>
        </is>
      </c>
      <c r="E12" s="4" t="inlineStr"/>
      <c r="F12" s="4" t="inlineStr"/>
      <c r="G12" s="4" t="inlineStr"/>
    </row>
    <row r="13">
      <c r="A13" s="4" t="inlineStr">
        <is>
          <t>5.4.4-P1</t>
        </is>
      </c>
      <c r="B13" s="4" t="inlineStr">
        <is>
          <t>5.4.4</t>
        </is>
      </c>
      <c r="C13" s="4" t="inlineStr">
        <is>
          <t>medical_student</t>
        </is>
      </c>
      <c r="D13" s="4" t="inlineStr">
        <is>
          <t>Identify the popliteal artery and vein first, because they are the landmark and the structure that must not be mistaken.</t>
        </is>
      </c>
      <c r="E13" s="4" t="inlineStr"/>
      <c r="F13" s="4" t="inlineStr"/>
      <c r="G13" s="4" t="inlineStr"/>
    </row>
    <row r="14">
      <c r="A14" s="4" t="inlineStr">
        <is>
          <t>5.4.4-P2</t>
        </is>
      </c>
      <c r="B14" s="4" t="inlineStr">
        <is>
          <t>5.4.4</t>
        </is>
      </c>
      <c r="C14" s="4" t="inlineStr">
        <is>
          <t>medical_student</t>
        </is>
      </c>
      <c r="D14" s="4" t="inlineStr">
        <is>
          <t>Use a lower frequency than anteriorly, since the fossa is deeper.</t>
        </is>
      </c>
      <c r="E14" s="4" t="inlineStr"/>
      <c r="F14" s="4" t="inlineStr"/>
      <c r="G14" s="4" t="inlineStr"/>
    </row>
    <row r="15">
      <c r="A15" s="4" t="inlineStr">
        <is>
          <t>5.4.5-P1</t>
        </is>
      </c>
      <c r="B15" s="4" t="inlineStr">
        <is>
          <t>5.4.5</t>
        </is>
      </c>
      <c r="C15" s="4" t="inlineStr">
        <is>
          <t>medical_student</t>
        </is>
      </c>
      <c r="D15" s="4" t="inlineStr">
        <is>
          <t>Identify the layers, which appear as parallel bright bands separated by thin dark lines.</t>
        </is>
      </c>
      <c r="E15" s="4" t="inlineStr"/>
      <c r="F15" s="4" t="inlineStr"/>
      <c r="G15" s="4" t="inlineStr"/>
    </row>
    <row r="16">
      <c r="A16" s="4" t="inlineStr">
        <is>
          <t>5.4.5-P2</t>
        </is>
      </c>
      <c r="B16" s="4" t="inlineStr">
        <is>
          <t>5.4.5</t>
        </is>
      </c>
      <c r="C16" s="4" t="inlineStr">
        <is>
          <t>medical_student</t>
        </is>
      </c>
      <c r="D16" s="4" t="inlineStr">
        <is>
          <t>Keep the beam perpendicular, because the layers are parallel fibred and anisotropic.</t>
        </is>
      </c>
      <c r="E16" s="4" t="inlineStr"/>
      <c r="F16" s="4" t="inlineStr"/>
      <c r="G16" s="4" t="inlineStr"/>
    </row>
    <row r="17">
      <c r="A17" s="4" t="inlineStr">
        <is>
          <t>5.4.5-P3</t>
        </is>
      </c>
      <c r="B17" s="4" t="inlineStr">
        <is>
          <t>5.4.5</t>
        </is>
      </c>
      <c r="C17" s="4" t="inlineStr">
        <is>
          <t>medical_student</t>
        </is>
      </c>
      <c r="D17" s="4" t="inlineStr">
        <is>
          <t>Examine dynamically by asking for a contraction, which demonstrates continuity functionally.</t>
        </is>
      </c>
      <c r="E17" s="4" t="inlineStr"/>
      <c r="F17" s="4" t="inlineStr"/>
      <c r="G17" s="4" t="inlineStr"/>
    </row>
    <row r="18">
      <c r="A18" s="4" t="inlineStr">
        <is>
          <t>5.4.6-P1</t>
        </is>
      </c>
      <c r="B18" s="4" t="inlineStr">
        <is>
          <t>5.4.6</t>
        </is>
      </c>
      <c r="C18" s="4" t="inlineStr">
        <is>
          <t>medical_student</t>
        </is>
      </c>
      <c r="D18" s="4" t="inlineStr">
        <is>
          <t>Keep the beam perpendicular throughout, since the tendon curves at the patellar apex.</t>
        </is>
      </c>
      <c r="E18" s="4" t="inlineStr"/>
      <c r="F18" s="4" t="inlineStr"/>
      <c r="G18" s="4" t="inlineStr"/>
    </row>
    <row r="19">
      <c r="A19" s="4" t="inlineStr">
        <is>
          <t>5.4.6-P2</t>
        </is>
      </c>
      <c r="B19" s="4" t="inlineStr">
        <is>
          <t>5.4.6</t>
        </is>
      </c>
      <c r="C19" s="4" t="inlineStr">
        <is>
          <t>medical_student</t>
        </is>
      </c>
      <c r="D19" s="4" t="inlineStr">
        <is>
          <t>Compare with the other side, since the appearance is best judged comparatively.</t>
        </is>
      </c>
      <c r="E19" s="4" t="inlineStr"/>
      <c r="F19" s="4" t="inlineStr"/>
      <c r="G19" s="4" t="inlineStr"/>
    </row>
    <row r="20">
      <c r="A20" s="4" t="inlineStr">
        <is>
          <t>5.4.6-P3</t>
        </is>
      </c>
      <c r="B20" s="4" t="inlineStr">
        <is>
          <t>5.4.6</t>
        </is>
      </c>
      <c r="C20" s="4" t="inlineStr">
        <is>
          <t>frcs</t>
        </is>
      </c>
      <c r="D20" s="4" t="inlineStr">
        <is>
          <t>Probe pressure abolishes the Doppler signal and the tendon is called quiescent.</t>
        </is>
      </c>
      <c r="E20" s="4" t="inlineStr"/>
      <c r="F20" s="4" t="inlineStr"/>
      <c r="G20" s="4" t="inlineStr"/>
    </row>
    <row r="21">
      <c r="A21" s="4" t="inlineStr">
        <is>
          <t>5.4.7-P1</t>
        </is>
      </c>
      <c r="B21" s="4" t="inlineStr">
        <is>
          <t>5.4.7</t>
        </is>
      </c>
      <c r="C21" s="4" t="inlineStr">
        <is>
          <t>medical_student</t>
        </is>
      </c>
      <c r="D21" s="4" t="inlineStr">
        <is>
          <t>Trace each tendon proximally and distally to identify it rather than assuming from position.</t>
        </is>
      </c>
      <c r="E21" s="4" t="inlineStr"/>
      <c r="F21" s="4" t="inlineStr"/>
      <c r="G21" s="4" t="inlineStr"/>
    </row>
    <row r="22">
      <c r="A22" s="4" t="inlineStr">
        <is>
          <t>5.4.7-P2</t>
        </is>
      </c>
      <c r="B22" s="4" t="inlineStr">
        <is>
          <t>5.4.7</t>
        </is>
      </c>
      <c r="C22" s="4" t="inlineStr">
        <is>
          <t>medical_student</t>
        </is>
      </c>
      <c r="D22" s="4" t="inlineStr">
        <is>
          <t>Measure the cross sectional area where graft size is the question, which is the main pre-operative use.</t>
        </is>
      </c>
      <c r="E22" s="4" t="inlineStr"/>
      <c r="F22" s="4" t="inlineStr"/>
      <c r="G22" s="4" t="inlineStr"/>
    </row>
    <row r="23">
      <c r="A23" s="4" t="inlineStr">
        <is>
          <t>5.4.8-P1</t>
        </is>
      </c>
      <c r="B23" s="4" t="inlineStr">
        <is>
          <t>5.4.8</t>
        </is>
      </c>
      <c r="C23" s="4" t="inlineStr">
        <is>
          <t>medical_student</t>
        </is>
      </c>
      <c r="D23" s="4" t="inlineStr">
        <is>
          <t>Follow it to the musculotendinous junction and the muscle behind the tibia.</t>
        </is>
      </c>
      <c r="E23" s="4" t="inlineStr"/>
      <c r="F23" s="4" t="inlineStr"/>
      <c r="G23" s="4" t="inlineStr"/>
    </row>
    <row r="24">
      <c r="A24" s="4" t="inlineStr">
        <is>
          <t>5.4.8-P2</t>
        </is>
      </c>
      <c r="B24" s="4" t="inlineStr">
        <is>
          <t>5.4.8</t>
        </is>
      </c>
      <c r="C24" s="4" t="inlineStr">
        <is>
          <t>medical_student</t>
        </is>
      </c>
      <c r="D24" s="4" t="inlineStr">
        <is>
          <t>Assess the sheath for fluid, which is often the only abnormality visible.</t>
        </is>
      </c>
      <c r="E24" s="4" t="inlineStr"/>
      <c r="F24" s="4" t="inlineStr"/>
      <c r="G24" s="4" t="inlineStr"/>
    </row>
    <row r="25">
      <c r="A25" s="4" t="inlineStr">
        <is>
          <t>5.4.8-P3</t>
        </is>
      </c>
      <c r="B25" s="4" t="inlineStr">
        <is>
          <t>5.4.8</t>
        </is>
      </c>
      <c r="C25" s="4" t="inlineStr">
        <is>
          <t>medical_student</t>
        </is>
      </c>
      <c r="D25" s="4" t="inlineStr">
        <is>
          <t>Accept that the intra-articular portion is not fully assessable and say so.</t>
        </is>
      </c>
      <c r="E25" s="4" t="inlineStr"/>
      <c r="F25" s="4" t="inlineStr"/>
      <c r="G25" s="4" t="inlineStr"/>
    </row>
    <row r="26">
      <c r="A26" s="4" t="inlineStr">
        <is>
          <t>5.4.8-P4</t>
        </is>
      </c>
      <c r="B26" s="4" t="inlineStr">
        <is>
          <t>5.4.8</t>
        </is>
      </c>
      <c r="C26" s="4" t="inlineStr">
        <is>
          <t>medical_student</t>
        </is>
      </c>
      <c r="D26" s="4" t="inlineStr">
        <is>
          <t>- An incomplete assessment should be reported as incomplete.</t>
        </is>
      </c>
      <c r="E26" s="4" t="inlineStr"/>
      <c r="F26" s="4" t="inlineStr"/>
      <c r="G26" s="4" t="inlineStr"/>
    </row>
    <row r="27">
      <c r="A27" s="4" t="inlineStr">
        <is>
          <t>5.4.8-P5</t>
        </is>
      </c>
      <c r="B27" s="4" t="inlineStr">
        <is>
          <t>5.4.8</t>
        </is>
      </c>
      <c r="C27" s="4" t="inlineStr">
        <is>
          <t>frcs</t>
        </is>
      </c>
      <c r="D27" s="4" t="inlineStr">
        <is>
          <t>A normal ultrasound here should be reported as an incomplete assessment rather than as a normal tendon.</t>
        </is>
      </c>
      <c r="E27" s="4" t="inlineStr"/>
      <c r="F27" s="4" t="inlineStr"/>
      <c r="G27" s="4" t="inlineStr"/>
    </row>
    <row r="28">
      <c r="A28" s="4" t="inlineStr">
        <is>
          <t>5.4.8-P6</t>
        </is>
      </c>
      <c r="B28" s="4" t="inlineStr">
        <is>
          <t>5.4.8</t>
        </is>
      </c>
      <c r="C28" s="4" t="inlineStr">
        <is>
          <t>fellowship</t>
        </is>
      </c>
      <c r="D28" s="4" t="inlineStr">
        <is>
          <t>At fellowship level the popliteus is the structure that shows most clearly why knee ultrasound's limits should be stated in the report.</t>
        </is>
      </c>
      <c r="E28" s="4" t="inlineStr"/>
      <c r="F28" s="4" t="inlineStr"/>
      <c r="G28" s="4" t="inlineStr"/>
    </row>
    <row r="29">
      <c r="A29" s="4" t="inlineStr">
        <is>
          <t>5.4.9-P1</t>
        </is>
      </c>
      <c r="B29" s="4" t="inlineStr">
        <is>
          <t>5.4.9</t>
        </is>
      </c>
      <c r="C29" s="4" t="inlineStr">
        <is>
          <t>medical_student</t>
        </is>
      </c>
      <c r="D29" s="4" t="inlineStr">
        <is>
          <t>Identify the deep layer separately, with the meniscus between its two parts.</t>
        </is>
      </c>
      <c r="E29" s="4" t="inlineStr"/>
      <c r="F29" s="4" t="inlineStr"/>
      <c r="G29" s="4" t="inlineStr"/>
    </row>
    <row r="30">
      <c r="A30" s="4" t="inlineStr">
        <is>
          <t>5.4.9-P2</t>
        </is>
      </c>
      <c r="B30" s="4" t="inlineStr">
        <is>
          <t>5.4.9</t>
        </is>
      </c>
      <c r="C30" s="4" t="inlineStr">
        <is>
          <t>medical_student</t>
        </is>
      </c>
      <c r="D30" s="4" t="inlineStr">
        <is>
          <t>Keep the beam perpendicular, since the band is parallel fibred.</t>
        </is>
      </c>
      <c r="E30" s="4" t="inlineStr"/>
      <c r="F30" s="4" t="inlineStr"/>
      <c r="G30" s="4" t="inlineStr"/>
    </row>
    <row r="31">
      <c r="A31" s="4" t="inlineStr">
        <is>
          <t>5.4.10-P1</t>
        </is>
      </c>
      <c r="B31" s="4" t="inlineStr">
        <is>
          <t>5.4.10</t>
        </is>
      </c>
      <c r="C31" s="4" t="inlineStr">
        <is>
          <t>medical_student</t>
        </is>
      </c>
      <c r="D31" s="4" t="inlineStr">
        <is>
          <t>Start at the fibular head and follow the cord proximally to the femoral epicondyle.</t>
        </is>
      </c>
      <c r="E31" s="4" t="inlineStr"/>
      <c r="F31" s="4" t="inlineStr"/>
      <c r="G31" s="4" t="inlineStr"/>
    </row>
    <row r="32">
      <c r="A32" s="4" t="inlineStr">
        <is>
          <t>5.4.10-P2</t>
        </is>
      </c>
      <c r="B32" s="4" t="inlineStr">
        <is>
          <t>5.4.10</t>
        </is>
      </c>
      <c r="C32" s="4" t="inlineStr">
        <is>
          <t>medical_student</t>
        </is>
      </c>
      <c r="D32" s="4" t="inlineStr">
        <is>
          <t>Assess the common peroneal nerve at the same sitting, since it is adjacent.</t>
        </is>
      </c>
      <c r="E32" s="4" t="inlineStr"/>
      <c r="F32" s="4" t="inlineStr"/>
      <c r="G32" s="4" t="inlineStr"/>
    </row>
    <row r="33">
      <c r="A33" s="4" t="inlineStr">
        <is>
          <t>5.4.10-P3</t>
        </is>
      </c>
      <c r="B33" s="4" t="inlineStr">
        <is>
          <t>5.4.10</t>
        </is>
      </c>
      <c r="C33" s="4" t="inlineStr">
        <is>
          <t>mrcs</t>
        </is>
      </c>
      <c r="D33" s="4" t="inlineStr">
        <is>
          <t>An isolated injury is uncommon, so finding one should prompt a search for the rest of the corner.</t>
        </is>
      </c>
      <c r="E33" s="4" t="inlineStr"/>
      <c r="F33" s="4" t="inlineStr"/>
      <c r="G33" s="4" t="inlineStr"/>
    </row>
    <row r="34">
      <c r="A34" s="4" t="inlineStr">
        <is>
          <t>5.4.10-P4</t>
        </is>
      </c>
      <c r="B34" s="4" t="inlineStr">
        <is>
          <t>5.4.10</t>
        </is>
      </c>
      <c r="C34" s="4" t="inlineStr">
        <is>
          <t>mrcs</t>
        </is>
      </c>
      <c r="D34" s="4" t="inlineStr">
        <is>
          <t>- An isolated injury is uncommon and should prompt a wider search.</t>
        </is>
      </c>
      <c r="E34" s="4" t="inlineStr"/>
      <c r="F34" s="4" t="inlineStr"/>
      <c r="G34" s="4" t="inlineStr"/>
    </row>
    <row r="35">
      <c r="A35" s="4" t="inlineStr">
        <is>
          <t>5.4.10-P5</t>
        </is>
      </c>
      <c r="B35" s="4" t="inlineStr">
        <is>
          <t>5.4.10</t>
        </is>
      </c>
      <c r="C35" s="4" t="inlineStr">
        <is>
          <t>frcs</t>
        </is>
      </c>
      <c r="D35" s="4" t="inlineStr">
        <is>
          <t>The adjacent nerve should be assessed whenever a lateral injury is found.</t>
        </is>
      </c>
      <c r="E35" s="4" t="inlineStr"/>
      <c r="F35" s="4" t="inlineStr"/>
      <c r="G35" s="4" t="inlineStr"/>
    </row>
    <row r="36">
      <c r="A36" s="4" t="inlineStr">
        <is>
          <t>5.4.11-P1</t>
        </is>
      </c>
      <c r="B36" s="4" t="inlineStr">
        <is>
          <t>5.4.11</t>
        </is>
      </c>
      <c r="C36" s="4" t="inlineStr">
        <is>
          <t>medical_student</t>
        </is>
      </c>
      <c r="D36" s="4" t="inlineStr">
        <is>
          <t>Identify the femoral attachment specifically, which is the commonest site of failure.</t>
        </is>
      </c>
      <c r="E36" s="4" t="inlineStr"/>
      <c r="F36" s="4" t="inlineStr"/>
      <c r="G36" s="4" t="inlineStr"/>
    </row>
    <row r="37">
      <c r="A37" s="4" t="inlineStr">
        <is>
          <t>5.4.11-P2</t>
        </is>
      </c>
      <c r="B37" s="4" t="inlineStr">
        <is>
          <t>5.4.11</t>
        </is>
      </c>
      <c r="C37" s="4" t="inlineStr">
        <is>
          <t>medical_student</t>
        </is>
      </c>
      <c r="D37" s="4" t="inlineStr">
        <is>
          <t>Keep the beam perpendicular, because the ligament is thin and anisotropic.</t>
        </is>
      </c>
      <c r="E37" s="4" t="inlineStr"/>
      <c r="F37" s="4" t="inlineStr"/>
      <c r="G37" s="4" t="inlineStr"/>
    </row>
    <row r="38">
      <c r="A38" s="4" t="inlineStr">
        <is>
          <t>5.4.12-P1</t>
        </is>
      </c>
      <c r="B38" s="4" t="inlineStr">
        <is>
          <t>5.4.12</t>
        </is>
      </c>
      <c r="C38" s="4" t="inlineStr">
        <is>
          <t>medical_student</t>
        </is>
      </c>
      <c r="D38" s="4" t="inlineStr">
        <is>
          <t>Assess the lateral collateral ligament, which is fully accessible.</t>
        </is>
      </c>
      <c r="E38" s="4" t="inlineStr"/>
      <c r="F38" s="4" t="inlineStr"/>
      <c r="G38" s="4" t="inlineStr"/>
    </row>
    <row r="39">
      <c r="A39" s="4" t="inlineStr">
        <is>
          <t>5.4.12-P2</t>
        </is>
      </c>
      <c r="B39" s="4" t="inlineStr">
        <is>
          <t>5.4.12</t>
        </is>
      </c>
      <c r="C39" s="4" t="inlineStr">
        <is>
          <t>medical_student</t>
        </is>
      </c>
      <c r="D39" s="4" t="inlineStr">
        <is>
          <t>Assess the biceps femoris and its insertion.</t>
        </is>
      </c>
      <c r="E39" s="4" t="inlineStr"/>
      <c r="F39" s="4" t="inlineStr"/>
      <c r="G39" s="4" t="inlineStr"/>
    </row>
    <row r="40">
      <c r="A40" s="4" t="inlineStr">
        <is>
          <t>5.4.12-P3</t>
        </is>
      </c>
      <c r="B40" s="4" t="inlineStr">
        <is>
          <t>5.4.12</t>
        </is>
      </c>
      <c r="C40" s="4" t="inlineStr">
        <is>
          <t>medical_student</t>
        </is>
      </c>
      <c r="D40" s="4" t="inlineStr">
        <is>
          <t>Assess the popliteus sheath, accepting that the intra-articular tendon is not reachable.</t>
        </is>
      </c>
      <c r="E40" s="4" t="inlineStr"/>
      <c r="F40" s="4" t="inlineStr"/>
      <c r="G40" s="4" t="inlineStr"/>
    </row>
    <row r="41">
      <c r="A41" s="4" t="inlineStr">
        <is>
          <t>5.4.12-P4</t>
        </is>
      </c>
      <c r="B41" s="4" t="inlineStr">
        <is>
          <t>5.4.12</t>
        </is>
      </c>
      <c r="C41" s="4" t="inlineStr">
        <is>
          <t>medical_student</t>
        </is>
      </c>
      <c r="D41" s="4" t="inlineStr">
        <is>
          <t>Assess the common peroneal nerve, which is where ultrasound adds most here.</t>
        </is>
      </c>
      <c r="E41" s="4" t="inlineStr"/>
      <c r="F41" s="4" t="inlineStr"/>
      <c r="G41" s="4" t="inlineStr"/>
    </row>
    <row r="42">
      <c r="A42" s="4" t="inlineStr">
        <is>
          <t>5.4.12-P5</t>
        </is>
      </c>
      <c r="B42" s="4" t="inlineStr">
        <is>
          <t>5.4.12</t>
        </is>
      </c>
      <c r="C42" s="4" t="inlineStr">
        <is>
          <t>medical_student</t>
        </is>
      </c>
      <c r="D42" s="4" t="inlineStr">
        <is>
          <t>Accept that the popliteofibular ligament and the deeper capsular structures are not reliably assessable, and report that.</t>
        </is>
      </c>
      <c r="E42" s="4" t="inlineStr"/>
      <c r="F42" s="4" t="inlineStr"/>
      <c r="G42" s="4" t="inlineStr"/>
    </row>
    <row r="43">
      <c r="A43" s="4" t="inlineStr">
        <is>
          <t>5.4.12-P6</t>
        </is>
      </c>
      <c r="B43" s="4" t="inlineStr">
        <is>
          <t>5.4.12</t>
        </is>
      </c>
      <c r="C43" s="4" t="inlineStr">
        <is>
          <t>medical_student</t>
        </is>
      </c>
      <c r="D43" s="4" t="inlineStr">
        <is>
          <t>- An incomplete assessment should be reported as incomplete.</t>
        </is>
      </c>
      <c r="E43" s="4" t="inlineStr"/>
      <c r="F43" s="4" t="inlineStr"/>
      <c r="G43" s="4" t="inlineStr"/>
    </row>
    <row r="44">
      <c r="A44" s="4" t="inlineStr">
        <is>
          <t>5.4.12-P7</t>
        </is>
      </c>
      <c r="B44" s="4" t="inlineStr">
        <is>
          <t>5.4.12</t>
        </is>
      </c>
      <c r="C44" s="4" t="inlineStr">
        <is>
          <t>fellowship</t>
        </is>
      </c>
      <c r="D44" s="4" t="inlineStr">
        <is>
          <t>At fellowship level this page is the chapter's clearest statement that ultrasound should be requested for a structure and not for a region.</t>
        </is>
      </c>
      <c r="E44" s="4" t="inlineStr"/>
      <c r="F44" s="4" t="inlineStr"/>
      <c r="G44" s="4" t="inlineStr"/>
    </row>
    <row r="45">
      <c r="A45" s="4" t="inlineStr">
        <is>
          <t>5.4.13-P1</t>
        </is>
      </c>
      <c r="B45" s="4" t="inlineStr">
        <is>
          <t>5.4.13</t>
        </is>
      </c>
      <c r="C45" s="4" t="inlineStr">
        <is>
          <t>medical_student</t>
        </is>
      </c>
      <c r="D45" s="4" t="inlineStr">
        <is>
          <t>Place the probe over the symptomatic area and ask the patient to reproduce the movement.</t>
        </is>
      </c>
      <c r="E45" s="4" t="inlineStr"/>
      <c r="F45" s="4" t="inlineStr"/>
      <c r="G45" s="4" t="inlineStr"/>
    </row>
    <row r="46">
      <c r="A46" s="4" t="inlineStr">
        <is>
          <t>5.4.13-P2</t>
        </is>
      </c>
      <c r="B46" s="4" t="inlineStr">
        <is>
          <t>5.4.13</t>
        </is>
      </c>
      <c r="C46" s="4" t="inlineStr">
        <is>
          <t>medical_student</t>
        </is>
      </c>
      <c r="D46" s="4" t="inlineStr">
        <is>
          <t>Ask the patient to say when the snap happens, and correlate it with what the screen shows.</t>
        </is>
      </c>
      <c r="E46" s="4" t="inlineStr"/>
      <c r="F46" s="4" t="inlineStr"/>
      <c r="G46" s="4" t="inlineStr"/>
    </row>
    <row r="47">
      <c r="A47" s="4" t="inlineStr">
        <is>
          <t>5.4.13-P3</t>
        </is>
      </c>
      <c r="B47" s="4" t="inlineStr">
        <is>
          <t>5.4.13</t>
        </is>
      </c>
      <c r="C47" s="4" t="inlineStr">
        <is>
          <t>medical_student</t>
        </is>
      </c>
      <c r="D47" s="4" t="inlineStr">
        <is>
          <t>Identify the tendon and the prominence it crosses, which names the lesion.</t>
        </is>
      </c>
      <c r="E47" s="4" t="inlineStr"/>
      <c r="F47" s="4" t="inlineStr"/>
      <c r="G47" s="4" t="inlineStr"/>
    </row>
    <row r="48">
      <c r="A48" s="4" t="inlineStr">
        <is>
          <t>5.4.13-P4</t>
        </is>
      </c>
      <c r="B48" s="4" t="inlineStr">
        <is>
          <t>5.4.13</t>
        </is>
      </c>
      <c r="C48" s="4" t="inlineStr">
        <is>
          <t>medical_student</t>
        </is>
      </c>
      <c r="D48" s="4" t="inlineStr">
        <is>
          <t>Record a video clip where the equipment allows, because a still image cannot show movement.</t>
        </is>
      </c>
      <c r="E48" s="4" t="inlineStr"/>
      <c r="F48" s="4" t="inlineStr"/>
      <c r="G48" s="4" t="inlineStr"/>
    </row>
    <row r="49">
      <c r="A49" s="4" t="inlineStr">
        <is>
          <t>5.4.14-P1</t>
        </is>
      </c>
      <c r="B49" s="4" t="inlineStr">
        <is>
          <t>5.4.14</t>
        </is>
      </c>
      <c r="C49" s="4" t="inlineStr">
        <is>
          <t>medical_student</t>
        </is>
      </c>
      <c r="D49" s="4" t="inlineStr">
        <is>
          <t>Place the probe transversely across the patella and the trochlea.</t>
        </is>
      </c>
      <c r="E49" s="4" t="inlineStr"/>
      <c r="F49" s="4" t="inlineStr"/>
      <c r="G49" s="4" t="inlineStr"/>
    </row>
    <row r="50">
      <c r="A50" s="4" t="inlineStr">
        <is>
          <t>5.4.14-P2</t>
        </is>
      </c>
      <c r="B50" s="4" t="inlineStr">
        <is>
          <t>5.4.14</t>
        </is>
      </c>
      <c r="C50" s="4" t="inlineStr">
        <is>
          <t>medical_student</t>
        </is>
      </c>
      <c r="D50" s="4" t="inlineStr">
        <is>
          <t>Ask the patient to extend and flex actively while watching the patella engage and disengage.</t>
        </is>
      </c>
      <c r="E50" s="4" t="inlineStr"/>
      <c r="F50" s="4" t="inlineStr"/>
      <c r="G50" s="4" t="inlineStr"/>
    </row>
    <row r="51">
      <c r="A51" s="4" t="inlineStr">
        <is>
          <t>5.4.14-P3</t>
        </is>
      </c>
      <c r="B51" s="4" t="inlineStr">
        <is>
          <t>5.4.14</t>
        </is>
      </c>
      <c r="C51" s="4" t="inlineStr">
        <is>
          <t>medical_student</t>
        </is>
      </c>
      <c r="D51" s="4" t="inlineStr">
        <is>
          <t>Add a gentle lateral glide near extension, where the restraint is tested.</t>
        </is>
      </c>
      <c r="E51" s="4" t="inlineStr"/>
      <c r="F51" s="4" t="inlineStr"/>
      <c r="G51" s="4" t="inlineStr"/>
    </row>
    <row r="52">
      <c r="A52" s="4" t="inlineStr">
        <is>
          <t>5.4.14-P4</t>
        </is>
      </c>
      <c r="B52" s="4" t="inlineStr">
        <is>
          <t>5.4.14</t>
        </is>
      </c>
      <c r="C52" s="4" t="inlineStr">
        <is>
          <t>medical_student</t>
        </is>
      </c>
      <c r="D52" s="4" t="inlineStr">
        <is>
          <t>Compare with the other side, since the comparison is more informative than either alone.</t>
        </is>
      </c>
      <c r="E52" s="4" t="inlineStr"/>
      <c r="F52" s="4" t="inlineStr"/>
      <c r="G52" s="4" t="inlineStr"/>
    </row>
    <row r="53">
      <c r="A53" s="4" t="inlineStr">
        <is>
          <t>5.4.14-P5</t>
        </is>
      </c>
      <c r="B53" s="4" t="inlineStr">
        <is>
          <t>5.4.14</t>
        </is>
      </c>
      <c r="C53" s="4" t="inlineStr">
        <is>
          <t>fellowship</t>
        </is>
      </c>
      <c r="D53" s="4" t="inlineStr">
        <is>
          <t>Probe pressure and the probe window both perturb what is being measured, which is a measurement problem rather than a technique one.</t>
        </is>
      </c>
      <c r="E53" s="4" t="inlineStr"/>
      <c r="F53" s="4" t="inlineStr"/>
      <c r="G53" s="4" t="inlineStr"/>
    </row>
    <row r="54">
      <c r="A54" s="4" t="inlineStr">
        <is>
          <t>5.4.15-P1</t>
        </is>
      </c>
      <c r="B54" s="4" t="inlineStr">
        <is>
          <t>5.4.15</t>
        </is>
      </c>
      <c r="C54" s="4" t="inlineStr">
        <is>
          <t>medical_student</t>
        </is>
      </c>
      <c r="D54" s="4" t="inlineStr">
        <is>
          <t>Place the probe over the structure to be tested and apply the stress it resists.</t>
        </is>
      </c>
      <c r="E54" s="4" t="inlineStr"/>
      <c r="F54" s="4" t="inlineStr"/>
      <c r="G54" s="4" t="inlineStr"/>
    </row>
    <row r="55">
      <c r="A55" s="4" t="inlineStr">
        <is>
          <t>5.4.15-P2</t>
        </is>
      </c>
      <c r="B55" s="4" t="inlineStr">
        <is>
          <t>5.4.15</t>
        </is>
      </c>
      <c r="C55" s="4" t="inlineStr">
        <is>
          <t>medical_student</t>
        </is>
      </c>
      <c r="D55" s="4" t="inlineStr">
        <is>
          <t>Compare with the other side under the same stress, which is the only available reference.</t>
        </is>
      </c>
      <c r="E55" s="4" t="inlineStr"/>
      <c r="F55" s="4" t="inlineStr"/>
      <c r="G55" s="4" t="inlineStr"/>
    </row>
    <row r="56">
      <c r="A56" s="4" t="inlineStr">
        <is>
          <t>5.4.15-P3</t>
        </is>
      </c>
      <c r="B56" s="4" t="inlineStr">
        <is>
          <t>5.4.15</t>
        </is>
      </c>
      <c r="C56" s="4" t="inlineStr">
        <is>
          <t>medical_student</t>
        </is>
      </c>
      <c r="D56" s="4" t="inlineStr">
        <is>
          <t>Ask the patient whether the manoeuvre reproduces their symptom, and record the answer.</t>
        </is>
      </c>
      <c r="E56" s="4" t="inlineStr"/>
      <c r="F56" s="4" t="inlineStr"/>
      <c r="G56" s="4" t="inlineStr"/>
    </row>
    <row r="57">
      <c r="A57" s="4" t="inlineStr">
        <is>
          <t>5.4.15-P4</t>
        </is>
      </c>
      <c r="B57" s="4" t="inlineStr">
        <is>
          <t>5.4.15</t>
        </is>
      </c>
      <c r="C57" s="4" t="inlineStr">
        <is>
          <t>medical_student</t>
        </is>
      </c>
      <c r="D57" s="4" t="inlineStr">
        <is>
          <t>Record a clip rather than a still, because the finding is a change over time.</t>
        </is>
      </c>
      <c r="E57" s="4" t="inlineStr"/>
      <c r="F57" s="4" t="inlineStr"/>
      <c r="G57" s="4" t="inlineStr"/>
    </row>
    <row r="58">
      <c r="A58" s="4" t="inlineStr">
        <is>
          <t>5.4.16-P1</t>
        </is>
      </c>
      <c r="B58" s="4" t="inlineStr">
        <is>
          <t>5.4.16</t>
        </is>
      </c>
      <c r="C58" s="4" t="inlineStr">
        <is>
          <t>medical_student</t>
        </is>
      </c>
      <c r="D58" s="4" t="inlineStr">
        <is>
          <t>Identify the target and plan the approach before the needle is introduced.</t>
        </is>
      </c>
      <c r="E58" s="4" t="inlineStr"/>
      <c r="F58" s="4" t="inlineStr"/>
      <c r="G58" s="4" t="inlineStr"/>
    </row>
    <row r="59">
      <c r="A59" s="4" t="inlineStr">
        <is>
          <t>5.4.16-P2</t>
        </is>
      </c>
      <c r="B59" s="4" t="inlineStr">
        <is>
          <t>5.4.16</t>
        </is>
      </c>
      <c r="C59" s="4" t="inlineStr">
        <is>
          <t>medical_student</t>
        </is>
      </c>
      <c r="D59" s="4" t="inlineStr">
        <is>
          <t>Keep the needle in the plane of the beam, because a needle out of plane appears as a dot rather than a line.</t>
        </is>
      </c>
      <c r="E59" s="4" t="inlineStr"/>
      <c r="F59" s="4" t="inlineStr"/>
      <c r="G59" s="4" t="inlineStr"/>
    </row>
    <row r="60">
      <c r="A60" s="4" t="inlineStr">
        <is>
          <t>5.4.16-P3</t>
        </is>
      </c>
      <c r="B60" s="4" t="inlineStr">
        <is>
          <t>5.4.16</t>
        </is>
      </c>
      <c r="C60" s="4" t="inlineStr">
        <is>
          <t>medical_student</t>
        </is>
      </c>
      <c r="D60" s="4" t="inlineStr">
        <is>
          <t>Avoid the vessels and nerves on the planned path, which is why the pre-scan matters.</t>
        </is>
      </c>
      <c r="E60" s="4" t="inlineStr"/>
      <c r="F60" s="4" t="inlineStr"/>
      <c r="G60" s="4" t="inlineStr"/>
    </row>
    <row r="61">
      <c r="A61" s="4" t="inlineStr">
        <is>
          <t>5.4.16-P4</t>
        </is>
      </c>
      <c r="B61" s="4" t="inlineStr">
        <is>
          <t>5.4.16</t>
        </is>
      </c>
      <c r="C61" s="4" t="inlineStr">
        <is>
          <t>medical_student</t>
        </is>
      </c>
      <c r="D61" s="4" t="inlineStr">
        <is>
          <t>Record the confirmation of correct placement rather than only the approach.</t>
        </is>
      </c>
      <c r="E61" s="4" t="inlineStr"/>
      <c r="F61" s="4" t="inlineStr"/>
      <c r="G61" s="4" t="inlineStr"/>
    </row>
    <row r="62">
      <c r="A62" s="4" t="inlineStr">
        <is>
          <t>5.4.16-P5</t>
        </is>
      </c>
      <c r="B62" s="4" t="inlineStr">
        <is>
          <t>5.4.16</t>
        </is>
      </c>
      <c r="C62" s="4" t="inlineStr">
        <is>
          <t>frcs</t>
        </is>
      </c>
      <c r="D62" s="4" t="inlineStr">
        <is>
          <t>At decision level guidance matters most where the target is small, deep or next to something that must be avoided.</t>
        </is>
      </c>
      <c r="E62" s="4" t="inlineStr"/>
      <c r="F62" s="4" t="inlineStr"/>
      <c r="G62" s="4" t="inlineStr"/>
    </row>
    <row r="63">
      <c r="A63" s="4" t="inlineStr">
        <is>
          <t>5.4.16-P6</t>
        </is>
      </c>
      <c r="B63" s="4" t="inlineStr">
        <is>
          <t>5.4.16</t>
        </is>
      </c>
      <c r="C63" s="4" t="inlineStr">
        <is>
          <t>fellowship</t>
        </is>
      </c>
      <c r="D63" s="4" t="inlineStr">
        <is>
          <t>The defensible position is that guidance should be used where the target is small or hazardous, and that the imaging claim stops at placement.</t>
        </is>
      </c>
      <c r="E63" s="4" t="inlineStr"/>
      <c r="F63" s="4" t="inlineStr"/>
      <c r="G63" s="4" t="inlineStr"/>
    </row>
    <row r="64">
      <c r="A64" s="4" t="inlineStr">
        <is>
          <t>5.4.17-P1</t>
        </is>
      </c>
      <c r="B64" s="4" t="inlineStr">
        <is>
          <t>5.4.17</t>
        </is>
      </c>
      <c r="C64" s="4" t="n"/>
      <c r="D64" s="4" t="inlineStr">
        <is>
          <t>Taking fluid out under vision, where the imaging also decides whether the collection should be aspirated at all.</t>
        </is>
      </c>
      <c r="E64" s="4" t="inlineStr"/>
      <c r="F64" s="4" t="inlineStr"/>
      <c r="G64" s="4" t="inlineStr"/>
    </row>
    <row r="65">
      <c r="A65" s="4" t="inlineStr">
        <is>
          <t>5.4.17-P2</t>
        </is>
      </c>
      <c r="B65" s="4" t="inlineStr">
        <is>
          <t>5.4.17</t>
        </is>
      </c>
      <c r="C65" s="4" t="inlineStr">
        <is>
          <t>medical_student</t>
        </is>
      </c>
      <c r="D65" s="4" t="inlineStr">
        <is>
          <t>Apply Doppler to exclude a vascular lesion, which is the step that must not be skipped.</t>
        </is>
      </c>
      <c r="E65" s="4" t="inlineStr"/>
      <c r="F65" s="4" t="inlineStr"/>
      <c r="G65" s="4" t="inlineStr"/>
    </row>
    <row r="66">
      <c r="A66" s="4" t="inlineStr">
        <is>
          <t>5.4.17-P3</t>
        </is>
      </c>
      <c r="B66" s="4" t="inlineStr">
        <is>
          <t>5.4.17</t>
        </is>
      </c>
      <c r="C66" s="4" t="inlineStr">
        <is>
          <t>medical_student</t>
        </is>
      </c>
      <c r="D66" s="4" t="inlineStr">
        <is>
          <t>Keep the needle in plane and watch the collection decrease, which confirms the tip.</t>
        </is>
      </c>
      <c r="E66" s="4" t="inlineStr"/>
      <c r="F66" s="4" t="inlineStr"/>
      <c r="G66" s="4" t="inlineStr"/>
    </row>
    <row r="67">
      <c r="A67" s="4" t="inlineStr">
        <is>
          <t>5.4.17-P4</t>
        </is>
      </c>
      <c r="B67" s="4" t="inlineStr">
        <is>
          <t>5.4.17</t>
        </is>
      </c>
      <c r="C67" s="4" t="inlineStr">
        <is>
          <t>frcs</t>
        </is>
      </c>
      <c r="D67" s="4" t="inlineStr">
        <is>
          <t>A vascular lesion must be excluded before any posterior aspiration, and that is a procedural rule rather than a preference.</t>
        </is>
      </c>
      <c r="E67" s="4" t="inlineStr"/>
      <c r="F67" s="4" t="inlineStr"/>
      <c r="G67" s="4" t="inlineStr"/>
    </row>
    <row r="68">
      <c r="A68" s="4" t="inlineStr">
        <is>
          <t>5.4.18-P1</t>
        </is>
      </c>
      <c r="B68" s="4" t="inlineStr">
        <is>
          <t>5.4.18</t>
        </is>
      </c>
      <c r="C68" s="4" t="inlineStr">
        <is>
          <t>medical_student</t>
        </is>
      </c>
      <c r="D68" s="4" t="inlineStr">
        <is>
          <t>Identify the structure to be freed and the plane around it before starting.</t>
        </is>
      </c>
      <c r="E68" s="4" t="inlineStr"/>
      <c r="F68" s="4" t="inlineStr"/>
      <c r="G68" s="4" t="inlineStr"/>
    </row>
    <row r="69">
      <c r="A69" s="4" t="inlineStr">
        <is>
          <t>5.4.18-P2</t>
        </is>
      </c>
      <c r="B69" s="4" t="inlineStr">
        <is>
          <t>5.4.18</t>
        </is>
      </c>
      <c r="C69" s="4" t="inlineStr">
        <is>
          <t>medical_student</t>
        </is>
      </c>
      <c r="D69" s="4" t="inlineStr">
        <is>
          <t>Place the needle tip in the plane rather than in the structure, which is the critical distinction.</t>
        </is>
      </c>
      <c r="E69" s="4" t="inlineStr"/>
      <c r="F69" s="4" t="inlineStr"/>
      <c r="G69" s="4" t="inlineStr"/>
    </row>
    <row r="70">
      <c r="A70" s="4" t="inlineStr">
        <is>
          <t>5.4.18-P3</t>
        </is>
      </c>
      <c r="B70" s="4" t="inlineStr">
        <is>
          <t>5.4.18</t>
        </is>
      </c>
      <c r="C70" s="4" t="inlineStr">
        <is>
          <t>medical_student</t>
        </is>
      </c>
      <c r="D70" s="4" t="inlineStr">
        <is>
          <t>Avoid injecting into the nerve itself, which is the hazard the imaging exists to prevent.</t>
        </is>
      </c>
      <c r="E70" s="4" t="inlineStr"/>
      <c r="F70" s="4" t="inlineStr"/>
      <c r="G70" s="4" t="inlineStr"/>
    </row>
    <row r="71">
      <c r="A71" s="4" t="inlineStr">
        <is>
          <t>5.4.18-P4</t>
        </is>
      </c>
      <c r="B71" s="4" t="inlineStr">
        <is>
          <t>5.4.18</t>
        </is>
      </c>
      <c r="C71" s="4" t="inlineStr">
        <is>
          <t>mrcs</t>
        </is>
      </c>
      <c r="D71" s="4" t="inlineStr">
        <is>
          <t>The nerve is the usual target because adhesion around a nerve produces symptoms that freeing it may relieve, and the nerve is also the structure that must not be injected.</t>
        </is>
      </c>
      <c r="E71" s="4" t="inlineStr"/>
      <c r="F71" s="4" t="inlineStr"/>
      <c r="G71" s="4" t="inlineStr"/>
    </row>
    <row r="72">
      <c r="A72" s="4" t="inlineStr">
        <is>
          <t>5.4.19-P1</t>
        </is>
      </c>
      <c r="B72" s="4" t="inlineStr">
        <is>
          <t>5.4.19</t>
        </is>
      </c>
      <c r="C72" s="4" t="inlineStr">
        <is>
          <t>medical_student</t>
        </is>
      </c>
      <c r="D72" s="4" t="inlineStr">
        <is>
          <t>Keep the needle in plane and confirm the tip in the target.</t>
        </is>
      </c>
      <c r="E72" s="4" t="inlineStr"/>
      <c r="F72" s="4" t="inlineStr"/>
      <c r="G72" s="4" t="inlineStr"/>
    </row>
    <row r="73">
      <c r="A73" s="4" t="inlineStr">
        <is>
          <t>5.4.19-P2</t>
        </is>
      </c>
      <c r="B73" s="4" t="inlineStr">
        <is>
          <t>5.4.19</t>
        </is>
      </c>
      <c r="C73" s="4" t="inlineStr">
        <is>
          <t>medical_student</t>
        </is>
      </c>
      <c r="D73" s="4" t="inlineStr">
        <is>
          <t>Record the target, the approach and the delivery confirmation.</t>
        </is>
      </c>
      <c r="E73" s="4" t="inlineStr"/>
      <c r="F73" s="4" t="inlineStr"/>
      <c r="G73" s="4" t="inlineStr"/>
    </row>
    <row r="74">
      <c r="A74" s="4" t="inlineStr">
        <is>
          <t>5.4.19-P3</t>
        </is>
      </c>
      <c r="B74" s="4" t="inlineStr">
        <is>
          <t>5.4.19</t>
        </is>
      </c>
      <c r="C74" s="4" t="inlineStr">
        <is>
          <t>medical_student</t>
        </is>
      </c>
      <c r="D74" s="4" t="inlineStr">
        <is>
          <t>A target whose appearance does not match the symptoms, which should prompt a pause rather than a procedure.</t>
        </is>
      </c>
      <c r="E74" s="4" t="inlineStr"/>
      <c r="F74" s="4" t="inlineStr"/>
      <c r="G74" s="4" t="inlineStr"/>
    </row>
    <row r="75">
      <c r="A75" s="4" t="inlineStr">
        <is>
          <t>5.4.19-P4</t>
        </is>
      </c>
      <c r="B75" s="4" t="inlineStr">
        <is>
          <t>5.4.19</t>
        </is>
      </c>
      <c r="C75" s="4" t="inlineStr">
        <is>
          <t>mrcs</t>
        </is>
      </c>
      <c r="D75" s="4" t="inlineStr">
        <is>
          <t>Ultrasound delivers the preparation accurately and contributes nothing to whether it should be delivered.</t>
        </is>
      </c>
      <c r="E75" s="4" t="inlineStr"/>
      <c r="F75" s="4" t="inlineStr"/>
      <c r="G75" s="4" t="inlineStr"/>
    </row>
    <row r="76">
      <c r="A76" s="4" t="inlineStr">
        <is>
          <t>5.4.20-P1</t>
        </is>
      </c>
      <c r="B76" s="4" t="inlineStr">
        <is>
          <t>5.4.20</t>
        </is>
      </c>
      <c r="C76" s="4" t="inlineStr">
        <is>
          <t>medical_student</t>
        </is>
      </c>
      <c r="D76" s="4" t="inlineStr">
        <is>
          <t>Identify the abnormal area within the tendon, since fenestration targets that tissue specifically.</t>
        </is>
      </c>
      <c r="E76" s="4" t="inlineStr"/>
      <c r="F76" s="4" t="inlineStr"/>
      <c r="G76" s="4" t="inlineStr"/>
    </row>
    <row r="77">
      <c r="A77" s="4" t="inlineStr">
        <is>
          <t>5.4.20-P2</t>
        </is>
      </c>
      <c r="B77" s="4" t="inlineStr">
        <is>
          <t>5.4.20</t>
        </is>
      </c>
      <c r="C77" s="4" t="inlineStr">
        <is>
          <t>medical_student</t>
        </is>
      </c>
      <c r="D77" s="4" t="inlineStr">
        <is>
          <t>Identify the sheath or peritendinous space as a separate compartment.</t>
        </is>
      </c>
      <c r="E77" s="4" t="inlineStr"/>
      <c r="F77" s="4" t="inlineStr"/>
      <c r="G77" s="4" t="inlineStr"/>
    </row>
    <row r="78">
      <c r="A78" s="4" t="inlineStr">
        <is>
          <t>5.4.20-P3</t>
        </is>
      </c>
      <c r="B78" s="4" t="inlineStr">
        <is>
          <t>5.4.20</t>
        </is>
      </c>
      <c r="C78" s="4" t="inlineStr">
        <is>
          <t>medical_student</t>
        </is>
      </c>
      <c r="D78" s="4" t="inlineStr">
        <is>
          <t>Identify any calcification and its acoustic shadow, which is the lavage target.</t>
        </is>
      </c>
      <c r="E78" s="4" t="inlineStr"/>
      <c r="F78" s="4" t="inlineStr"/>
      <c r="G78" s="4" t="inlineStr"/>
    </row>
    <row r="79">
      <c r="A79" s="4" t="inlineStr">
        <is>
          <t>5.4.20-P4</t>
        </is>
      </c>
      <c r="B79" s="4" t="inlineStr">
        <is>
          <t>5.4.20</t>
        </is>
      </c>
      <c r="C79" s="4" t="inlineStr">
        <is>
          <t>medical_student</t>
        </is>
      </c>
      <c r="D79" s="4" t="inlineStr">
        <is>
          <t>Keep the needle in plane and confirm which compartment the tip is in.</t>
        </is>
      </c>
      <c r="E79" s="4" t="inlineStr"/>
      <c r="F79" s="4" t="inlineStr"/>
      <c r="G79" s="4" t="inlineStr"/>
    </row>
    <row r="80">
      <c r="A80" s="4" t="inlineStr">
        <is>
          <t>5.4.20-P5</t>
        </is>
      </c>
      <c r="B80" s="4" t="inlineStr">
        <is>
          <t>5.4.20</t>
        </is>
      </c>
      <c r="C80" s="4" t="inlineStr">
        <is>
          <t>medical_student</t>
        </is>
      </c>
      <c r="D80" s="4" t="inlineStr">
        <is>
          <t>Record which compartment was entered, because the procedures are different.</t>
        </is>
      </c>
      <c r="E80" s="4" t="inlineStr"/>
      <c r="F80" s="4" t="inlineStr"/>
      <c r="G80" s="4" t="inlineStr"/>
    </row>
    <row r="81">
      <c r="A81" s="4" t="inlineStr">
        <is>
          <t>5.4.20-P6</t>
        </is>
      </c>
      <c r="B81" s="4" t="inlineStr">
        <is>
          <t>5.4.20</t>
        </is>
      </c>
      <c r="C81" s="4" t="inlineStr">
        <is>
          <t>mrcs</t>
        </is>
      </c>
      <c r="D81" s="4" t="inlineStr">
        <is>
          <t>Calcific deposits reflect strongly and cast a shadow, which is both how they are found and why a needle approaching them must be angled rather than blocked.</t>
        </is>
      </c>
      <c r="E81" s="4" t="inlineStr"/>
      <c r="F81" s="4" t="inlineStr"/>
      <c r="G81" s="4" t="inlineStr"/>
    </row>
  </sheetData>
  <dataValidations count="1">
    <dataValidation sqref="E3:E81"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79</f>
        <v/>
      </c>
      <c r="C2" s="3">
        <f>0</f>
        <v/>
      </c>
    </row>
    <row r="3">
      <c r="A3" s="2" t="inlineStr">
        <is>
          <t>Decided</t>
        </is>
      </c>
      <c r="B3" s="3">
        <f>COUNTIF(Recommendations!E3:E81,"&lt;&gt;")</f>
        <v/>
      </c>
      <c r="C3" s="3">
        <f>COUNTIF(Measurements!F3:F2,"&lt;&gt;")</f>
        <v/>
      </c>
    </row>
    <row r="4">
      <c r="A4" s="2" t="inlineStr">
        <is>
          <t>Still blank</t>
        </is>
      </c>
      <c r="B4" s="3">
        <f>B2-B3</f>
        <v/>
      </c>
      <c r="C4" s="3">
        <f>C2-C3</f>
        <v/>
      </c>
    </row>
    <row r="5">
      <c r="A5" s="2" t="inlineStr">
        <is>
          <t>CONFIRMED</t>
        </is>
      </c>
      <c r="B5" s="3">
        <f>COUNTIF(Recommendations!E3:E81,"CONFIRMED")</f>
        <v/>
      </c>
      <c r="C5" s="3" t="inlineStr"/>
    </row>
    <row r="6">
      <c r="A6" s="2" t="inlineStr">
        <is>
          <t>AMENDED</t>
        </is>
      </c>
      <c r="B6" s="3">
        <f>COUNTIF(Recommendations!E3:E81,"AMENDED")</f>
        <v/>
      </c>
      <c r="C6" s="3" t="inlineStr"/>
    </row>
    <row r="7">
      <c r="A7" s="2" t="inlineStr">
        <is>
          <t>WITHDRAWN</t>
        </is>
      </c>
      <c r="B7" s="3">
        <f>COUNTIF(Recommendations!E3:E81,"WITHDRAWN")</f>
        <v/>
      </c>
      <c r="C7" s="3" t="inlineStr"/>
    </row>
    <row r="8">
      <c r="A8" s="2" t="inlineStr">
        <is>
          <t>NOT_CLINICAL</t>
        </is>
      </c>
      <c r="B8" s="3">
        <f>COUNTIF(Recommendations!E3:E81,"NOT_CLINICAL")</f>
        <v/>
      </c>
      <c r="C8" s="3" t="inlineStr"/>
    </row>
    <row r="9">
      <c r="A9" s="2" t="inlineStr">
        <is>
          <t>VERIFIED</t>
        </is>
      </c>
      <c r="B9" s="3" t="inlineStr"/>
      <c r="C9" s="3">
        <f>COUNTIF(Measurements!F3:F2,"VERIFIED")</f>
        <v/>
      </c>
    </row>
    <row r="10">
      <c r="A10" s="2" t="inlineStr">
        <is>
          <t>CORRECTED</t>
        </is>
      </c>
      <c r="B10" s="3" t="inlineStr"/>
      <c r="C10" s="3">
        <f>COUNTIF(Measurements!F3:F2,"CORRECTED")</f>
        <v/>
      </c>
    </row>
    <row r="11">
      <c r="A11" s="2" t="inlineStr">
        <is>
          <t>REMOVED</t>
        </is>
      </c>
      <c r="B11" s="3" t="inlineStr"/>
      <c r="C11" s="3">
        <f>COUNTIF(Measurements!F3:F2,"REMOVED")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2026-10-17T19:46:25Z</dcterms:created>
  <dcterms:modified xmlns:dcterms="http://purl.org/dc/terms/" xmlns:xsi="http://www.w3.org/2001/XMLSchema-instance" xsi:type="dcterms:W3CDTF">2026-10-17T19:46:25Z</dcterms:modified>
</cp:coreProperties>
</file>