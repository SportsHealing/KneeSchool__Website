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ges" sheetId="2" state="visible" r:id="rId2"/>
    <sheet xmlns:r="http://schemas.openxmlformats.org/officeDocument/2006/relationships" name="Claims" sheetId="3" state="visible" r:id="rId3"/>
    <sheet xmlns:r="http://schemas.openxmlformats.org/officeDocument/2006/relationships" name="Recommendations" sheetId="4" state="visible" r:id="rId4"/>
    <sheet xmlns:r="http://schemas.openxmlformats.org/officeDocument/2006/relationships" name="Measurements" sheetId="5" state="visible" r:id="rId5"/>
    <sheet xmlns:r="http://schemas.openxmlformats.org/officeDocument/2006/relationships" name="Progres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font>
    <font>
      <name val="Arial"/>
      <b val="1"/>
      <color rgb="00FFFFFF"/>
    </font>
    <font>
      <name val="Arial"/>
      <i val="1"/>
      <color rgb="008A6A2F"/>
    </font>
  </fonts>
  <fills count="4">
    <fill>
      <patternFill/>
    </fill>
    <fill>
      <patternFill patternType="gray125"/>
    </fill>
    <fill>
      <patternFill patternType="solid">
        <fgColor rgb="0016382D"/>
      </patternFill>
    </fill>
    <fill>
      <patternFill patternType="solid">
        <fgColor rgb="00FAF7EF"/>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3" fillId="0" borderId="0" applyAlignment="1" pivotButton="0" quotePrefix="0" xfId="0">
      <alignment vertical="top"/>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6" customWidth="1" min="2" max="2"/>
  </cols>
  <sheetData>
    <row r="1">
      <c r="A1" s="1" t="inlineStr">
        <is>
          <t>Consultant review pack: chapter 5.3 Plain Radiography</t>
        </is>
      </c>
    </row>
    <row r="3">
      <c r="A3" s="2" t="inlineStr">
        <is>
          <t>Section</t>
        </is>
      </c>
      <c r="B3" s="3" t="inlineStr">
        <is>
          <t>5</t>
        </is>
      </c>
    </row>
    <row r="4">
      <c r="A4" s="2" t="inlineStr">
        <is>
          <t>Chapter</t>
        </is>
      </c>
      <c r="B4" s="3" t="inlineStr">
        <is>
          <t>5.3 Plain Radiography</t>
        </is>
      </c>
    </row>
    <row r="5">
      <c r="A5" s="2" t="inlineStr">
        <is>
          <t>Pages</t>
        </is>
      </c>
      <c r="B5" s="3" t="n">
        <v>20</v>
      </c>
    </row>
    <row r="6">
      <c r="A6" s="2" t="inlineStr">
        <is>
          <t>Page type</t>
        </is>
      </c>
      <c r="B6" s="3" t="inlineStr">
        <is>
          <t>imaging</t>
        </is>
      </c>
    </row>
    <row r="7">
      <c r="A7" s="2" t="inlineStr">
        <is>
          <t>Tiers</t>
        </is>
      </c>
      <c r="B7" s="3" t="inlineStr">
        <is>
          <t>medical student, mrcs, frcs, fellowship</t>
        </is>
      </c>
    </row>
    <row r="8">
      <c r="A8" s="2" t="inlineStr">
        <is>
          <t>Words</t>
        </is>
      </c>
      <c r="B8" s="3" t="inlineStr">
        <is>
          <t>25,865</t>
        </is>
      </c>
    </row>
    <row r="9">
      <c r="A9" s="2" t="inlineStr">
        <is>
          <t>Style gate</t>
        </is>
      </c>
      <c r="B9" s="3" t="inlineStr">
        <is>
          <t>all pages pass, 0 warnings</t>
        </is>
      </c>
    </row>
    <row r="10">
      <c r="A10" s="2" t="inlineStr">
        <is>
          <t>Evidence verification</t>
        </is>
      </c>
      <c r="B10" s="3" t="inlineStr">
        <is>
          <t>did not run on any page</t>
        </is>
      </c>
    </row>
    <row r="11">
      <c r="A11" s="2" t="inlineStr">
        <is>
          <t>Measurements to check</t>
        </is>
      </c>
      <c r="B11" s="3" t="n">
        <v>0</v>
      </c>
    </row>
    <row r="12">
      <c r="A12" s="2" t="inlineStr">
        <is>
          <t>Recommendations to sign</t>
        </is>
      </c>
      <c r="B12" s="3" t="n">
        <v>63</v>
      </c>
    </row>
    <row r="14">
      <c r="A14" s="2" t="inlineStr">
        <is>
          <t>What this is</t>
        </is>
      </c>
      <c r="B14" s="4" t="inlineStr">
        <is>
          <t>One chapter of KneeSchool, with every measurement and every clinical recommendation on its pages listed for review. Generated from the pages themselves by tools/review_pack.py, so this file cannot disagree with the site.</t>
        </is>
      </c>
    </row>
    <row r="15">
      <c r="A15" s="2" t="inlineStr">
        <is>
          <t>What has not happened</t>
        </is>
      </c>
      <c r="B15" s="4" t="inlineStr">
        <is>
          <t>No source was retrieved for any page in this chapter. The build environment has no access to PubMed, Cochrane, a journal or a textbook, so the pipeline's fact checking stage could not run. Every claim here has been checked by nobody. This pack stands in for the verification stage as well as for the review stage.</t>
        </is>
      </c>
    </row>
    <row r="16">
      <c r="A16" s="2" t="inlineStr">
        <is>
          <t>What to fill in</t>
        </is>
      </c>
      <c r="B16" s="4" t="inlineStr">
        <is>
          <t>The Decision column on the Recommendations and Measurements sheets, and your name. Every other cell is rewritten when the pack is regenerated. A row left blank stays outstanding and comes back in the next pack, so answering part of a sheet is a normal way to use it.</t>
        </is>
      </c>
    </row>
    <row r="17">
      <c r="A17" s="2" t="inlineStr">
        <is>
          <t>Recommendations: allowed decisions</t>
        </is>
      </c>
      <c r="B17" s="4" t="inlineStr">
        <is>
          <t>CONFIRMED, the sentence stands as written. AMENDED, it needs changing and the new wording goes in the Note column. WITHDRAWN, take it off the page. NOT_CLINICAL, it is teaching rather than clinical direction. The detector over collects on purpose, so NOT_CLINICAL is expected and is not a complaint about the page.</t>
        </is>
      </c>
    </row>
    <row r="18">
      <c r="A18" s="2" t="inlineStr">
        <is>
          <t>Measurements: allowed decisions</t>
        </is>
      </c>
      <c r="B18" s="4" t="inlineStr">
        <is>
          <t>VERIFIED, the figure is right and the source goes in the Source column. CORRECTED, the right value goes in the Note column. REMOVED, take the figure off the page.</t>
        </is>
      </c>
    </row>
    <row r="19">
      <c r="A19" s="2" t="inlineStr">
        <is>
          <t>How to return it</t>
        </is>
      </c>
      <c r="B19" s="4" t="inlineStr">
        <is>
          <t>Send the file back. It is read into the registers with: python3 tools/review_pack.py --ingest &lt;this file&gt;. One malformed row stops the whole file, so nothing is written half way.</t>
        </is>
      </c>
    </row>
    <row r="20">
      <c r="A20" s="2" t="inlineStr">
        <is>
          <t>What this cannot do</t>
        </is>
      </c>
      <c r="B20" s="4" t="inlineStr">
        <is>
          <t>It does not change a page. A confirmed recommendation needs nothing; an amended one needs the prose edited, and your wording in the Note column is what the editor works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8" customWidth="1" min="3" max="3"/>
    <col width="10" customWidth="1" min="4" max="4"/>
    <col width="52" customWidth="1" min="5" max="5"/>
  </cols>
  <sheetData>
    <row r="1">
      <c r="A1" s="5" t="inlineStr">
        <is>
          <t>Page</t>
        </is>
      </c>
      <c r="B1" s="5" t="inlineStr">
        <is>
          <t>Title</t>
        </is>
      </c>
      <c r="C1" s="5" t="inlineStr">
        <is>
          <t>Tiers</t>
        </is>
      </c>
      <c r="D1" s="5" t="inlineStr">
        <is>
          <t>Words</t>
        </is>
      </c>
      <c r="E1" s="5" t="inlineStr">
        <is>
          <t>Published as</t>
        </is>
      </c>
    </row>
    <row r="2">
      <c r="A2" s="6" t="inlineStr">
        <is>
          <t>5.3.1</t>
        </is>
      </c>
      <c r="B2" s="6" t="inlineStr">
        <is>
          <t>AP View</t>
        </is>
      </c>
      <c r="C2" s="6" t="n">
        <v>4</v>
      </c>
      <c r="D2" s="6" t="n">
        <v>1401</v>
      </c>
      <c r="E2" s="6" t="inlineStr">
        <is>
          <t>imaging/ap-view.html</t>
        </is>
      </c>
    </row>
    <row r="3">
      <c r="A3" s="6" t="inlineStr">
        <is>
          <t>5.3.2</t>
        </is>
      </c>
      <c r="B3" s="6" t="inlineStr">
        <is>
          <t>Lateral View</t>
        </is>
      </c>
      <c r="C3" s="6" t="n">
        <v>4</v>
      </c>
      <c r="D3" s="6" t="n">
        <v>1266</v>
      </c>
      <c r="E3" s="6" t="inlineStr">
        <is>
          <t>imaging/lateral-view.html</t>
        </is>
      </c>
    </row>
    <row r="4">
      <c r="A4" s="6" t="inlineStr">
        <is>
          <t>5.3.3</t>
        </is>
      </c>
      <c r="B4" s="6" t="inlineStr">
        <is>
          <t>Skyline View</t>
        </is>
      </c>
      <c r="C4" s="6" t="n">
        <v>4</v>
      </c>
      <c r="D4" s="6" t="n">
        <v>1260</v>
      </c>
      <c r="E4" s="6" t="inlineStr">
        <is>
          <t>imaging/skyline-view.html</t>
        </is>
      </c>
    </row>
    <row r="5">
      <c r="A5" s="6" t="inlineStr">
        <is>
          <t>5.3.4</t>
        </is>
      </c>
      <c r="B5" s="6" t="inlineStr">
        <is>
          <t>Tunnel View</t>
        </is>
      </c>
      <c r="C5" s="6" t="n">
        <v>4</v>
      </c>
      <c r="D5" s="6" t="n">
        <v>1284</v>
      </c>
      <c r="E5" s="6" t="inlineStr">
        <is>
          <t>imaging/tunnel-view.html</t>
        </is>
      </c>
    </row>
    <row r="6">
      <c r="A6" s="6" t="inlineStr">
        <is>
          <t>5.3.5</t>
        </is>
      </c>
      <c r="B6" s="6" t="inlineStr">
        <is>
          <t>Rosenberg View</t>
        </is>
      </c>
      <c r="C6" s="6" t="n">
        <v>4</v>
      </c>
      <c r="D6" s="6" t="n">
        <v>1324</v>
      </c>
      <c r="E6" s="6" t="inlineStr">
        <is>
          <t>imaging/rosenberg-view.html</t>
        </is>
      </c>
    </row>
    <row r="7">
      <c r="A7" s="6" t="inlineStr">
        <is>
          <t>5.3.6</t>
        </is>
      </c>
      <c r="B7" s="6" t="inlineStr">
        <is>
          <t>Long Leg Alignment Films</t>
        </is>
      </c>
      <c r="C7" s="6" t="n">
        <v>4</v>
      </c>
      <c r="D7" s="6" t="n">
        <v>1311</v>
      </c>
      <c r="E7" s="6" t="inlineStr">
        <is>
          <t>imaging/long-leg-alignment-films.html</t>
        </is>
      </c>
    </row>
    <row r="8">
      <c r="A8" s="6" t="inlineStr">
        <is>
          <t>5.3.7</t>
        </is>
      </c>
      <c r="B8" s="6" t="inlineStr">
        <is>
          <t>Mechanical Axis</t>
        </is>
      </c>
      <c r="C8" s="6" t="n">
        <v>4</v>
      </c>
      <c r="D8" s="6" t="n">
        <v>1317</v>
      </c>
      <c r="E8" s="6" t="inlineStr">
        <is>
          <t>imaging/mechanical-axis.html</t>
        </is>
      </c>
    </row>
    <row r="9">
      <c r="A9" s="6" t="inlineStr">
        <is>
          <t>5.3.8</t>
        </is>
      </c>
      <c r="B9" s="6" t="inlineStr">
        <is>
          <t>Anatomical Axis</t>
        </is>
      </c>
      <c r="C9" s="6" t="n">
        <v>4</v>
      </c>
      <c r="D9" s="6" t="n">
        <v>1380</v>
      </c>
      <c r="E9" s="6" t="inlineStr">
        <is>
          <t>imaging/anatomical-axis.html</t>
        </is>
      </c>
    </row>
    <row r="10">
      <c r="A10" s="6" t="inlineStr">
        <is>
          <t>5.3.9</t>
        </is>
      </c>
      <c r="B10" s="6" t="inlineStr">
        <is>
          <t>Joint Line Obliquity</t>
        </is>
      </c>
      <c r="C10" s="6" t="n">
        <v>4</v>
      </c>
      <c r="D10" s="6" t="n">
        <v>1334</v>
      </c>
      <c r="E10" s="6" t="inlineStr">
        <is>
          <t>imaging/joint-line-obliquity.html</t>
        </is>
      </c>
    </row>
    <row r="11">
      <c r="A11" s="6" t="inlineStr">
        <is>
          <t>5.3.10</t>
        </is>
      </c>
      <c r="B11" s="6" t="inlineStr">
        <is>
          <t>Deformity Analysis</t>
        </is>
      </c>
      <c r="C11" s="6" t="n">
        <v>4</v>
      </c>
      <c r="D11" s="6" t="n">
        <v>1327</v>
      </c>
      <c r="E11" s="6" t="inlineStr">
        <is>
          <t>imaging/deformity-analysis.html</t>
        </is>
      </c>
    </row>
    <row r="12">
      <c r="A12" s="6" t="inlineStr">
        <is>
          <t>5.3.11</t>
        </is>
      </c>
      <c r="B12" s="6" t="inlineStr">
        <is>
          <t>Tibial Plateau Fractures</t>
        </is>
      </c>
      <c r="C12" s="6" t="n">
        <v>4</v>
      </c>
      <c r="D12" s="6" t="n">
        <v>1294</v>
      </c>
      <c r="E12" s="6" t="inlineStr">
        <is>
          <t>imaging/radiographic-tibial-plateau-fractures.html</t>
        </is>
      </c>
    </row>
    <row r="13">
      <c r="A13" s="6" t="inlineStr">
        <is>
          <t>5.3.12</t>
        </is>
      </c>
      <c r="B13" s="6" t="inlineStr">
        <is>
          <t>Patellar Fractures</t>
        </is>
      </c>
      <c r="C13" s="6" t="n">
        <v>4</v>
      </c>
      <c r="D13" s="6" t="n">
        <v>1207</v>
      </c>
      <c r="E13" s="6" t="inlineStr">
        <is>
          <t>imaging/patellar-fractures.html</t>
        </is>
      </c>
    </row>
    <row r="14">
      <c r="A14" s="6" t="inlineStr">
        <is>
          <t>5.3.13</t>
        </is>
      </c>
      <c r="B14" s="6" t="inlineStr">
        <is>
          <t>Femoral Condyle Fractures</t>
        </is>
      </c>
      <c r="C14" s="6" t="n">
        <v>4</v>
      </c>
      <c r="D14" s="6" t="n">
        <v>1323</v>
      </c>
      <c r="E14" s="6" t="inlineStr">
        <is>
          <t>imaging/femoral-condyle-fractures.html</t>
        </is>
      </c>
    </row>
    <row r="15">
      <c r="A15" s="6" t="inlineStr">
        <is>
          <t>5.3.14</t>
        </is>
      </c>
      <c r="B15" s="6" t="inlineStr">
        <is>
          <t>Avulsion Injuries</t>
        </is>
      </c>
      <c r="C15" s="6" t="n">
        <v>4</v>
      </c>
      <c r="D15" s="6" t="n">
        <v>1375</v>
      </c>
      <c r="E15" s="6" t="inlineStr">
        <is>
          <t>imaging/avulsion-injuries.html</t>
        </is>
      </c>
    </row>
    <row r="16">
      <c r="A16" s="6" t="inlineStr">
        <is>
          <t>5.3.15</t>
        </is>
      </c>
      <c r="B16" s="6" t="inlineStr">
        <is>
          <t>Segond Fractures</t>
        </is>
      </c>
      <c r="C16" s="6" t="n">
        <v>4</v>
      </c>
      <c r="D16" s="6" t="n">
        <v>1244</v>
      </c>
      <c r="E16" s="6" t="inlineStr">
        <is>
          <t>imaging/segond-fractures.html</t>
        </is>
      </c>
    </row>
    <row r="17">
      <c r="A17" s="6" t="inlineStr">
        <is>
          <t>5.3.16</t>
        </is>
      </c>
      <c r="B17" s="6" t="inlineStr">
        <is>
          <t>Kellgren-Lawrence Grading</t>
        </is>
      </c>
      <c r="C17" s="6" t="n">
        <v>4</v>
      </c>
      <c r="D17" s="6" t="n">
        <v>1259</v>
      </c>
      <c r="E17" s="6" t="inlineStr">
        <is>
          <t>imaging/kellgren-lawrence-grading.html</t>
        </is>
      </c>
    </row>
    <row r="18">
      <c r="A18" s="6" t="inlineStr">
        <is>
          <t>5.3.17</t>
        </is>
      </c>
      <c r="B18" s="6" t="inlineStr">
        <is>
          <t>Joint Space Narrowing</t>
        </is>
      </c>
      <c r="C18" s="6" t="n">
        <v>4</v>
      </c>
      <c r="D18" s="6" t="n">
        <v>1229</v>
      </c>
      <c r="E18" s="6" t="inlineStr">
        <is>
          <t>imaging/joint-space-narrowing.html</t>
        </is>
      </c>
    </row>
    <row r="19">
      <c r="A19" s="6" t="inlineStr">
        <is>
          <t>5.3.18</t>
        </is>
      </c>
      <c r="B19" s="6" t="inlineStr">
        <is>
          <t>Osteophytes</t>
        </is>
      </c>
      <c r="C19" s="6" t="n">
        <v>4</v>
      </c>
      <c r="D19" s="6" t="n">
        <v>1184</v>
      </c>
      <c r="E19" s="6" t="inlineStr">
        <is>
          <t>imaging/osteophytes.html</t>
        </is>
      </c>
    </row>
    <row r="20">
      <c r="A20" s="6" t="inlineStr">
        <is>
          <t>5.3.19</t>
        </is>
      </c>
      <c r="B20" s="6" t="inlineStr">
        <is>
          <t>Subchondral Sclerosis</t>
        </is>
      </c>
      <c r="C20" s="6" t="n">
        <v>4</v>
      </c>
      <c r="D20" s="6" t="n">
        <v>1251</v>
      </c>
      <c r="E20" s="6" t="inlineStr">
        <is>
          <t>imaging/subchondral-sclerosis.html</t>
        </is>
      </c>
    </row>
    <row r="21">
      <c r="A21" s="6" t="inlineStr">
        <is>
          <t>5.3.20</t>
        </is>
      </c>
      <c r="B21" s="6" t="inlineStr">
        <is>
          <t>Alignment Changes</t>
        </is>
      </c>
      <c r="C21" s="6" t="n">
        <v>4</v>
      </c>
      <c r="D21" s="6" t="n">
        <v>1295</v>
      </c>
      <c r="E21" s="6" t="inlineStr">
        <is>
          <t>imaging/alignment-changes.html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1"/>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10" customWidth="1" min="3" max="3"/>
  </cols>
  <sheetData>
    <row r="1">
      <c r="A1" s="5" t="inlineStr">
        <is>
          <t>Page</t>
        </is>
      </c>
      <c r="B1" s="5" t="inlineStr">
        <is>
          <t>Title</t>
        </is>
      </c>
      <c r="C1" s="5" t="inlineStr">
        <is>
          <t>Claim</t>
        </is>
      </c>
    </row>
    <row r="2">
      <c r="A2" s="4" t="inlineStr">
        <is>
          <t>5.3.1</t>
        </is>
      </c>
      <c r="B2" s="4" t="inlineStr">
        <is>
          <t>AP View</t>
        </is>
      </c>
      <c r="C2" s="4" t="inlineStr">
        <is>
          <t>Standardised acquisition protocols exist and are used in trials, not clinics.</t>
        </is>
      </c>
    </row>
    <row r="3">
      <c r="A3" s="4" t="inlineStr">
        <is>
          <t>5.3.1</t>
        </is>
      </c>
      <c r="B3" s="4" t="inlineStr">
        <is>
          <t>AP View</t>
        </is>
      </c>
      <c r="C3" s="4" t="inlineStr">
        <is>
          <t>Repeat films differ by about as much as a year of progression.</t>
        </is>
      </c>
    </row>
    <row r="4">
      <c r="A4" s="4" t="inlineStr">
        <is>
          <t>5.3.1</t>
        </is>
      </c>
      <c r="B4" s="4" t="inlineStr">
        <is>
          <t>AP View</t>
        </is>
      </c>
      <c r="C4" s="4" t="inlineStr">
        <is>
          <t>Clinic films cannot substitute for a standardised acquisition.</t>
        </is>
      </c>
    </row>
    <row r="5">
      <c r="A5" s="4" t="inlineStr">
        <is>
          <t>5.3.1</t>
        </is>
      </c>
      <c r="B5" s="4" t="inlineStr">
        <is>
          <t>AP View</t>
        </is>
      </c>
      <c r="C5" s="4" t="inlineStr">
        <is>
          <t>The position is not recorded in any usable form.</t>
        </is>
      </c>
    </row>
    <row r="6">
      <c r="A6" s="4" t="inlineStr">
        <is>
          <t>5.3.1</t>
        </is>
      </c>
      <c r="B6" s="4" t="inlineStr">
        <is>
          <t>AP View</t>
        </is>
      </c>
      <c r="C6" s="4" t="inlineStr">
        <is>
          <t>Compartment appearance and symptoms correlate loosely.</t>
        </is>
      </c>
    </row>
    <row r="7">
      <c r="A7" s="4" t="inlineStr">
        <is>
          <t>5.3.2</t>
        </is>
      </c>
      <c r="B7" s="4" t="inlineStr">
        <is>
          <t>Lateral View</t>
        </is>
      </c>
      <c r="C7" s="4" t="inlineStr">
        <is>
          <t>Several patellar height ratios are in use and do not agree.</t>
        </is>
      </c>
    </row>
    <row r="8">
      <c r="A8" s="4" t="inlineStr">
        <is>
          <t>5.3.2</t>
        </is>
      </c>
      <c r="B8" s="4" t="inlineStr">
        <is>
          <t>Lateral View</t>
        </is>
      </c>
      <c r="C8" s="4" t="inlineStr">
        <is>
          <t>Tibial slope depends on tibial length included and on the axis chosen.</t>
        </is>
      </c>
    </row>
    <row r="9">
      <c r="A9" s="4" t="inlineStr">
        <is>
          <t>5.3.2</t>
        </is>
      </c>
      <c r="B9" s="4" t="inlineStr">
        <is>
          <t>Lateral View</t>
        </is>
      </c>
      <c r="C9" s="4" t="inlineStr">
        <is>
          <t>The slope thresholds come from small series measured differently.</t>
        </is>
      </c>
    </row>
    <row r="10">
      <c r="A10" s="4" t="inlineStr">
        <is>
          <t>5.3.2</t>
        </is>
      </c>
      <c r="B10" s="4" t="inlineStr">
        <is>
          <t>Lateral View</t>
        </is>
      </c>
      <c r="C10" s="4" t="inlineStr">
        <is>
          <t>Cross sectional measurement is more reproducible and not what thresholds used.</t>
        </is>
      </c>
    </row>
    <row r="11">
      <c r="A11" s="4" t="inlineStr">
        <is>
          <t>5.3.2</t>
        </is>
      </c>
      <c r="B11" s="4" t="inlineStr">
        <is>
          <t>Lateral View</t>
        </is>
      </c>
      <c r="C11" s="4" t="inlineStr">
        <is>
          <t>Report the method alongside the value.</t>
        </is>
      </c>
    </row>
    <row r="12">
      <c r="A12" s="4" t="inlineStr">
        <is>
          <t>5.3.3</t>
        </is>
      </c>
      <c r="B12" s="4" t="inlineStr">
        <is>
          <t>Skyline View</t>
        </is>
      </c>
      <c r="C12" s="4" t="inlineStr">
        <is>
          <t>The angle thresholds derive from a flexion angle rarely used now.</t>
        </is>
      </c>
    </row>
    <row r="13">
      <c r="A13" s="4" t="inlineStr">
        <is>
          <t>5.3.3</t>
        </is>
      </c>
      <c r="B13" s="4" t="inlineStr">
        <is>
          <t>Skyline View</t>
        </is>
      </c>
      <c r="C13" s="4" t="inlineStr">
        <is>
          <t>The measurements driving instability surgery are made cross sectionally.</t>
        </is>
      </c>
    </row>
    <row r="14">
      <c r="A14" s="4" t="inlineStr">
        <is>
          <t>5.3.3</t>
        </is>
      </c>
      <c r="B14" s="4" t="inlineStr">
        <is>
          <t>Skyline View</t>
        </is>
      </c>
      <c r="C14" s="4" t="inlineStr">
        <is>
          <t>The plain film's role has narrowed without the conventions following.</t>
        </is>
      </c>
    </row>
    <row r="15">
      <c r="A15" s="4" t="inlineStr">
        <is>
          <t>5.3.3</t>
        </is>
      </c>
      <c r="B15" s="4" t="inlineStr">
        <is>
          <t>Skyline View</t>
        </is>
      </c>
      <c r="C15" s="4" t="inlineStr">
        <is>
          <t>Dynamic tracking is the clinic's question and no static view answers it.</t>
        </is>
      </c>
    </row>
    <row r="16">
      <c r="A16" s="4" t="inlineStr">
        <is>
          <t>5.3.3</t>
        </is>
      </c>
      <c r="B16" s="4" t="inlineStr">
        <is>
          <t>Skyline View</t>
        </is>
      </c>
      <c r="C16" s="4" t="inlineStr">
        <is>
          <t>Read this view for the articular surface and go elsewhere for position.</t>
        </is>
      </c>
    </row>
    <row r="17">
      <c r="A17" s="4" t="inlineStr">
        <is>
          <t>5.3.4</t>
        </is>
      </c>
      <c r="B17" s="4" t="inlineStr">
        <is>
          <t>Tunnel View</t>
        </is>
      </c>
      <c r="C17" s="4" t="inlineStr">
        <is>
          <t>Real detection advantage and no characterisation ability.</t>
        </is>
      </c>
    </row>
    <row r="18">
      <c r="A18" s="4" t="inlineStr">
        <is>
          <t>5.3.4</t>
        </is>
      </c>
      <c r="B18" s="4" t="inlineStr">
        <is>
          <t>Tunnel View</t>
        </is>
      </c>
      <c r="C18" s="4" t="inlineStr">
        <is>
          <t>A positive leads to another study and a negative excludes less than it seems.</t>
        </is>
      </c>
    </row>
    <row r="19">
      <c r="A19" s="4" t="inlineStr">
        <is>
          <t>5.3.4</t>
        </is>
      </c>
      <c r="B19" s="4" t="inlineStr">
        <is>
          <t>Tunnel View</t>
        </is>
      </c>
      <c r="C19" s="4" t="inlineStr">
        <is>
          <t>The notch width literature predates routine magnetic resonance imaging.</t>
        </is>
      </c>
    </row>
    <row r="20">
      <c r="A20" s="4" t="inlineStr">
        <is>
          <t>5.3.4</t>
        </is>
      </c>
      <c r="B20" s="4" t="inlineStr">
        <is>
          <t>Tunnel View</t>
        </is>
      </c>
      <c r="C20" s="4" t="inlineStr">
        <is>
          <t>The view survives on cost and availability rather than capability.</t>
        </is>
      </c>
    </row>
    <row r="21">
      <c r="A21" s="4" t="inlineStr">
        <is>
          <t>5.3.4</t>
        </is>
      </c>
      <c r="B21" s="4" t="inlineStr">
        <is>
          <t>Tunnel View</t>
        </is>
      </c>
      <c r="C21" s="4" t="inlineStr">
        <is>
          <t>It is redundant where cross sectional imaging is already planned.</t>
        </is>
      </c>
    </row>
    <row r="22">
      <c r="A22" s="4" t="inlineStr">
        <is>
          <t>5.3.5</t>
        </is>
      </c>
      <c r="B22" s="4" t="inlineStr">
        <is>
          <t>Rosenberg View</t>
        </is>
      </c>
      <c r="C22" s="4" t="inlineStr">
        <is>
          <t>Its advantage has been established for decades and the default has not changed.</t>
        </is>
      </c>
    </row>
    <row r="23">
      <c r="A23" s="4" t="inlineStr">
        <is>
          <t>5.3.5</t>
        </is>
      </c>
      <c r="B23" s="4" t="inlineStr">
        <is>
          <t>Rosenberg View</t>
        </is>
      </c>
      <c r="C23" s="4" t="inlineStr">
        <is>
          <t>The grading systems were built on extended views.</t>
        </is>
      </c>
    </row>
    <row r="24">
      <c r="A24" s="4" t="inlineStr">
        <is>
          <t>5.3.5</t>
        </is>
      </c>
      <c r="B24" s="4" t="inlineStr">
        <is>
          <t>Rosenberg View</t>
        </is>
      </c>
      <c r="C24" s="4" t="inlineStr">
        <is>
          <t>Clinic reproducibility is below the published performance.</t>
        </is>
      </c>
    </row>
    <row r="25">
      <c r="A25" s="4" t="inlineStr">
        <is>
          <t>5.3.5</t>
        </is>
      </c>
      <c r="B25" s="4" t="inlineStr">
        <is>
          <t>Rosenberg View</t>
        </is>
      </c>
      <c r="C25" s="4" t="inlineStr">
        <is>
          <t>Weight bearing computed tomography removes the projection entirely.</t>
        </is>
      </c>
    </row>
    <row r="26">
      <c r="A26" s="4" t="inlineStr">
        <is>
          <t>5.3.5</t>
        </is>
      </c>
      <c r="B26" s="4" t="inlineStr">
        <is>
          <t>Rosenberg View</t>
        </is>
      </c>
      <c r="C26" s="4" t="inlineStr">
        <is>
          <t>Request it by name and use the same protocol every time.</t>
        </is>
      </c>
    </row>
    <row r="27">
      <c r="A27" s="4" t="inlineStr">
        <is>
          <t>5.3.6</t>
        </is>
      </c>
      <c r="B27" s="4" t="inlineStr">
        <is>
          <t>Long Leg Alignment Films</t>
        </is>
      </c>
      <c r="C27" s="4" t="inlineStr">
        <is>
          <t>Rotation is the dominant error and is hard to detect from the image.</t>
        </is>
      </c>
    </row>
    <row r="28">
      <c r="A28" s="4" t="inlineStr">
        <is>
          <t>5.3.6</t>
        </is>
      </c>
      <c r="B28" s="4" t="inlineStr">
        <is>
          <t>Long Leg Alignment Films</t>
        </is>
      </c>
      <c r="C28" s="4" t="inlineStr">
        <is>
          <t>Coronal, sagittal and rotational deformity coexist and this film measures one.</t>
        </is>
      </c>
    </row>
    <row r="29">
      <c r="A29" s="4" t="inlineStr">
        <is>
          <t>5.3.6</t>
        </is>
      </c>
      <c r="B29" s="4" t="inlineStr">
        <is>
          <t>Long Leg Alignment Films</t>
        </is>
      </c>
      <c r="C29" s="4" t="inlineStr">
        <is>
          <t>Weight bearing computed tomography measures all three under load.</t>
        </is>
      </c>
    </row>
    <row r="30">
      <c r="A30" s="4" t="inlineStr">
        <is>
          <t>5.3.6</t>
        </is>
      </c>
      <c r="B30" s="4" t="inlineStr">
        <is>
          <t>Long Leg Alignment Films</t>
        </is>
      </c>
      <c r="C30" s="4" t="inlineStr">
        <is>
          <t>Alignment targets have moved towards patient specific goals.</t>
        </is>
      </c>
    </row>
    <row r="31">
      <c r="A31" s="4" t="inlineStr">
        <is>
          <t>5.3.6</t>
        </is>
      </c>
      <c r="B31" s="4" t="inlineStr">
        <is>
          <t>Long Leg Alignment Films</t>
        </is>
      </c>
      <c r="C31" s="4" t="inlineStr">
        <is>
          <t>Say so when the film was not acquired to protocol.</t>
        </is>
      </c>
    </row>
    <row r="32">
      <c r="A32" s="4" t="inlineStr">
        <is>
          <t>5.3.7</t>
        </is>
      </c>
      <c r="B32" s="4" t="inlineStr">
        <is>
          <t>Mechanical Axis</t>
        </is>
      </c>
      <c r="C32" s="4" t="inlineStr">
        <is>
          <t>Neutral alignment is now one target among several.</t>
        </is>
      </c>
    </row>
    <row r="33">
      <c r="A33" s="4" t="inlineStr">
        <is>
          <t>5.3.7</t>
        </is>
      </c>
      <c r="B33" s="4" t="inlineStr">
        <is>
          <t>Mechanical Axis</t>
        </is>
      </c>
      <c r="C33" s="4" t="inlineStr">
        <is>
          <t>A deviation can be constitutional, and one film cannot date it.</t>
        </is>
      </c>
    </row>
    <row r="34">
      <c r="A34" s="4" t="inlineStr">
        <is>
          <t>5.3.7</t>
        </is>
      </c>
      <c r="B34" s="4" t="inlineStr">
        <is>
          <t>Mechanical Axis</t>
        </is>
      </c>
      <c r="C34" s="4" t="inlineStr">
        <is>
          <t>Standing alignment includes compartment laxity as well as bone.</t>
        </is>
      </c>
    </row>
    <row r="35">
      <c r="A35" s="4" t="inlineStr">
        <is>
          <t>5.3.7</t>
        </is>
      </c>
      <c r="B35" s="4" t="inlineStr">
        <is>
          <t>Mechanical Axis</t>
        </is>
      </c>
      <c r="C35" s="4" t="inlineStr">
        <is>
          <t>Dynamic alignment predicts load better and is rarely measured.</t>
        </is>
      </c>
    </row>
    <row r="36">
      <c r="A36" s="4" t="inlineStr">
        <is>
          <t>5.3.7</t>
        </is>
      </c>
      <c r="B36" s="4" t="inlineStr">
        <is>
          <t>Mechanical Axis</t>
        </is>
      </c>
      <c r="C36" s="4" t="inlineStr">
        <is>
          <t>The measurement is reliable and the target is contested.</t>
        </is>
      </c>
    </row>
    <row r="37">
      <c r="A37" s="4" t="inlineStr">
        <is>
          <t>5.3.8</t>
        </is>
      </c>
      <c r="B37" s="4" t="inlineStr">
        <is>
          <t>Anatomical Axis</t>
        </is>
      </c>
      <c r="C37" s="4" t="inlineStr">
        <is>
          <t>Several conventions exist on each axis system with different normal ranges.</t>
        </is>
      </c>
    </row>
    <row r="38">
      <c r="A38" s="4" t="inlineStr">
        <is>
          <t>5.3.8</t>
        </is>
      </c>
      <c r="B38" s="4" t="inlineStr">
        <is>
          <t>Anatomical Axis</t>
        </is>
      </c>
      <c r="C38" s="4" t="inlineStr">
        <is>
          <t>Alignment philosophies reference different axes.</t>
        </is>
      </c>
    </row>
    <row r="39">
      <c r="A39" s="4" t="inlineStr">
        <is>
          <t>5.3.8</t>
        </is>
      </c>
      <c r="B39" s="4" t="inlineStr">
        <is>
          <t>Anatomical Axis</t>
        </is>
      </c>
      <c r="C39" s="4" t="inlineStr">
        <is>
          <t>A navigated system's axes are not the radiographic ones.</t>
        </is>
      </c>
    </row>
    <row r="40">
      <c r="A40" s="4" t="inlineStr">
        <is>
          <t>5.3.8</t>
        </is>
      </c>
      <c r="B40" s="4" t="inlineStr">
        <is>
          <t>Anatomical Axis</t>
        </is>
      </c>
      <c r="C40" s="4" t="inlineStr">
        <is>
          <t>Three dimensional planning measures the geometry directly.</t>
        </is>
      </c>
    </row>
    <row r="41">
      <c r="A41" s="4" t="inlineStr">
        <is>
          <t>5.3.8</t>
        </is>
      </c>
      <c r="B41" s="4" t="inlineStr">
        <is>
          <t>Anatomical Axis</t>
        </is>
      </c>
      <c r="C41" s="4" t="inlineStr">
        <is>
          <t>Name the axis and the convention with every angle.</t>
        </is>
      </c>
    </row>
    <row r="42">
      <c r="A42" s="4" t="inlineStr">
        <is>
          <t>5.3.9</t>
        </is>
      </c>
      <c r="B42" s="4" t="inlineStr">
        <is>
          <t>Joint Line Obliquity</t>
        </is>
      </c>
      <c r="C42" s="4" t="inlineStr">
        <is>
          <t>Alignment philosophies differ in how much obliquity they accept.</t>
        </is>
      </c>
    </row>
    <row r="43">
      <c r="A43" s="4" t="inlineStr">
        <is>
          <t>5.3.9</t>
        </is>
      </c>
      <c r="B43" s="4" t="inlineStr">
        <is>
          <t>Joint Line Obliquity</t>
        </is>
      </c>
      <c r="C43" s="4" t="inlineStr">
        <is>
          <t>In a worn knee the femoral and tibial definitions are not parallel.</t>
        </is>
      </c>
    </row>
    <row r="44">
      <c r="A44" s="4" t="inlineStr">
        <is>
          <t>5.3.9</t>
        </is>
      </c>
      <c r="B44" s="4" t="inlineStr">
        <is>
          <t>Joint Line Obliquity</t>
        </is>
      </c>
      <c r="C44" s="4" t="inlineStr">
        <is>
          <t>Standing obliquity mixes bone, cartilage and soft tissue.</t>
        </is>
      </c>
    </row>
    <row r="45">
      <c r="A45" s="4" t="inlineStr">
        <is>
          <t>5.3.9</t>
        </is>
      </c>
      <c r="B45" s="4" t="inlineStr">
        <is>
          <t>Joint Line Obliquity</t>
        </is>
      </c>
      <c r="C45" s="4" t="inlineStr">
        <is>
          <t>A stress view would separate them and is not routine.</t>
        </is>
      </c>
    </row>
    <row r="46">
      <c r="A46" s="4" t="inlineStr">
        <is>
          <t>5.3.9</t>
        </is>
      </c>
      <c r="B46" s="4" t="inlineStr">
        <is>
          <t>Joint Line Obliquity</t>
        </is>
      </c>
      <c r="C46" s="4" t="inlineStr">
        <is>
          <t>Measure it, state the definition, and locate its source.</t>
        </is>
      </c>
    </row>
    <row r="47">
      <c r="A47" s="4" t="inlineStr">
        <is>
          <t>5.3.10</t>
        </is>
      </c>
      <c r="B47" s="4" t="inlineStr">
        <is>
          <t>Deformity Analysis</t>
        </is>
      </c>
      <c r="C47" s="4" t="inlineStr">
        <is>
          <t>Rotational deformity interacts with coronal correction.</t>
        </is>
      </c>
    </row>
    <row r="48">
      <c r="A48" s="4" t="inlineStr">
        <is>
          <t>5.3.10</t>
        </is>
      </c>
      <c r="B48" s="4" t="inlineStr">
        <is>
          <t>Deformity Analysis</t>
        </is>
      </c>
      <c r="C48" s="4" t="inlineStr">
        <is>
          <t>Population normal ranges are applied to individuals.</t>
        </is>
      </c>
    </row>
    <row r="49">
      <c r="A49" s="4" t="inlineStr">
        <is>
          <t>5.3.10</t>
        </is>
      </c>
      <c r="B49" s="4" t="inlineStr">
        <is>
          <t>Deformity Analysis</t>
        </is>
      </c>
      <c r="C49" s="4" t="inlineStr">
        <is>
          <t>Standing films include soft tissue laxity the analysis attributes to bone.</t>
        </is>
      </c>
    </row>
    <row r="50">
      <c r="A50" s="4" t="inlineStr">
        <is>
          <t>5.3.10</t>
        </is>
      </c>
      <c r="B50" s="4" t="inlineStr">
        <is>
          <t>Deformity Analysis</t>
        </is>
      </c>
      <c r="C50" s="4" t="inlineStr">
        <is>
          <t>Three dimensional planning measures all three planes directly.</t>
        </is>
      </c>
    </row>
    <row r="51">
      <c r="A51" s="4" t="inlineStr">
        <is>
          <t>5.3.10</t>
        </is>
      </c>
      <c r="B51" s="4" t="inlineStr">
        <is>
          <t>Deformity Analysis</t>
        </is>
      </c>
      <c r="C51" s="4" t="inlineStr">
        <is>
          <t>State the planar analysis's limits, and go three dimensional for multiplanar cases.</t>
        </is>
      </c>
    </row>
    <row r="52">
      <c r="A52" s="4" t="inlineStr">
        <is>
          <t>5.3.11</t>
        </is>
      </c>
      <c r="B52" s="4" t="inlineStr">
        <is>
          <t>Tibial Plateau Fractures</t>
        </is>
      </c>
      <c r="C52" s="4" t="inlineStr">
        <is>
          <t>The common classifications were defined on radiographs.</t>
        </is>
      </c>
    </row>
    <row r="53">
      <c r="A53" s="4" t="inlineStr">
        <is>
          <t>5.3.11</t>
        </is>
      </c>
      <c r="B53" s="4" t="inlineStr">
        <is>
          <t>Tibial Plateau Fractures</t>
        </is>
      </c>
      <c r="C53" s="4" t="inlineStr">
        <is>
          <t>They group fractures computed tomography shows to be mechanically different.</t>
        </is>
      </c>
    </row>
    <row r="54">
      <c r="A54" s="4" t="inlineStr">
        <is>
          <t>5.3.11</t>
        </is>
      </c>
      <c r="B54" s="4" t="inlineStr">
        <is>
          <t>Tibial Plateau Fractures</t>
        </is>
      </c>
      <c r="C54" s="4" t="inlineStr">
        <is>
          <t>Soft tissue injuries are under-recognised because the fracture dominates.</t>
        </is>
      </c>
    </row>
    <row r="55">
      <c r="A55" s="4" t="inlineStr">
        <is>
          <t>5.3.11</t>
        </is>
      </c>
      <c r="B55" s="4" t="inlineStr">
        <is>
          <t>Tibial Plateau Fractures</t>
        </is>
      </c>
      <c r="C55" s="4" t="inlineStr">
        <is>
          <t>An unaddressed root or corner injury outlasts the fracture.</t>
        </is>
      </c>
    </row>
    <row r="56">
      <c r="A56" s="4" t="inlineStr">
        <is>
          <t>5.3.11</t>
        </is>
      </c>
      <c r="B56" s="4" t="inlineStr">
        <is>
          <t>Tibial Plateau Fractures</t>
        </is>
      </c>
      <c r="C56" s="4" t="inlineStr">
        <is>
          <t>A classification should match the study it was derived from.</t>
        </is>
      </c>
    </row>
    <row r="57">
      <c r="A57" s="4" t="inlineStr">
        <is>
          <t>5.3.12</t>
        </is>
      </c>
      <c r="B57" s="4" t="inlineStr">
        <is>
          <t>Patellar Fractures</t>
        </is>
      </c>
      <c r="C57" s="4" t="inlineStr">
        <is>
          <t>Articular step and comminution determine later patellofemoral arthritis.</t>
        </is>
      </c>
    </row>
    <row r="58">
      <c r="A58" s="4" t="inlineStr">
        <is>
          <t>5.3.12</t>
        </is>
      </c>
      <c r="B58" s="4" t="inlineStr">
        <is>
          <t>Patellar Fractures</t>
        </is>
      </c>
      <c r="C58" s="4" t="inlineStr">
        <is>
          <t>Neither is measured well on plain films nor imaged routinely.</t>
        </is>
      </c>
    </row>
    <row r="59">
      <c r="A59" s="4" t="inlineStr">
        <is>
          <t>5.3.12</t>
        </is>
      </c>
      <c r="B59" s="4" t="inlineStr">
        <is>
          <t>Patellar Fractures</t>
        </is>
      </c>
      <c r="C59" s="4" t="inlineStr">
        <is>
          <t>Functional outcome depends on something no imaging measures.</t>
        </is>
      </c>
    </row>
    <row r="60">
      <c r="A60" s="4" t="inlineStr">
        <is>
          <t>5.3.12</t>
        </is>
      </c>
      <c r="B60" s="4" t="inlineStr">
        <is>
          <t>Patellar Fractures</t>
        </is>
      </c>
      <c r="C60" s="4" t="inlineStr">
        <is>
          <t>Fixation is assessed for position rather than for articular reduction.</t>
        </is>
      </c>
    </row>
    <row r="61">
      <c r="A61" s="4" t="inlineStr">
        <is>
          <t>5.3.12</t>
        </is>
      </c>
      <c r="B61" s="4" t="inlineStr">
        <is>
          <t>Patellar Fractures</t>
        </is>
      </c>
      <c r="C61" s="4" t="inlineStr">
        <is>
          <t>A bipartite patella can itself become symptomatic.</t>
        </is>
      </c>
    </row>
    <row r="62">
      <c r="A62" s="4" t="inlineStr">
        <is>
          <t>5.3.13</t>
        </is>
      </c>
      <c r="B62" s="4" t="inlineStr">
        <is>
          <t>Femoral Condyle Fractures</t>
        </is>
      </c>
      <c r="C62" s="4" t="inlineStr">
        <is>
          <t>A fracture plane aligned with the beam produces no edge to see.</t>
        </is>
      </c>
    </row>
    <row r="63">
      <c r="A63" s="4" t="inlineStr">
        <is>
          <t>5.3.13</t>
        </is>
      </c>
      <c r="B63" s="4" t="inlineStr">
        <is>
          <t>Femoral Condyle Fractures</t>
        </is>
      </c>
      <c r="C63" s="4" t="inlineStr">
        <is>
          <t>Reading harder does not help; a different projection or a volume does.</t>
        </is>
      </c>
    </row>
    <row r="64">
      <c r="A64" s="4" t="inlineStr">
        <is>
          <t>5.3.13</t>
        </is>
      </c>
      <c r="B64" s="4" t="inlineStr">
        <is>
          <t>Femoral Condyle Fractures</t>
        </is>
      </c>
      <c r="C64" s="4" t="inlineStr">
        <is>
          <t>Imaging further is a protocol decision rather than a judgement.</t>
        </is>
      </c>
    </row>
    <row r="65">
      <c r="A65" s="4" t="inlineStr">
        <is>
          <t>5.3.13</t>
        </is>
      </c>
      <c r="B65" s="4" t="inlineStr">
        <is>
          <t>Femoral Condyle Fractures</t>
        </is>
      </c>
      <c r="C65" s="4" t="inlineStr">
        <is>
          <t>Recognition improved because computed tomography became routine.</t>
        </is>
      </c>
    </row>
    <row r="66">
      <c r="A66" s="4" t="inlineStr">
        <is>
          <t>5.3.13</t>
        </is>
      </c>
      <c r="B66" s="4" t="inlineStr">
        <is>
          <t>Femoral Condyle Fractures</t>
        </is>
      </c>
      <c r="C66" s="4" t="inlineStr">
        <is>
          <t>The associated soft tissue injury is still under-recognised.</t>
        </is>
      </c>
    </row>
    <row r="67">
      <c r="A67" s="4" t="inlineStr">
        <is>
          <t>5.3.14</t>
        </is>
      </c>
      <c r="B67" s="4" t="inlineStr">
        <is>
          <t>Avulsion Injuries</t>
        </is>
      </c>
      <c r="C67" s="4" t="inlineStr">
        <is>
          <t>The fragment's diagnostic weight comes from anatomical knowledge.</t>
        </is>
      </c>
    </row>
    <row r="68">
      <c r="A68" s="4" t="inlineStr">
        <is>
          <t>5.3.14</t>
        </is>
      </c>
      <c r="B68" s="4" t="inlineStr">
        <is>
          <t>Avulsion Injuries</t>
        </is>
      </c>
      <c r="C68" s="4" t="inlineStr">
        <is>
          <t>A descriptive report loses the implication entirely.</t>
        </is>
      </c>
    </row>
    <row r="69">
      <c r="A69" s="4" t="inlineStr">
        <is>
          <t>5.3.14</t>
        </is>
      </c>
      <c r="B69" s="4" t="inlineStr">
        <is>
          <t>Avulsion Injuries</t>
        </is>
      </c>
      <c r="C69" s="4" t="inlineStr">
        <is>
          <t>The paediatric versions carry a growth consequence as well.</t>
        </is>
      </c>
    </row>
    <row r="70">
      <c r="A70" s="4" t="inlineStr">
        <is>
          <t>5.3.14</t>
        </is>
      </c>
      <c r="B70" s="4" t="inlineStr">
        <is>
          <t>Avulsion Injuries</t>
        </is>
      </c>
      <c r="C70" s="4" t="inlineStr">
        <is>
          <t>Magnetic resonance imaging shows the soft tissue and the fragment less well.</t>
        </is>
      </c>
    </row>
    <row r="71">
      <c r="A71" s="4" t="inlineStr">
        <is>
          <t>5.3.14</t>
        </is>
      </c>
      <c r="B71" s="4" t="inlineStr">
        <is>
          <t>Avulsion Injuries</t>
        </is>
      </c>
      <c r="C71" s="4" t="inlineStr">
        <is>
          <t>Read by attachment site and name the structure implicated.</t>
        </is>
      </c>
    </row>
    <row r="72">
      <c r="A72" s="4" t="inlineStr">
        <is>
          <t>5.3.15</t>
        </is>
      </c>
      <c r="B72" s="4" t="inlineStr">
        <is>
          <t>Segond Fractures</t>
        </is>
      </c>
      <c r="C72" s="4" t="inlineStr">
        <is>
          <t>The avulsed structure's identity is less settled than the fragment's origin.</t>
        </is>
      </c>
    </row>
    <row r="73">
      <c r="A73" s="4" t="inlineStr">
        <is>
          <t>5.3.15</t>
        </is>
      </c>
      <c r="B73" s="4" t="inlineStr">
        <is>
          <t>Segond Fractures</t>
        </is>
      </c>
      <c r="C73" s="4" t="inlineStr">
        <is>
          <t>Extra-articular augmentation is an active question and this is one input.</t>
        </is>
      </c>
    </row>
    <row r="74">
      <c r="A74" s="4" t="inlineStr">
        <is>
          <t>5.3.15</t>
        </is>
      </c>
      <c r="B74" s="4" t="inlineStr">
        <is>
          <t>Segond Fractures</t>
        </is>
      </c>
      <c r="C74" s="4" t="inlineStr">
        <is>
          <t>The fragment is often absent on later films, so the injury films matter.</t>
        </is>
      </c>
    </row>
    <row r="75">
      <c r="A75" s="4" t="inlineStr">
        <is>
          <t>5.3.15</t>
        </is>
      </c>
      <c r="B75" s="4" t="inlineStr">
        <is>
          <t>Segond Fractures</t>
        </is>
      </c>
      <c r="C75" s="4" t="inlineStr">
        <is>
          <t>Cross sectional imaging shows the anterolateral structures inconsistently.</t>
        </is>
      </c>
    </row>
    <row r="76">
      <c r="A76" s="4" t="inlineStr">
        <is>
          <t>5.3.15</t>
        </is>
      </c>
      <c r="B76" s="4" t="inlineStr">
        <is>
          <t>Segond Fractures</t>
        </is>
      </c>
      <c r="C76" s="4" t="inlineStr">
        <is>
          <t>A well established sign of a contested structure.</t>
        </is>
      </c>
    </row>
    <row r="77">
      <c r="A77" s="4" t="inlineStr">
        <is>
          <t>5.3.16</t>
        </is>
      </c>
      <c r="B77" s="4" t="inlineStr">
        <is>
          <t>Kellgren-Lawrence Grading</t>
        </is>
      </c>
      <c r="C77" s="4" t="inlineStr">
        <is>
          <t>It was built to classify populations and is used to grade individuals.</t>
        </is>
      </c>
    </row>
    <row r="78">
      <c r="A78" s="4" t="inlineStr">
        <is>
          <t>5.3.16</t>
        </is>
      </c>
      <c r="B78" s="4" t="inlineStr">
        <is>
          <t>Kellgren-Lawrence Grading</t>
        </is>
      </c>
      <c r="C78" s="4" t="inlineStr">
        <is>
          <t>Several modified versions exist and are not interchangeable.</t>
        </is>
      </c>
    </row>
    <row r="79">
      <c r="A79" s="4" t="inlineStr">
        <is>
          <t>5.3.16</t>
        </is>
      </c>
      <c r="B79" s="4" t="inlineStr">
        <is>
          <t>Kellgren-Lawrence Grading</t>
        </is>
      </c>
      <c r="C79" s="4" t="inlineStr">
        <is>
          <t>Reader agreement is worst in the middle of the scale.</t>
        </is>
      </c>
    </row>
    <row r="80">
      <c r="A80" s="4" t="inlineStr">
        <is>
          <t>5.3.16</t>
        </is>
      </c>
      <c r="B80" s="4" t="inlineStr">
        <is>
          <t>Kellgren-Lawrence Grading</t>
        </is>
      </c>
      <c r="C80" s="4" t="inlineStr">
        <is>
          <t>Automation improves consistency without improving validity.</t>
        </is>
      </c>
    </row>
    <row r="81">
      <c r="A81" s="4" t="inlineStr">
        <is>
          <t>5.3.16</t>
        </is>
      </c>
      <c r="B81" s="4" t="inlineStr">
        <is>
          <t>Kellgren-Lawrence Grading</t>
        </is>
      </c>
      <c r="C81" s="4" t="inlineStr">
        <is>
          <t>Describe the compartments and give the grade as a convenience.</t>
        </is>
      </c>
    </row>
    <row r="82">
      <c r="A82" s="4" t="inlineStr">
        <is>
          <t>5.3.17</t>
        </is>
      </c>
      <c r="B82" s="4" t="inlineStr">
        <is>
          <t>Joint Space Narrowing</t>
        </is>
      </c>
      <c r="C82" s="4" t="inlineStr">
        <is>
          <t>It remains the regulatory endpoint for structural progression.</t>
        </is>
      </c>
    </row>
    <row r="83">
      <c r="A83" s="4" t="inlineStr">
        <is>
          <t>5.3.17</t>
        </is>
      </c>
      <c r="B83" s="4" t="inlineStr">
        <is>
          <t>Joint Space Narrowing</t>
        </is>
      </c>
      <c r="C83" s="4" t="inlineStr">
        <is>
          <t>Trial grade and clinic measurements are different quantities with one name.</t>
        </is>
      </c>
    </row>
    <row r="84">
      <c r="A84" s="4" t="inlineStr">
        <is>
          <t>5.3.17</t>
        </is>
      </c>
      <c r="B84" s="4" t="inlineStr">
        <is>
          <t>Joint Space Narrowing</t>
        </is>
      </c>
      <c r="C84" s="4" t="inlineStr">
        <is>
          <t>Meniscal extrusion confounds it substantially.</t>
        </is>
      </c>
    </row>
    <row r="85">
      <c r="A85" s="4" t="inlineStr">
        <is>
          <t>5.3.17</t>
        </is>
      </c>
      <c r="B85" s="4" t="inlineStr">
        <is>
          <t>Joint Space Narrowing</t>
        </is>
      </c>
      <c r="C85" s="4" t="inlineStr">
        <is>
          <t>Neither half of the mechanism is measured under load.</t>
        </is>
      </c>
    </row>
    <row r="86">
      <c r="A86" s="4" t="inlineStr">
        <is>
          <t>5.3.17</t>
        </is>
      </c>
      <c r="B86" s="4" t="inlineStr">
        <is>
          <t>Joint Space Narrowing</t>
        </is>
      </c>
      <c r="C86" s="4" t="inlineStr">
        <is>
          <t>Better measures exist and have not displaced the surrogate.</t>
        </is>
      </c>
    </row>
    <row r="87">
      <c r="A87" s="4" t="inlineStr">
        <is>
          <t>5.3.18</t>
        </is>
      </c>
      <c r="B87" s="4" t="inlineStr">
        <is>
          <t>Osteophytes</t>
        </is>
      </c>
      <c r="C87" s="4" t="inlineStr">
        <is>
          <t>The scale weights the feature with no mechanical consequence earliest.</t>
        </is>
      </c>
    </row>
    <row r="88">
      <c r="A88" s="4" t="inlineStr">
        <is>
          <t>5.3.18</t>
        </is>
      </c>
      <c r="B88" s="4" t="inlineStr">
        <is>
          <t>Osteophytes</t>
        </is>
      </c>
      <c r="C88" s="4" t="inlineStr">
        <is>
          <t>Osteophyte may be adaptive, making its presence a mixed signal.</t>
        </is>
      </c>
    </row>
    <row r="89">
      <c r="A89" s="4" t="inlineStr">
        <is>
          <t>5.3.18</t>
        </is>
      </c>
      <c r="B89" s="4" t="inlineStr">
        <is>
          <t>Osteophytes</t>
        </is>
      </c>
      <c r="C89" s="4" t="inlineStr">
        <is>
          <t>Magnetic resonance imaging detects it earlier without changing its meaning.</t>
        </is>
      </c>
    </row>
    <row r="90">
      <c r="A90" s="4" t="inlineStr">
        <is>
          <t>5.3.18</t>
        </is>
      </c>
      <c r="B90" s="4" t="inlineStr">
        <is>
          <t>Osteophytes</t>
        </is>
      </c>
      <c r="C90" s="4" t="inlineStr">
        <is>
          <t>Its interference with the extrusion landmark has no agreed solution.</t>
        </is>
      </c>
    </row>
    <row r="91">
      <c r="A91" s="4" t="inlineStr">
        <is>
          <t>5.3.18</t>
        </is>
      </c>
      <c r="B91" s="4" t="inlineStr">
        <is>
          <t>Osteophytes</t>
        </is>
      </c>
      <c r="C91" s="4" t="inlineStr">
        <is>
          <t>Report it as diagnostic and carry severity in the compartment description.</t>
        </is>
      </c>
    </row>
    <row r="92">
      <c r="A92" s="4" t="inlineStr">
        <is>
          <t>5.3.19</t>
        </is>
      </c>
      <c r="B92" s="4" t="inlineStr">
        <is>
          <t>Subchondral Sclerosis</t>
        </is>
      </c>
      <c r="C92" s="4" t="inlineStr">
        <is>
          <t>Sclerosis and the marrow lesion are the same place and different properties.</t>
        </is>
      </c>
    </row>
    <row r="93">
      <c r="A93" s="4" t="inlineStr">
        <is>
          <t>5.3.19</t>
        </is>
      </c>
      <c r="B93" s="4" t="inlineStr">
        <is>
          <t>Subchondral Sclerosis</t>
        </is>
      </c>
      <c r="C93" s="4" t="inlineStr">
        <is>
          <t>The marrow lesion carries prognostic associations and sclerosis does not.</t>
        </is>
      </c>
    </row>
    <row r="94">
      <c r="A94" s="4" t="inlineStr">
        <is>
          <t>5.3.19</t>
        </is>
      </c>
      <c r="B94" s="4" t="inlineStr">
        <is>
          <t>Subchondral Sclerosis</t>
        </is>
      </c>
      <c r="C94" s="4" t="inlineStr">
        <is>
          <t>Radiographic density is uncalibrated and cannot be used longitudinally.</t>
        </is>
      </c>
    </row>
    <row r="95">
      <c r="A95" s="4" t="inlineStr">
        <is>
          <t>5.3.19</t>
        </is>
      </c>
      <c r="B95" s="4" t="inlineStr">
        <is>
          <t>Subchondral Sclerosis</t>
        </is>
      </c>
      <c r="C95" s="4" t="inlineStr">
        <is>
          <t>Computed tomography measures density quantitatively and is unused here.</t>
        </is>
      </c>
    </row>
    <row r="96">
      <c r="A96" s="4" t="inlineStr">
        <is>
          <t>5.3.19</t>
        </is>
      </c>
      <c r="B96" s="4" t="inlineStr">
        <is>
          <t>Subchondral Sclerosis</t>
        </is>
      </c>
      <c r="C96" s="4" t="inlineStr">
        <is>
          <t>Read sclerosis as confirmation and go cross sectional for measurement.</t>
        </is>
      </c>
    </row>
    <row r="97">
      <c r="A97" s="4" t="inlineStr">
        <is>
          <t>5.3.20</t>
        </is>
      </c>
      <c r="B97" s="4" t="inlineStr">
        <is>
          <t>Alignment Changes</t>
        </is>
      </c>
      <c r="C97" s="4" t="inlineStr">
        <is>
          <t>Alignment, wear and laxity are three contributors to one measurement.</t>
        </is>
      </c>
    </row>
    <row r="98">
      <c r="A98" s="4" t="inlineStr">
        <is>
          <t>5.3.20</t>
        </is>
      </c>
      <c r="B98" s="4" t="inlineStr">
        <is>
          <t>Alignment Changes</t>
        </is>
      </c>
      <c r="C98" s="4" t="inlineStr">
        <is>
          <t>Patient specific targets make the pre-arthritic alignment valuable and unrecoverable.</t>
        </is>
      </c>
    </row>
    <row r="99">
      <c r="A99" s="4" t="inlineStr">
        <is>
          <t>5.3.20</t>
        </is>
      </c>
      <c r="B99" s="4" t="inlineStr">
        <is>
          <t>Alignment Changes</t>
        </is>
      </c>
      <c r="C99" s="4" t="inlineStr">
        <is>
          <t>Whether correction changes the natural history is uncertain for most patients.</t>
        </is>
      </c>
    </row>
    <row r="100">
      <c r="A100" s="4" t="inlineStr">
        <is>
          <t>5.3.20</t>
        </is>
      </c>
      <c r="B100" s="4" t="inlineStr">
        <is>
          <t>Alignment Changes</t>
        </is>
      </c>
      <c r="C100" s="4" t="inlineStr">
        <is>
          <t>The decision rests on the oldest imaging technology in this section.</t>
        </is>
      </c>
    </row>
    <row r="101">
      <c r="A101" s="4" t="inlineStr">
        <is>
          <t>5.3.20</t>
        </is>
      </c>
      <c r="B101" s="4" t="inlineStr">
        <is>
          <t>Alignment Changes</t>
        </is>
      </c>
      <c r="C101" s="4" t="inlineStr">
        <is>
          <t>Radiography answers load and alignment questions only when position is controlled.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5"/>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86" customWidth="1" min="4" max="4"/>
    <col width="16" customWidth="1" min="5" max="5"/>
    <col width="22" customWidth="1" min="6" max="6"/>
    <col width="50" customWidth="1" min="7" max="7"/>
  </cols>
  <sheetData>
    <row r="1">
      <c r="A1" s="5" t="inlineStr">
        <is>
          <t>Ref</t>
        </is>
      </c>
      <c r="B1" s="5" t="inlineStr">
        <is>
          <t>Page</t>
        </is>
      </c>
      <c r="C1" s="5" t="inlineStr">
        <is>
          <t>Tier</t>
        </is>
      </c>
      <c r="D1" s="5" t="inlineStr">
        <is>
          <t>Sentence</t>
        </is>
      </c>
      <c r="E1" s="5" t="inlineStr">
        <is>
          <t>Decision</t>
        </is>
      </c>
      <c r="F1" s="5" t="inlineStr">
        <is>
          <t>Reviewer</t>
        </is>
      </c>
      <c r="G1" s="5" t="inlineStr">
        <is>
          <t>Note</t>
        </is>
      </c>
    </row>
    <row r="2">
      <c r="A2" s="7" t="inlineStr">
        <is>
          <t>EXAMPLE</t>
        </is>
      </c>
      <c r="B2" s="7" t="inlineStr">
        <is>
          <t>0.0.0</t>
        </is>
      </c>
      <c r="C2" s="7" t="inlineStr">
        <is>
          <t>mrcs</t>
        </is>
      </c>
      <c r="D2" s="7" t="inlineStr">
        <is>
          <t>This row shows the expected format and is ignored when the pack is read back.</t>
        </is>
      </c>
      <c r="E2" s="7" t="inlineStr">
        <is>
          <t>CONFIRMED</t>
        </is>
      </c>
      <c r="F2" s="7" t="inlineStr">
        <is>
          <t>Miss A Surgeon</t>
        </is>
      </c>
      <c r="G2" s="7" t="inlineStr">
        <is>
          <t>Leave the Note column empty unless amending.</t>
        </is>
      </c>
    </row>
    <row r="3">
      <c r="A3" s="4" t="inlineStr">
        <is>
          <t>5.3.1-P1</t>
        </is>
      </c>
      <c r="B3" s="4" t="inlineStr">
        <is>
          <t>5.3.1</t>
        </is>
      </c>
      <c r="C3" s="4" t="inlineStr">
        <is>
          <t>medical_student</t>
        </is>
      </c>
      <c r="D3" s="4" t="inlineStr">
        <is>
          <t>Take it standing where the question is about the compartment, because a supine film unloads the joint.</t>
        </is>
      </c>
      <c r="E3" s="4" t="inlineStr"/>
      <c r="F3" s="4" t="inlineStr"/>
      <c r="G3" s="4" t="inlineStr"/>
    </row>
    <row r="4">
      <c r="A4" s="4" t="inlineStr">
        <is>
          <t>5.3.1-P2</t>
        </is>
      </c>
      <c r="B4" s="4" t="inlineStr">
        <is>
          <t>5.3.1</t>
        </is>
      </c>
      <c r="C4" s="4" t="inlineStr">
        <is>
          <t>medical_student</t>
        </is>
      </c>
      <c r="D4" s="4" t="inlineStr">
        <is>
          <t>Keep the knee extended, since flexion changes which part of the femoral condyle faces the tibia.</t>
        </is>
      </c>
      <c r="E4" s="4" t="inlineStr"/>
      <c r="F4" s="4" t="inlineStr"/>
      <c r="G4" s="4" t="inlineStr"/>
    </row>
    <row r="5">
      <c r="A5" s="4" t="inlineStr">
        <is>
          <t>5.3.1-P3</t>
        </is>
      </c>
      <c r="B5" s="4" t="inlineStr">
        <is>
          <t>5.3.1</t>
        </is>
      </c>
      <c r="C5" s="4" t="inlineStr">
        <is>
          <t>medical_student</t>
        </is>
      </c>
      <c r="D5" s="4" t="inlineStr">
        <is>
          <t>Confirm the position from the image: the patella should sit central over the femur and the fibular head overlap should look the same between studies.</t>
        </is>
      </c>
      <c r="E5" s="4" t="inlineStr"/>
      <c r="F5" s="4" t="inlineStr"/>
      <c r="G5" s="4" t="inlineStr"/>
    </row>
    <row r="6">
      <c r="A6" s="4" t="inlineStr">
        <is>
          <t>5.3.2-P1</t>
        </is>
      </c>
      <c r="B6" s="4" t="inlineStr">
        <is>
          <t>5.3.2</t>
        </is>
      </c>
      <c r="C6" s="4" t="inlineStr">
        <is>
          <t>medical_student</t>
        </is>
      </c>
      <c r="D6" s="4" t="inlineStr">
        <is>
          <t>Keep the flexion angle consistent, because patellar height measurements change with flexion.</t>
        </is>
      </c>
      <c r="E6" s="4" t="inlineStr"/>
      <c r="F6" s="4" t="inlineStr"/>
      <c r="G6" s="4" t="inlineStr"/>
    </row>
    <row r="7">
      <c r="A7" s="4" t="inlineStr">
        <is>
          <t>5.3.2-P2</t>
        </is>
      </c>
      <c r="B7" s="4" t="inlineStr">
        <is>
          <t>5.3.2</t>
        </is>
      </c>
      <c r="C7" s="4" t="inlineStr">
        <is>
          <t>medical_student</t>
        </is>
      </c>
      <c r="D7" s="4" t="inlineStr">
        <is>
          <t>Confirm the lateral is true before measuring anything, which is the step most often skipped.</t>
        </is>
      </c>
      <c r="E7" s="4" t="inlineStr"/>
      <c r="F7" s="4" t="inlineStr"/>
      <c r="G7" s="4" t="inlineStr"/>
    </row>
    <row r="8">
      <c r="A8" s="4" t="inlineStr">
        <is>
          <t>5.3.3-P1</t>
        </is>
      </c>
      <c r="B8" s="4" t="inlineStr">
        <is>
          <t>5.3.3</t>
        </is>
      </c>
      <c r="C8" s="4" t="inlineStr">
        <is>
          <t>medical_student</t>
        </is>
      </c>
      <c r="D8" s="4" t="inlineStr">
        <is>
          <t>Keep the flexion angle consistent between studies, because patellar position changes through flexion.</t>
        </is>
      </c>
      <c r="E8" s="4" t="inlineStr"/>
      <c r="F8" s="4" t="inlineStr"/>
      <c r="G8" s="4" t="inlineStr"/>
    </row>
    <row r="9">
      <c r="A9" s="4" t="inlineStr">
        <is>
          <t>5.3.3-P2</t>
        </is>
      </c>
      <c r="B9" s="4" t="inlineStr">
        <is>
          <t>5.3.3</t>
        </is>
      </c>
      <c r="C9" s="4" t="inlineStr">
        <is>
          <t>medical_student</t>
        </is>
      </c>
      <c r="D9" s="4" t="inlineStr">
        <is>
          <t>Assess both knees where instability is the question, since the comparison is informative.</t>
        </is>
      </c>
      <c r="E9" s="4" t="inlineStr"/>
      <c r="F9" s="4" t="inlineStr"/>
      <c r="G9" s="4" t="inlineStr"/>
    </row>
    <row r="10">
      <c r="A10" s="4" t="inlineStr">
        <is>
          <t>5.3.3-P3</t>
        </is>
      </c>
      <c r="B10" s="4" t="inlineStr">
        <is>
          <t>5.3.3</t>
        </is>
      </c>
      <c r="C10" s="4" t="inlineStr">
        <is>
          <t>medical_student</t>
        </is>
      </c>
      <c r="D10" s="4" t="inlineStr">
        <is>
          <t>Record the flexion angle, because the measurements depend on it.</t>
        </is>
      </c>
      <c r="E10" s="4" t="inlineStr"/>
      <c r="F10" s="4" t="inlineStr"/>
      <c r="G10" s="4" t="inlineStr"/>
    </row>
    <row r="11">
      <c r="A11" s="4" t="inlineStr">
        <is>
          <t>5.3.3-P4</t>
        </is>
      </c>
      <c r="B11" s="4" t="inlineStr">
        <is>
          <t>5.3.3</t>
        </is>
      </c>
      <c r="C11" s="4" t="inlineStr">
        <is>
          <t>medical_student</t>
        </is>
      </c>
      <c r="D11" s="4" t="inlineStr">
        <is>
          <t>- The flexion angle must be recorded because the measurements depend on it.</t>
        </is>
      </c>
      <c r="E11" s="4" t="inlineStr"/>
      <c r="F11" s="4" t="inlineStr"/>
      <c r="G11" s="4" t="inlineStr"/>
    </row>
    <row r="12">
      <c r="A12" s="4" t="inlineStr">
        <is>
          <t>5.3.3-P5</t>
        </is>
      </c>
      <c r="B12" s="4" t="inlineStr">
        <is>
          <t>5.3.3</t>
        </is>
      </c>
      <c r="C12" s="4" t="inlineStr">
        <is>
          <t>frcs</t>
        </is>
      </c>
      <c r="D12" s="4" t="inlineStr">
        <is>
          <t>At decision level this view supports the arthritis decision and should not carry the instability one.</t>
        </is>
      </c>
      <c r="E12" s="4" t="inlineStr"/>
      <c r="F12" s="4" t="inlineStr"/>
      <c r="G12" s="4" t="inlineStr"/>
    </row>
    <row r="13">
      <c r="A13" s="4" t="inlineStr">
        <is>
          <t>5.3.4-P1</t>
        </is>
      </c>
      <c r="B13" s="4" t="inlineStr">
        <is>
          <t>5.3.4</t>
        </is>
      </c>
      <c r="C13" s="4" t="inlineStr">
        <is>
          <t>medical_student</t>
        </is>
      </c>
      <c r="D13" s="4" t="inlineStr">
        <is>
          <t>Keep the flexion and beam angle consistent, since both change which part of the condyle is profiled.</t>
        </is>
      </c>
      <c r="E13" s="4" t="inlineStr"/>
      <c r="F13" s="4" t="inlineStr"/>
      <c r="G13" s="4" t="inlineStr"/>
    </row>
    <row r="14">
      <c r="A14" s="4" t="inlineStr">
        <is>
          <t>5.3.4-P2</t>
        </is>
      </c>
      <c r="B14" s="4" t="inlineStr">
        <is>
          <t>5.3.4</t>
        </is>
      </c>
      <c r="C14" s="4" t="inlineStr">
        <is>
          <t>medical_student</t>
        </is>
      </c>
      <c r="D14" s="4" t="inlineStr">
        <is>
          <t>Assess the notch width, since notch narrowing accompanies arthritis and has been associated with cruciate injury.</t>
        </is>
      </c>
      <c r="E14" s="4" t="inlineStr"/>
      <c r="F14" s="4" t="inlineStr"/>
      <c r="G14" s="4" t="inlineStr"/>
    </row>
    <row r="15">
      <c r="A15" s="4" t="inlineStr">
        <is>
          <t>5.3.5-P1</t>
        </is>
      </c>
      <c r="B15" s="4" t="inlineStr">
        <is>
          <t>5.3.5</t>
        </is>
      </c>
      <c r="C15" s="4" t="inlineStr">
        <is>
          <t>medical_student</t>
        </is>
      </c>
      <c r="D15" s="4" t="inlineStr">
        <is>
          <t>Keep the flexion angle fixed by protocol, which is what makes the view reproducible.</t>
        </is>
      </c>
      <c r="E15" s="4" t="inlineStr"/>
      <c r="F15" s="4" t="inlineStr"/>
      <c r="G15" s="4" t="inlineStr"/>
    </row>
    <row r="16">
      <c r="A16" s="4" t="inlineStr">
        <is>
          <t>5.3.5-P2</t>
        </is>
      </c>
      <c r="B16" s="4" t="inlineStr">
        <is>
          <t>5.3.5</t>
        </is>
      </c>
      <c r="C16" s="4" t="inlineStr">
        <is>
          <t>medical_student</t>
        </is>
      </c>
      <c r="D16" s="4" t="inlineStr">
        <is>
          <t>Use the same protocol for a follow up study, because the measurement is only meaningful against a matched acquisition.</t>
        </is>
      </c>
      <c r="E16" s="4" t="inlineStr"/>
      <c r="F16" s="4" t="inlineStr"/>
      <c r="G16" s="4" t="inlineStr"/>
    </row>
    <row r="17">
      <c r="A17" s="4" t="inlineStr">
        <is>
          <t>5.3.5-P3</t>
        </is>
      </c>
      <c r="B17" s="4" t="inlineStr">
        <is>
          <t>5.3.5</t>
        </is>
      </c>
      <c r="C17" s="4" t="inlineStr">
        <is>
          <t>medical_student</t>
        </is>
      </c>
      <c r="D17" s="4" t="inlineStr">
        <is>
          <t>Assess both compartments, since the comparison needs no calibration.</t>
        </is>
      </c>
      <c r="E17" s="4" t="inlineStr"/>
      <c r="F17" s="4" t="inlineStr"/>
      <c r="G17" s="4" t="inlineStr"/>
    </row>
    <row r="18">
      <c r="A18" s="4" t="inlineStr">
        <is>
          <t>5.3.5-P4</t>
        </is>
      </c>
      <c r="B18" s="4" t="inlineStr">
        <is>
          <t>5.3.5</t>
        </is>
      </c>
      <c r="C18" s="4" t="inlineStr">
        <is>
          <t>medical_student</t>
        </is>
      </c>
      <c r="D18" s="4" t="inlineStr">
        <is>
          <t>Read it alongside the lateral and the skyline for the other two compartments.</t>
        </is>
      </c>
      <c r="E18" s="4" t="inlineStr"/>
      <c r="F18" s="4" t="inlineStr"/>
      <c r="G18" s="4" t="inlineStr"/>
    </row>
    <row r="19">
      <c r="A19" s="4" t="inlineStr">
        <is>
          <t>5.3.6-P1</t>
        </is>
      </c>
      <c r="B19" s="4" t="inlineStr">
        <is>
          <t>5.3.6</t>
        </is>
      </c>
      <c r="C19" s="4" t="inlineStr">
        <is>
          <t>medical_student</t>
        </is>
      </c>
      <c r="D19" s="4" t="inlineStr">
        <is>
          <t>Take it standing, with weight on both legs, because alignment under load is the quantity of interest.</t>
        </is>
      </c>
      <c r="E19" s="4" t="inlineStr"/>
      <c r="F19" s="4" t="inlineStr"/>
      <c r="G19" s="4" t="inlineStr"/>
    </row>
    <row r="20">
      <c r="A20" s="4" t="inlineStr">
        <is>
          <t>5.3.6-P2</t>
        </is>
      </c>
      <c r="B20" s="4" t="inlineStr">
        <is>
          <t>5.3.6</t>
        </is>
      </c>
      <c r="C20" s="4" t="inlineStr">
        <is>
          <t>medical_student</t>
        </is>
      </c>
      <c r="D20" s="4" t="inlineStr">
        <is>
          <t>Keep the knees extended, because a flexion deformity projects as apparent varus or valgus.</t>
        </is>
      </c>
      <c r="E20" s="4" t="inlineStr"/>
      <c r="F20" s="4" t="inlineStr"/>
      <c r="G20" s="4" t="inlineStr"/>
    </row>
    <row r="21">
      <c r="A21" s="4" t="inlineStr">
        <is>
          <t>5.3.6-P3</t>
        </is>
      </c>
      <c r="B21" s="4" t="inlineStr">
        <is>
          <t>5.3.6</t>
        </is>
      </c>
      <c r="C21" s="4" t="inlineStr">
        <is>
          <t>medical_student</t>
        </is>
      </c>
      <c r="D21" s="4" t="inlineStr">
        <is>
          <t>Use a long source to detector distance, which reduces the divergence across a long field.</t>
        </is>
      </c>
      <c r="E21" s="4" t="inlineStr"/>
      <c r="F21" s="4" t="inlineStr"/>
      <c r="G21" s="4" t="inlineStr"/>
    </row>
    <row r="22">
      <c r="A22" s="4" t="inlineStr">
        <is>
          <t>5.3.7-P1</t>
        </is>
      </c>
      <c r="B22" s="4" t="inlineStr">
        <is>
          <t>5.3.7</t>
        </is>
      </c>
      <c r="C22" s="4" t="inlineStr">
        <is>
          <t>medical_student</t>
        </is>
      </c>
      <c r="D22" s="4" t="inlineStr">
        <is>
          <t>Identify the femoral head centre and the ankle centre on a standing long leg film.</t>
        </is>
      </c>
      <c r="E22" s="4" t="inlineStr"/>
      <c r="F22" s="4" t="inlineStr"/>
      <c r="G22" s="4" t="inlineStr"/>
    </row>
    <row r="23">
      <c r="A23" s="4" t="inlineStr">
        <is>
          <t>5.3.7-P2</t>
        </is>
      </c>
      <c r="B23" s="4" t="inlineStr">
        <is>
          <t>5.3.7</t>
        </is>
      </c>
      <c r="C23" s="4" t="inlineStr">
        <is>
          <t>medical_student</t>
        </is>
      </c>
      <c r="D23" s="4" t="inlineStr">
        <is>
          <t>Check the positioning conditions before trusting the result.</t>
        </is>
      </c>
      <c r="E23" s="4" t="inlineStr"/>
      <c r="F23" s="4" t="inlineStr"/>
      <c r="G23" s="4" t="inlineStr"/>
    </row>
    <row r="24">
      <c r="A24" s="4" t="inlineStr">
        <is>
          <t>5.3.8-P1</t>
        </is>
      </c>
      <c r="B24" s="4" t="inlineStr">
        <is>
          <t>5.3.8</t>
        </is>
      </c>
      <c r="C24" s="4" t="inlineStr">
        <is>
          <t>medical_student</t>
        </is>
      </c>
      <c r="D24" s="4" t="inlineStr">
        <is>
          <t>Measure the angle between them at the knee, which is the tibiofemoral angle.</t>
        </is>
      </c>
      <c r="E24" s="4" t="inlineStr"/>
      <c r="F24" s="4" t="inlineStr"/>
      <c r="G24" s="4" t="inlineStr"/>
    </row>
    <row r="25">
      <c r="A25" s="4" t="inlineStr">
        <is>
          <t>5.3.8-P2</t>
        </is>
      </c>
      <c r="B25" s="4" t="inlineStr">
        <is>
          <t>5.3.8</t>
        </is>
      </c>
      <c r="C25" s="4" t="inlineStr">
        <is>
          <t>medical_student</t>
        </is>
      </c>
      <c r="D25" s="4" t="inlineStr">
        <is>
          <t>Use the tibial axis for slope and for component alignment, since the tibial anatomical and mechanical axes nearly coincide.</t>
        </is>
      </c>
      <c r="E25" s="4" t="inlineStr"/>
      <c r="F25" s="4" t="inlineStr"/>
      <c r="G25" s="4" t="inlineStr"/>
    </row>
    <row r="26">
      <c r="A26" s="4" t="inlineStr">
        <is>
          <t>5.3.8-P3</t>
        </is>
      </c>
      <c r="B26" s="4" t="inlineStr">
        <is>
          <t>5.3.8</t>
        </is>
      </c>
      <c r="C26" s="4" t="inlineStr">
        <is>
          <t>medical_student</t>
        </is>
      </c>
      <c r="D26" s="4" t="inlineStr">
        <is>
          <t>Record which axis was used, because the two give different numbers for the same knee.</t>
        </is>
      </c>
      <c r="E26" s="4" t="inlineStr"/>
      <c r="F26" s="4" t="inlineStr"/>
      <c r="G26" s="4" t="inlineStr"/>
    </row>
    <row r="27">
      <c r="A27" s="4" t="inlineStr">
        <is>
          <t>5.3.9-P1</t>
        </is>
      </c>
      <c r="B27" s="4" t="inlineStr">
        <is>
          <t>5.3.9</t>
        </is>
      </c>
      <c r="C27" s="4" t="inlineStr">
        <is>
          <t>medical_student</t>
        </is>
      </c>
      <c r="D27" s="4" t="inlineStr">
        <is>
          <t>Measure on a standing long leg film, because the reference is the limb's mechanical axis.</t>
        </is>
      </c>
      <c r="E27" s="4" t="inlineStr"/>
      <c r="F27" s="4" t="inlineStr"/>
      <c r="G27" s="4" t="inlineStr"/>
    </row>
    <row r="28">
      <c r="A28" s="4" t="inlineStr">
        <is>
          <t>5.3.9-P2</t>
        </is>
      </c>
      <c r="B28" s="4" t="inlineStr">
        <is>
          <t>5.3.9</t>
        </is>
      </c>
      <c r="C28" s="4" t="inlineStr">
        <is>
          <t>medical_student</t>
        </is>
      </c>
      <c r="D28" s="4" t="inlineStr">
        <is>
          <t>Compare with the perpendicular to the mechanical axis rather than to the film edge.</t>
        </is>
      </c>
      <c r="E28" s="4" t="inlineStr"/>
      <c r="F28" s="4" t="inlineStr"/>
      <c r="G28" s="4" t="inlineStr"/>
    </row>
    <row r="29">
      <c r="A29" s="4" t="inlineStr">
        <is>
          <t>5.3.9-P3</t>
        </is>
      </c>
      <c r="B29" s="4" t="inlineStr">
        <is>
          <t>5.3.9</t>
        </is>
      </c>
      <c r="C29" s="4" t="inlineStr">
        <is>
          <t>mrcs</t>
        </is>
      </c>
      <c r="D29" s="4" t="inlineStr">
        <is>
          <t>Say that the joint line definition must be stated.</t>
        </is>
      </c>
      <c r="E29" s="4" t="inlineStr"/>
      <c r="F29" s="4" t="inlineStr"/>
      <c r="G29" s="4" t="inlineStr"/>
    </row>
    <row r="30">
      <c r="A30" s="4" t="inlineStr">
        <is>
          <t>5.3.9-P4</t>
        </is>
      </c>
      <c r="B30" s="4" t="inlineStr">
        <is>
          <t>5.3.9</t>
        </is>
      </c>
      <c r="C30" s="4" t="inlineStr">
        <is>
          <t>fellowship</t>
        </is>
      </c>
      <c r="D30" s="4" t="inlineStr">
        <is>
          <t>The position worth holding is that obliquity should be measured, its definition stated, and its source located before a correction is planned.</t>
        </is>
      </c>
      <c r="E30" s="4" t="inlineStr"/>
      <c r="F30" s="4" t="inlineStr"/>
      <c r="G30" s="4" t="inlineStr"/>
    </row>
    <row r="31">
      <c r="A31" s="4" t="inlineStr">
        <is>
          <t>5.3.10-P1</t>
        </is>
      </c>
      <c r="B31" s="4" t="inlineStr">
        <is>
          <t>5.3.10</t>
        </is>
      </c>
      <c r="C31" s="4" t="inlineStr">
        <is>
          <t>medical_student</t>
        </is>
      </c>
      <c r="D31" s="4" t="inlineStr">
        <is>
          <t>Start from a standing long leg film with the positioning conditions met.</t>
        </is>
      </c>
      <c r="E31" s="4" t="inlineStr"/>
      <c r="F31" s="4" t="inlineStr"/>
      <c r="G31" s="4" t="inlineStr"/>
    </row>
    <row r="32">
      <c r="A32" s="4" t="inlineStr">
        <is>
          <t>5.3.10-P2</t>
        </is>
      </c>
      <c r="B32" s="4" t="inlineStr">
        <is>
          <t>5.3.10</t>
        </is>
      </c>
      <c r="C32" s="4" t="inlineStr">
        <is>
          <t>medical_student</t>
        </is>
      </c>
      <c r="D32" s="4" t="inlineStr">
        <is>
          <t>Measure the femoral and tibial contributions separately against their own joint orientation references.</t>
        </is>
      </c>
      <c r="E32" s="4" t="inlineStr"/>
      <c r="F32" s="4" t="inlineStr"/>
      <c r="G32" s="4" t="inlineStr"/>
    </row>
    <row r="33">
      <c r="A33" s="4" t="inlineStr">
        <is>
          <t>5.3.10-P3</t>
        </is>
      </c>
      <c r="B33" s="4" t="inlineStr">
        <is>
          <t>5.3.10</t>
        </is>
      </c>
      <c r="C33" s="4" t="inlineStr">
        <is>
          <t>medical_student</t>
        </is>
      </c>
      <c r="D33" s="4" t="inlineStr">
        <is>
          <t>Assess the joint line separately from the bones above and below it.</t>
        </is>
      </c>
      <c r="E33" s="4" t="inlineStr"/>
      <c r="F33" s="4" t="inlineStr"/>
      <c r="G33" s="4" t="inlineStr"/>
    </row>
    <row r="34">
      <c r="A34" s="4" t="inlineStr">
        <is>
          <t>5.3.10-P4</t>
        </is>
      </c>
      <c r="B34" s="4" t="inlineStr">
        <is>
          <t>5.3.10</t>
        </is>
      </c>
      <c r="C34" s="4" t="inlineStr">
        <is>
          <t>medical_student</t>
        </is>
      </c>
      <c r="D34" s="4" t="inlineStr">
        <is>
          <t>Assess the sagittal plane on the lateral film, because a flexion deformity is part of the analysis.</t>
        </is>
      </c>
      <c r="E34" s="4" t="inlineStr"/>
      <c r="F34" s="4" t="inlineStr"/>
      <c r="G34" s="4" t="inlineStr"/>
    </row>
    <row r="35">
      <c r="A35" s="4" t="inlineStr">
        <is>
          <t>5.3.10-P5</t>
        </is>
      </c>
      <c r="B35" s="4" t="inlineStr">
        <is>
          <t>5.3.10</t>
        </is>
      </c>
      <c r="C35" s="4" t="inlineStr">
        <is>
          <t>medical_student</t>
        </is>
      </c>
      <c r="D35" s="4" t="inlineStr">
        <is>
          <t>Compare with the other limb, since a bilateral pattern suggests constitutional rather than acquired deformity.</t>
        </is>
      </c>
      <c r="E35" s="4" t="inlineStr"/>
      <c r="F35" s="4" t="inlineStr"/>
      <c r="G35" s="4" t="inlineStr"/>
    </row>
    <row r="36">
      <c r="A36" s="4" t="inlineStr">
        <is>
          <t>5.3.11-P1</t>
        </is>
      </c>
      <c r="B36" s="4" t="inlineStr">
        <is>
          <t>5.3.11</t>
        </is>
      </c>
      <c r="C36" s="4" t="inlineStr">
        <is>
          <t>medical_student</t>
        </is>
      </c>
      <c r="D36" s="4" t="inlineStr">
        <is>
          <t>Assess the fibular head and the proximal tibia for associated fractures.</t>
        </is>
      </c>
      <c r="E36" s="4" t="inlineStr"/>
      <c r="F36" s="4" t="inlineStr"/>
      <c r="G36" s="4" t="inlineStr"/>
    </row>
    <row r="37">
      <c r="A37" s="4" t="inlineStr">
        <is>
          <t>5.3.11-P2</t>
        </is>
      </c>
      <c r="B37" s="4" t="inlineStr">
        <is>
          <t>5.3.11</t>
        </is>
      </c>
      <c r="C37" s="4" t="inlineStr">
        <is>
          <t>medical_student</t>
        </is>
      </c>
      <c r="D37" s="4" t="inlineStr">
        <is>
          <t>Proceed to computed tomography for any fracture involving the surface, because the plain films understate it.</t>
        </is>
      </c>
      <c r="E37" s="4" t="inlineStr"/>
      <c r="F37" s="4" t="inlineStr"/>
      <c r="G37" s="4" t="inlineStr"/>
    </row>
    <row r="38">
      <c r="A38" s="4" t="inlineStr">
        <is>
          <t>5.3.12-P1</t>
        </is>
      </c>
      <c r="B38" s="4" t="inlineStr">
        <is>
          <t>5.3.12</t>
        </is>
      </c>
      <c r="C38" s="4" t="inlineStr">
        <is>
          <t>medical_student</t>
        </is>
      </c>
      <c r="D38" s="4" t="inlineStr">
        <is>
          <t>Assess the patellar height, since a displaced fracture or a tendon rupture changes it.</t>
        </is>
      </c>
      <c r="E38" s="4" t="inlineStr"/>
      <c r="F38" s="4" t="inlineStr"/>
      <c r="G38" s="4" t="inlineStr"/>
    </row>
    <row r="39">
      <c r="A39" s="4" t="inlineStr">
        <is>
          <t>5.3.12-P2</t>
        </is>
      </c>
      <c r="B39" s="4" t="inlineStr">
        <is>
          <t>5.3.12</t>
        </is>
      </c>
      <c r="C39" s="4" t="inlineStr">
        <is>
          <t>medical_student</t>
        </is>
      </c>
      <c r="D39" s="4" t="inlineStr">
        <is>
          <t>Assess the extensor mechanism clinically, because the imaging cannot.</t>
        </is>
      </c>
      <c r="E39" s="4" t="inlineStr"/>
      <c r="F39" s="4" t="inlineStr"/>
      <c r="G39" s="4" t="inlineStr"/>
    </row>
    <row r="40">
      <c r="A40" s="4" t="inlineStr">
        <is>
          <t>5.3.13-P1</t>
        </is>
      </c>
      <c r="B40" s="4" t="inlineStr">
        <is>
          <t>5.3.13</t>
        </is>
      </c>
      <c r="C40" s="4" t="inlineStr">
        <is>
          <t>medical_student</t>
        </is>
      </c>
      <c r="D40" s="4" t="inlineStr">
        <is>
          <t>Consider the tunnel view where an osteochondral fragment is suspected.</t>
        </is>
      </c>
      <c r="E40" s="4" t="inlineStr"/>
      <c r="F40" s="4" t="inlineStr"/>
      <c r="G40" s="4" t="inlineStr"/>
    </row>
    <row r="41">
      <c r="A41" s="4" t="inlineStr">
        <is>
          <t>5.3.13-P2</t>
        </is>
      </c>
      <c r="B41" s="4" t="inlineStr">
        <is>
          <t>5.3.13</t>
        </is>
      </c>
      <c r="C41" s="4" t="inlineStr">
        <is>
          <t>medical_student</t>
        </is>
      </c>
      <c r="D41" s="4" t="inlineStr">
        <is>
          <t>Proceed to computed tomography for any suspected articular involvement, because the coronal plane is the plane plain films lose.</t>
        </is>
      </c>
      <c r="E41" s="4" t="inlineStr"/>
      <c r="F41" s="4" t="inlineStr"/>
      <c r="G41" s="4" t="inlineStr"/>
    </row>
    <row r="42">
      <c r="A42" s="4" t="inlineStr">
        <is>
          <t>5.3.14-P1</t>
        </is>
      </c>
      <c r="B42" s="4" t="inlineStr">
        <is>
          <t>5.3.14</t>
        </is>
      </c>
      <c r="C42" s="4" t="inlineStr">
        <is>
          <t>medical_student</t>
        </is>
      </c>
      <c r="D42" s="4" t="inlineStr">
        <is>
          <t>Assess the fragment's size and displacement, which decide whether it can be fixed directly.</t>
        </is>
      </c>
      <c r="E42" s="4" t="inlineStr"/>
      <c r="F42" s="4" t="inlineStr"/>
      <c r="G42" s="4" t="inlineStr"/>
    </row>
    <row r="43">
      <c r="A43" s="4" t="inlineStr">
        <is>
          <t>5.3.14-P2</t>
        </is>
      </c>
      <c r="B43" s="4" t="inlineStr">
        <is>
          <t>5.3.14</t>
        </is>
      </c>
      <c r="C43" s="4" t="inlineStr">
        <is>
          <t>medical_student</t>
        </is>
      </c>
      <c r="D43" s="4" t="inlineStr">
        <is>
          <t>Consider the skeletal age, since an avulsion in a child may involve the physis.</t>
        </is>
      </c>
      <c r="E43" s="4" t="inlineStr"/>
      <c r="F43" s="4" t="inlineStr"/>
      <c r="G43" s="4" t="inlineStr"/>
    </row>
    <row r="44">
      <c r="A44" s="4" t="inlineStr">
        <is>
          <t>5.3.14-P3</t>
        </is>
      </c>
      <c r="B44" s="4" t="inlineStr">
        <is>
          <t>5.3.14</t>
        </is>
      </c>
      <c r="C44" s="4" t="inlineStr">
        <is>
          <t>medical_student</t>
        </is>
      </c>
      <c r="D44" s="4" t="inlineStr">
        <is>
          <t>Proceed to a magnetic resonance study to assess the attached structure, which the radiograph does not show.</t>
        </is>
      </c>
      <c r="E44" s="4" t="inlineStr"/>
      <c r="F44" s="4" t="inlineStr"/>
      <c r="G44" s="4" t="inlineStr"/>
    </row>
    <row r="45">
      <c r="A45" s="4" t="inlineStr">
        <is>
          <t>5.3.15-P1</t>
        </is>
      </c>
      <c r="B45" s="4" t="inlineStr">
        <is>
          <t>5.3.15</t>
        </is>
      </c>
      <c r="C45" s="4" t="inlineStr">
        <is>
          <t>medical_student</t>
        </is>
      </c>
      <c r="D45" s="4" t="inlineStr">
        <is>
          <t>Recognise it as a thin vertically oriented fleck parallel to the tibial cortex.</t>
        </is>
      </c>
      <c r="E45" s="4" t="inlineStr"/>
      <c r="F45" s="4" t="inlineStr"/>
      <c r="G45" s="4" t="inlineStr"/>
    </row>
    <row r="46">
      <c r="A46" s="4" t="inlineStr">
        <is>
          <t>5.3.15-P2</t>
        </is>
      </c>
      <c r="B46" s="4" t="inlineStr">
        <is>
          <t>5.3.15</t>
        </is>
      </c>
      <c r="C46" s="4" t="inlineStr">
        <is>
          <t>medical_student</t>
        </is>
      </c>
      <c r="D46" s="4" t="inlineStr">
        <is>
          <t>Assess the cruciate deliberately once it is seen, because the association is the point.</t>
        </is>
      </c>
      <c r="E46" s="4" t="inlineStr"/>
      <c r="F46" s="4" t="inlineStr"/>
      <c r="G46" s="4" t="inlineStr"/>
    </row>
    <row r="47">
      <c r="A47" s="4" t="inlineStr">
        <is>
          <t>5.3.15-P3</t>
        </is>
      </c>
      <c r="B47" s="4" t="inlineStr">
        <is>
          <t>5.3.15</t>
        </is>
      </c>
      <c r="C47" s="4" t="inlineStr">
        <is>
          <t>medical_student</t>
        </is>
      </c>
      <c r="D47" s="4" t="inlineStr">
        <is>
          <t>Assess the posterolateral and anterolateral structures, which is where the fragment came from.</t>
        </is>
      </c>
      <c r="E47" s="4" t="inlineStr"/>
      <c r="F47" s="4" t="inlineStr"/>
      <c r="G47" s="4" t="inlineStr"/>
    </row>
    <row r="48">
      <c r="A48" s="4" t="inlineStr">
        <is>
          <t>5.3.15-P4</t>
        </is>
      </c>
      <c r="B48" s="4" t="inlineStr">
        <is>
          <t>5.3.15</t>
        </is>
      </c>
      <c r="C48" s="4" t="inlineStr">
        <is>
          <t>medical_student</t>
        </is>
      </c>
      <c r="D48" s="4" t="inlineStr">
        <is>
          <t>Proceed to a magnetic resonance study, since the radiograph has done its job by raising the question.</t>
        </is>
      </c>
      <c r="E48" s="4" t="inlineStr"/>
      <c r="F48" s="4" t="inlineStr"/>
      <c r="G48" s="4" t="inlineStr"/>
    </row>
    <row r="49">
      <c r="A49" s="4" t="inlineStr">
        <is>
          <t>5.3.15-P5</t>
        </is>
      </c>
      <c r="B49" s="4" t="inlineStr">
        <is>
          <t>5.3.15</t>
        </is>
      </c>
      <c r="C49" s="4" t="inlineStr">
        <is>
          <t>frcs</t>
        </is>
      </c>
      <c r="D49" s="4" t="inlineStr">
        <is>
          <t>The associated posterolateral corner must be assessed separately, since the two are not the same injury.</t>
        </is>
      </c>
      <c r="E49" s="4" t="inlineStr"/>
      <c r="F49" s="4" t="inlineStr"/>
      <c r="G49" s="4" t="inlineStr"/>
    </row>
    <row r="50">
      <c r="A50" s="4" t="inlineStr">
        <is>
          <t>5.3.15-P6</t>
        </is>
      </c>
      <c r="B50" s="4" t="inlineStr">
        <is>
          <t>5.3.15</t>
        </is>
      </c>
      <c r="C50" s="4" t="inlineStr">
        <is>
          <t>fellowship</t>
        </is>
      </c>
      <c r="D50" s="4" t="inlineStr">
        <is>
          <t>Whether an extra-articular augmentation should be added to a cruciate reconstruction is an active question, and this fragment is one of the inputs rather than an answer.</t>
        </is>
      </c>
      <c r="E50" s="4" t="inlineStr"/>
      <c r="F50" s="4" t="inlineStr"/>
      <c r="G50" s="4" t="inlineStr"/>
    </row>
    <row r="51">
      <c r="A51" s="4" t="inlineStr">
        <is>
          <t>5.3.16-P1</t>
        </is>
      </c>
      <c r="B51" s="4" t="inlineStr">
        <is>
          <t>5.3.16</t>
        </is>
      </c>
      <c r="C51" s="4" t="inlineStr">
        <is>
          <t>medical_student</t>
        </is>
      </c>
      <c r="D51" s="4" t="inlineStr">
        <is>
          <t>Assess the features on a standing anteroposterior view, which is what the system was defined on.</t>
        </is>
      </c>
      <c r="E51" s="4" t="inlineStr"/>
      <c r="F51" s="4" t="inlineStr"/>
      <c r="G51" s="4" t="inlineStr"/>
    </row>
    <row r="52">
      <c r="A52" s="4" t="inlineStr">
        <is>
          <t>5.3.16-P2</t>
        </is>
      </c>
      <c r="B52" s="4" t="inlineStr">
        <is>
          <t>5.3.16</t>
        </is>
      </c>
      <c r="C52" s="4" t="inlineStr">
        <is>
          <t>medical_student</t>
        </is>
      </c>
      <c r="D52" s="4" t="inlineStr">
        <is>
          <t>Grade each knee rather than each compartment, since the system is applied per knee.</t>
        </is>
      </c>
      <c r="E52" s="4" t="inlineStr"/>
      <c r="F52" s="4" t="inlineStr"/>
      <c r="G52" s="4" t="inlineStr"/>
    </row>
    <row r="53">
      <c r="A53" s="4" t="inlineStr">
        <is>
          <t>5.3.16-P3</t>
        </is>
      </c>
      <c r="B53" s="4" t="inlineStr">
        <is>
          <t>5.3.16</t>
        </is>
      </c>
      <c r="C53" s="4" t="inlineStr">
        <is>
          <t>frcs</t>
        </is>
      </c>
      <c r="D53" s="4" t="inlineStr">
        <is>
          <t>Grade changes are treated as a quantity of progression.</t>
        </is>
      </c>
      <c r="E53" s="4" t="inlineStr"/>
      <c r="F53" s="4" t="inlineStr"/>
      <c r="G53" s="4" t="inlineStr"/>
    </row>
    <row r="54">
      <c r="A54" s="4" t="inlineStr">
        <is>
          <t>5.3.17-P1</t>
        </is>
      </c>
      <c r="B54" s="4" t="inlineStr">
        <is>
          <t>5.3.17</t>
        </is>
      </c>
      <c r="C54" s="4" t="inlineStr">
        <is>
          <t>medical_student</t>
        </is>
      </c>
      <c r="D54" s="4" t="inlineStr">
        <is>
          <t>Assess it on a standing view, because the structures in the gap deform under load.</t>
        </is>
      </c>
      <c r="E54" s="4" t="inlineStr"/>
      <c r="F54" s="4" t="inlineStr"/>
      <c r="G54" s="4" t="inlineStr"/>
    </row>
    <row r="55">
      <c r="A55" s="4" t="inlineStr">
        <is>
          <t>5.3.17-P2</t>
        </is>
      </c>
      <c r="B55" s="4" t="inlineStr">
        <is>
          <t>5.3.17</t>
        </is>
      </c>
      <c r="C55" s="4" t="inlineStr">
        <is>
          <t>medical_student</t>
        </is>
      </c>
      <c r="D55" s="4" t="inlineStr">
        <is>
          <t>Use a flexed standing view where early loss is the question, since the loaded contact area is the one that wears.</t>
        </is>
      </c>
      <c r="E55" s="4" t="inlineStr"/>
      <c r="F55" s="4" t="inlineStr"/>
      <c r="G55" s="4" t="inlineStr"/>
    </row>
    <row r="56">
      <c r="A56" s="4" t="inlineStr">
        <is>
          <t>5.3.17-P3</t>
        </is>
      </c>
      <c r="B56" s="4" t="inlineStr">
        <is>
          <t>5.3.17</t>
        </is>
      </c>
      <c r="C56" s="4" t="inlineStr">
        <is>
          <t>medical_student</t>
        </is>
      </c>
      <c r="D56" s="4" t="inlineStr">
        <is>
          <t>Compare compartments rather than measuring absolutely, which removes the magnification problem.</t>
        </is>
      </c>
      <c r="E56" s="4" t="inlineStr"/>
      <c r="F56" s="4" t="inlineStr"/>
      <c r="G56" s="4" t="inlineStr"/>
    </row>
    <row r="57">
      <c r="A57" s="4" t="inlineStr">
        <is>
          <t>5.3.17-P4</t>
        </is>
      </c>
      <c r="B57" s="4" t="inlineStr">
        <is>
          <t>5.3.17</t>
        </is>
      </c>
      <c r="C57" s="4" t="inlineStr">
        <is>
          <t>medical_student</t>
        </is>
      </c>
      <c r="D57" s="4" t="inlineStr">
        <is>
          <t>Use a matched acquisition for any comparison over time.</t>
        </is>
      </c>
      <c r="E57" s="4" t="inlineStr"/>
      <c r="F57" s="4" t="inlineStr"/>
      <c r="G57" s="4" t="inlineStr"/>
    </row>
    <row r="58">
      <c r="A58" s="4" t="inlineStr">
        <is>
          <t>5.3.19-P1</t>
        </is>
      </c>
      <c r="B58" s="4" t="inlineStr">
        <is>
          <t>5.3.19</t>
        </is>
      </c>
      <c r="C58" s="4" t="inlineStr">
        <is>
          <t>medical_student</t>
        </is>
      </c>
      <c r="D58" s="4" t="inlineStr">
        <is>
          <t>Assess the subchondral region on the standing anteroposterior view, in the compartment that is narrowed.</t>
        </is>
      </c>
      <c r="E58" s="4" t="inlineStr"/>
      <c r="F58" s="4" t="inlineStr"/>
      <c r="G58" s="4" t="inlineStr"/>
    </row>
    <row r="59">
      <c r="A59" s="4" t="inlineStr">
        <is>
          <t>5.3.19-P2</t>
        </is>
      </c>
      <c r="B59" s="4" t="inlineStr">
        <is>
          <t>5.3.19</t>
        </is>
      </c>
      <c r="C59" s="4" t="inlineStr">
        <is>
          <t>medical_student</t>
        </is>
      </c>
      <c r="D59" s="4" t="inlineStr">
        <is>
          <t>Compare with the opposite compartment, which is the reference that needs no calibration.</t>
        </is>
      </c>
      <c r="E59" s="4" t="inlineStr"/>
      <c r="F59" s="4" t="inlineStr"/>
      <c r="G59" s="4" t="inlineStr"/>
    </row>
    <row r="60">
      <c r="A60" s="4" t="inlineStr">
        <is>
          <t>5.3.19-P3</t>
        </is>
      </c>
      <c r="B60" s="4" t="inlineStr">
        <is>
          <t>5.3.19</t>
        </is>
      </c>
      <c r="C60" s="4" t="inlineStr">
        <is>
          <t>medical_student</t>
        </is>
      </c>
      <c r="D60" s="4" t="inlineStr">
        <is>
          <t>Assess the patellofemoral compartment separately on the skyline view.</t>
        </is>
      </c>
      <c r="E60" s="4" t="inlineStr"/>
      <c r="F60" s="4" t="inlineStr"/>
      <c r="G60" s="4" t="inlineStr"/>
    </row>
    <row r="61">
      <c r="A61" s="4" t="inlineStr">
        <is>
          <t>5.3.19-P4</t>
        </is>
      </c>
      <c r="B61" s="4" t="inlineStr">
        <is>
          <t>5.3.19</t>
        </is>
      </c>
      <c r="C61" s="4" t="inlineStr">
        <is>
          <t>frcs</t>
        </is>
      </c>
      <c r="D61" s="4" t="inlineStr">
        <is>
          <t>Sclerosis in a compartment the alignment does not load is discordant and should prompt a different explanation.</t>
        </is>
      </c>
      <c r="E61" s="4" t="inlineStr"/>
      <c r="F61" s="4" t="inlineStr"/>
      <c r="G61" s="4" t="inlineStr"/>
    </row>
    <row r="62">
      <c r="A62" s="4" t="inlineStr">
        <is>
          <t>5.3.20-P1</t>
        </is>
      </c>
      <c r="B62" s="4" t="inlineStr">
        <is>
          <t>5.3.20</t>
        </is>
      </c>
      <c r="C62" s="4" t="inlineStr">
        <is>
          <t>medical_student</t>
        </is>
      </c>
      <c r="D62" s="4" t="inlineStr">
        <is>
          <t>Measure alignment on a standing long leg film, which is the only film that can.</t>
        </is>
      </c>
      <c r="E62" s="4" t="inlineStr"/>
      <c r="F62" s="4" t="inlineStr"/>
      <c r="G62" s="4" t="inlineStr"/>
    </row>
    <row r="63">
      <c r="A63" s="4" t="inlineStr">
        <is>
          <t>5.3.20-P2</t>
        </is>
      </c>
      <c r="B63" s="4" t="inlineStr">
        <is>
          <t>5.3.20</t>
        </is>
      </c>
      <c r="C63" s="4" t="inlineStr">
        <is>
          <t>medical_student</t>
        </is>
      </c>
      <c r="D63" s="4" t="inlineStr">
        <is>
          <t>Assess whether the deformity is intra-articular or bony, since wear driven deformity sits in the joint.</t>
        </is>
      </c>
      <c r="E63" s="4" t="inlineStr"/>
      <c r="F63" s="4" t="inlineStr"/>
      <c r="G63" s="4" t="inlineStr"/>
    </row>
    <row r="64">
      <c r="A64" s="4" t="inlineStr">
        <is>
          <t>5.3.20-P3</t>
        </is>
      </c>
      <c r="B64" s="4" t="inlineStr">
        <is>
          <t>5.3.20</t>
        </is>
      </c>
      <c r="C64" s="4" t="inlineStr">
        <is>
          <t>medical_student</t>
        </is>
      </c>
      <c r="D64" s="4" t="inlineStr">
        <is>
          <t>Assess the other limb, because a symmetrical pattern suggests a constitutional component.</t>
        </is>
      </c>
      <c r="E64" s="4" t="inlineStr"/>
      <c r="F64" s="4" t="inlineStr"/>
      <c r="G64" s="4" t="inlineStr"/>
    </row>
    <row r="65">
      <c r="A65" s="4" t="inlineStr">
        <is>
          <t>5.3.20-P4</t>
        </is>
      </c>
      <c r="B65" s="4" t="inlineStr">
        <is>
          <t>5.3.20</t>
        </is>
      </c>
      <c r="C65" s="4" t="inlineStr">
        <is>
          <t>medical_student</t>
        </is>
      </c>
      <c r="D65" s="4" t="inlineStr">
        <is>
          <t>Compare with older films where they exist, which is the only direct evidence of progression.</t>
        </is>
      </c>
      <c r="E65" s="4" t="inlineStr"/>
      <c r="F65" s="4" t="inlineStr"/>
      <c r="G65" s="4" t="inlineStr"/>
    </row>
  </sheetData>
  <dataValidations count="1">
    <dataValidation sqref="E3:E65" showDropDown="0" showInputMessage="0" showErrorMessage="0" allowBlank="1" errorTitle="Not an allowed decision" error="Use one of: CONFIRMED, AMENDED, WITHDRAWN, NOT_CLINICAL" type="list">
      <formula1>"CONFIRMED,AMENDED,WITHDRAWN,NOT_CLINICAL"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24" customWidth="1" min="4" max="4"/>
    <col width="80" customWidth="1" min="5" max="5"/>
    <col width="16" customWidth="1" min="6" max="6"/>
    <col width="36" customWidth="1" min="7" max="7"/>
    <col width="36" customWidth="1" min="8" max="8"/>
  </cols>
  <sheetData>
    <row r="1">
      <c r="A1" s="5" t="inlineStr">
        <is>
          <t>Ref</t>
        </is>
      </c>
      <c r="B1" s="5" t="inlineStr">
        <is>
          <t>Page</t>
        </is>
      </c>
      <c r="C1" s="5" t="inlineStr">
        <is>
          <t>Tier</t>
        </is>
      </c>
      <c r="D1" s="5" t="inlineStr">
        <is>
          <t>Figure</t>
        </is>
      </c>
      <c r="E1" s="5" t="inlineStr">
        <is>
          <t>The sentence it supports</t>
        </is>
      </c>
      <c r="F1" s="5" t="inlineStr">
        <is>
          <t>Decision</t>
        </is>
      </c>
      <c r="G1" s="5" t="inlineStr">
        <is>
          <t>Source</t>
        </is>
      </c>
      <c r="H1" s="5" t="inlineStr">
        <is>
          <t>Note</t>
        </is>
      </c>
    </row>
    <row r="2">
      <c r="A2" s="7" t="inlineStr">
        <is>
          <t>EXAMPLE</t>
        </is>
      </c>
      <c r="B2" s="7" t="inlineStr">
        <is>
          <t>0.0.0</t>
        </is>
      </c>
      <c r="C2" s="7" t="inlineStr">
        <is>
          <t>mrcs</t>
        </is>
      </c>
      <c r="D2" s="7" t="inlineStr">
        <is>
          <t>20 to 30 degrees</t>
        </is>
      </c>
      <c r="E2" s="7" t="inlineStr">
        <is>
          <t>This row shows the expected format and is ignored when the pack is read back.</t>
        </is>
      </c>
      <c r="F2" s="7" t="inlineStr">
        <is>
          <t>VERIFIED</t>
        </is>
      </c>
      <c r="G2" s="7" t="inlineStr">
        <is>
          <t>Author, title, edition, chapter</t>
        </is>
      </c>
      <c r="H2" s="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8" customWidth="1" min="3" max="3"/>
  </cols>
  <sheetData>
    <row r="1">
      <c r="A1" s="5" t="inlineStr"/>
      <c r="B1" s="5" t="inlineStr">
        <is>
          <t>Recommendations</t>
        </is>
      </c>
      <c r="C1" s="5" t="inlineStr">
        <is>
          <t>Measurements</t>
        </is>
      </c>
    </row>
    <row r="2">
      <c r="A2" s="2" t="inlineStr">
        <is>
          <t>Rows to decide</t>
        </is>
      </c>
      <c r="B2" s="3">
        <f>63</f>
        <v/>
      </c>
      <c r="C2" s="3">
        <f>0</f>
        <v/>
      </c>
    </row>
    <row r="3">
      <c r="A3" s="2" t="inlineStr">
        <is>
          <t>Decided</t>
        </is>
      </c>
      <c r="B3" s="3">
        <f>COUNTIF(Recommendations!E3:E65,"&lt;&gt;")</f>
        <v/>
      </c>
      <c r="C3" s="3">
        <f>COUNTIF(Measurements!F3:F2,"&lt;&gt;")</f>
        <v/>
      </c>
    </row>
    <row r="4">
      <c r="A4" s="2" t="inlineStr">
        <is>
          <t>Still blank</t>
        </is>
      </c>
      <c r="B4" s="3">
        <f>B2-B3</f>
        <v/>
      </c>
      <c r="C4" s="3">
        <f>C2-C3</f>
        <v/>
      </c>
    </row>
    <row r="5">
      <c r="A5" s="2" t="inlineStr">
        <is>
          <t>CONFIRMED</t>
        </is>
      </c>
      <c r="B5" s="3">
        <f>COUNTIF(Recommendations!E3:E65,"CONFIRMED")</f>
        <v/>
      </c>
      <c r="C5" s="3" t="inlineStr"/>
    </row>
    <row r="6">
      <c r="A6" s="2" t="inlineStr">
        <is>
          <t>AMENDED</t>
        </is>
      </c>
      <c r="B6" s="3">
        <f>COUNTIF(Recommendations!E3:E65,"AMENDED")</f>
        <v/>
      </c>
      <c r="C6" s="3" t="inlineStr"/>
    </row>
    <row r="7">
      <c r="A7" s="2" t="inlineStr">
        <is>
          <t>WITHDRAWN</t>
        </is>
      </c>
      <c r="B7" s="3">
        <f>COUNTIF(Recommendations!E3:E65,"WITHDRAWN")</f>
        <v/>
      </c>
      <c r="C7" s="3" t="inlineStr"/>
    </row>
    <row r="8">
      <c r="A8" s="2" t="inlineStr">
        <is>
          <t>NOT_CLINICAL</t>
        </is>
      </c>
      <c r="B8" s="3">
        <f>COUNTIF(Recommendations!E3:E65,"NOT_CLINICAL")</f>
        <v/>
      </c>
      <c r="C8" s="3" t="inlineStr"/>
    </row>
    <row r="9">
      <c r="A9" s="2" t="inlineStr">
        <is>
          <t>VERIFIED</t>
        </is>
      </c>
      <c r="B9" s="3" t="inlineStr"/>
      <c r="C9" s="3">
        <f>COUNTIF(Measurements!F3:F2,"VERIFIED")</f>
        <v/>
      </c>
    </row>
    <row r="10">
      <c r="A10" s="2" t="inlineStr">
        <is>
          <t>CORRECTED</t>
        </is>
      </c>
      <c r="B10" s="3" t="inlineStr"/>
      <c r="C10" s="3">
        <f>COUNTIF(Measurements!F3:F2,"CORRECTED")</f>
        <v/>
      </c>
    </row>
    <row r="11">
      <c r="A11" s="2" t="inlineStr">
        <is>
          <t>REMOVED</t>
        </is>
      </c>
      <c r="B11" s="3" t="inlineStr"/>
      <c r="C11" s="3">
        <f>COUNTIF(Measurements!F3:F2,"REMOVED")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2026-10-17T17:15:51Z</dcterms:created>
  <dcterms:modified xmlns:dcterms="http://purl.org/dc/terms/" xmlns:xsi="http://www.w3.org/2001/XMLSchema-instance" xsi:type="dcterms:W3CDTF">2026-10-17T17:15:51Z</dcterms:modified>
</cp:coreProperties>
</file>