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Pages" sheetId="2" state="visible" r:id="rId2"/>
    <sheet xmlns:r="http://schemas.openxmlformats.org/officeDocument/2006/relationships" name="Claims" sheetId="3" state="visible" r:id="rId3"/>
    <sheet xmlns:r="http://schemas.openxmlformats.org/officeDocument/2006/relationships" name="Recommendations" sheetId="4" state="visible" r:id="rId4"/>
    <sheet xmlns:r="http://schemas.openxmlformats.org/officeDocument/2006/relationships" name="Measurements" sheetId="5" state="visible" r:id="rId5"/>
    <sheet xmlns:r="http://schemas.openxmlformats.org/officeDocument/2006/relationships" name="Progress" sheetId="6" state="visible" r:id="rId6"/>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b val="1"/>
    </font>
    <font>
      <name val="Arial"/>
    </font>
    <font>
      <name val="Arial"/>
      <b val="1"/>
      <color rgb="00FFFFFF"/>
    </font>
    <font>
      <name val="Arial"/>
      <i val="1"/>
      <color rgb="008A6A2F"/>
    </font>
  </fonts>
  <fills count="4">
    <fill>
      <patternFill/>
    </fill>
    <fill>
      <patternFill patternType="gray125"/>
    </fill>
    <fill>
      <patternFill patternType="solid">
        <fgColor rgb="0016382D"/>
      </patternFill>
    </fill>
    <fill>
      <patternFill patternType="solid">
        <fgColor rgb="00FAF7EF"/>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0" borderId="0" applyAlignment="1" pivotButton="0" quotePrefix="0" xfId="0">
      <alignment vertical="top" wrapText="1"/>
    </xf>
    <xf numFmtId="0" fontId="4" fillId="2" borderId="0" applyAlignment="1" pivotButton="0" quotePrefix="0" xfId="0">
      <alignment vertical="top" wrapText="1"/>
    </xf>
    <xf numFmtId="0" fontId="3" fillId="0" borderId="0" applyAlignment="1" pivotButton="0" quotePrefix="0" xfId="0">
      <alignment vertical="top"/>
    </xf>
    <xf numFmtId="0" fontId="5"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2" customWidth="1" min="1" max="1"/>
    <col width="96" customWidth="1" min="2" max="2"/>
  </cols>
  <sheetData>
    <row r="1">
      <c r="A1" s="1" t="inlineStr">
        <is>
          <t>Consultant review pack: chapter 4.3 General Inspection</t>
        </is>
      </c>
    </row>
    <row r="3">
      <c r="A3" s="2" t="inlineStr">
        <is>
          <t>Section</t>
        </is>
      </c>
      <c r="B3" s="3" t="inlineStr">
        <is>
          <t>4</t>
        </is>
      </c>
    </row>
    <row r="4">
      <c r="A4" s="2" t="inlineStr">
        <is>
          <t>Chapter</t>
        </is>
      </c>
      <c r="B4" s="3" t="inlineStr">
        <is>
          <t>4.3 General Inspection</t>
        </is>
      </c>
    </row>
    <row r="5">
      <c r="A5" s="2" t="inlineStr">
        <is>
          <t>Pages</t>
        </is>
      </c>
      <c r="B5" s="3" t="n">
        <v>10</v>
      </c>
    </row>
    <row r="6">
      <c r="A6" s="2" t="inlineStr">
        <is>
          <t>Page type</t>
        </is>
      </c>
      <c r="B6" s="3" t="inlineStr">
        <is>
          <t>examination</t>
        </is>
      </c>
    </row>
    <row r="7">
      <c r="A7" s="2" t="inlineStr">
        <is>
          <t>Tiers</t>
        </is>
      </c>
      <c r="B7" s="3" t="inlineStr">
        <is>
          <t>medical student, mrcs, frcs, fellowship</t>
        </is>
      </c>
    </row>
    <row r="8">
      <c r="A8" s="2" t="inlineStr">
        <is>
          <t>Words</t>
        </is>
      </c>
      <c r="B8" s="3" t="inlineStr">
        <is>
          <t>15,639</t>
        </is>
      </c>
    </row>
    <row r="9">
      <c r="A9" s="2" t="inlineStr">
        <is>
          <t>Style gate</t>
        </is>
      </c>
      <c r="B9" s="3" t="inlineStr">
        <is>
          <t>all pages pass, 0 warnings</t>
        </is>
      </c>
    </row>
    <row r="10">
      <c r="A10" s="2" t="inlineStr">
        <is>
          <t>Evidence verification</t>
        </is>
      </c>
      <c r="B10" s="3" t="inlineStr">
        <is>
          <t>did not run on any page</t>
        </is>
      </c>
    </row>
    <row r="11">
      <c r="A11" s="2" t="inlineStr">
        <is>
          <t>Measurements to check</t>
        </is>
      </c>
      <c r="B11" s="3" t="n">
        <v>1</v>
      </c>
    </row>
    <row r="12">
      <c r="A12" s="2" t="inlineStr">
        <is>
          <t>Recommendations to sign</t>
        </is>
      </c>
      <c r="B12" s="3" t="n">
        <v>11</v>
      </c>
    </row>
    <row r="14">
      <c r="A14" s="2" t="inlineStr">
        <is>
          <t>What this is</t>
        </is>
      </c>
      <c r="B14" s="4" t="inlineStr">
        <is>
          <t>One chapter of KneeSchool, with every measurement and every clinical recommendation on its pages listed for review. Generated from the pages themselves by tools/review_pack.py, so this file cannot disagree with the site.</t>
        </is>
      </c>
    </row>
    <row r="15">
      <c r="A15" s="2" t="inlineStr">
        <is>
          <t>What has not happened</t>
        </is>
      </c>
      <c r="B15" s="4" t="inlineStr">
        <is>
          <t>No source was retrieved for any page in this chapter. The build environment has no access to PubMed, Cochrane, a journal or a textbook, so the pipeline's fact checking stage could not run. Every claim here has been checked by nobody. This pack stands in for the verification stage as well as for the review stage.</t>
        </is>
      </c>
    </row>
    <row r="16">
      <c r="A16" s="2" t="inlineStr">
        <is>
          <t>What to fill in</t>
        </is>
      </c>
      <c r="B16" s="4" t="inlineStr">
        <is>
          <t>The Decision column on the Recommendations and Measurements sheets, and your name. Every other cell is rewritten when the pack is regenerated. A row left blank stays outstanding and comes back in the next pack, so answering part of a sheet is a normal way to use it.</t>
        </is>
      </c>
    </row>
    <row r="17">
      <c r="A17" s="2" t="inlineStr">
        <is>
          <t>Recommendations: allowed decisions</t>
        </is>
      </c>
      <c r="B17" s="4" t="inlineStr">
        <is>
          <t>CONFIRMED, the sentence stands as written. AMENDED, it needs changing and the new wording goes in the Note column. WITHDRAWN, take it off the page. NOT_CLINICAL, it is teaching rather than clinical direction. The detector over collects on purpose, so NOT_CLINICAL is expected and is not a complaint about the page.</t>
        </is>
      </c>
    </row>
    <row r="18">
      <c r="A18" s="2" t="inlineStr">
        <is>
          <t>Measurements: allowed decisions</t>
        </is>
      </c>
      <c r="B18" s="4" t="inlineStr">
        <is>
          <t>VERIFIED, the figure is right and the source goes in the Source column. CORRECTED, the right value goes in the Note column. REMOVED, take the figure off the page.</t>
        </is>
      </c>
    </row>
    <row r="19">
      <c r="A19" s="2" t="inlineStr">
        <is>
          <t>How to return it</t>
        </is>
      </c>
      <c r="B19" s="4" t="inlineStr">
        <is>
          <t>Send the file back. It is read into the registers with: python3 tools/review_pack.py --ingest &lt;this file&gt;. One malformed row stops the whole file, so nothing is written half way.</t>
        </is>
      </c>
    </row>
    <row r="20">
      <c r="A20" s="2" t="inlineStr">
        <is>
          <t>What this cannot do</t>
        </is>
      </c>
      <c r="B20" s="4" t="inlineStr">
        <is>
          <t>It does not change a page. A confirmed recommendation needs nothing; an amended one needs the prose edited, and your wording in the Note column is what the editor works from.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10" customWidth="1" min="1" max="1"/>
    <col width="40" customWidth="1" min="2" max="2"/>
    <col width="8" customWidth="1" min="3" max="3"/>
    <col width="10" customWidth="1" min="4" max="4"/>
    <col width="52" customWidth="1" min="5" max="5"/>
  </cols>
  <sheetData>
    <row r="1">
      <c r="A1" s="5" t="inlineStr">
        <is>
          <t>Page</t>
        </is>
      </c>
      <c r="B1" s="5" t="inlineStr">
        <is>
          <t>Title</t>
        </is>
      </c>
      <c r="C1" s="5" t="inlineStr">
        <is>
          <t>Tiers</t>
        </is>
      </c>
      <c r="D1" s="5" t="inlineStr">
        <is>
          <t>Words</t>
        </is>
      </c>
      <c r="E1" s="5" t="inlineStr">
        <is>
          <t>Published as</t>
        </is>
      </c>
    </row>
    <row r="2">
      <c r="A2" s="6" t="inlineStr">
        <is>
          <t>4.3.1</t>
        </is>
      </c>
      <c r="B2" s="6" t="inlineStr">
        <is>
          <t>Observation from the Door</t>
        </is>
      </c>
      <c r="C2" s="6" t="n">
        <v>4</v>
      </c>
      <c r="D2" s="6" t="n">
        <v>1652</v>
      </c>
      <c r="E2" s="6" t="inlineStr">
        <is>
          <t>examination/observation-from-the-door.html</t>
        </is>
      </c>
    </row>
    <row r="3">
      <c r="A3" s="6" t="inlineStr">
        <is>
          <t>4.3.2</t>
        </is>
      </c>
      <c r="B3" s="6" t="inlineStr">
        <is>
          <t>Gait Observation</t>
        </is>
      </c>
      <c r="C3" s="6" t="n">
        <v>4</v>
      </c>
      <c r="D3" s="6" t="n">
        <v>1547</v>
      </c>
      <c r="E3" s="6" t="inlineStr">
        <is>
          <t>examination/gait-observation.html</t>
        </is>
      </c>
    </row>
    <row r="4">
      <c r="A4" s="6" t="inlineStr">
        <is>
          <t>4.3.3</t>
        </is>
      </c>
      <c r="B4" s="6" t="inlineStr">
        <is>
          <t>Standing Alignment</t>
        </is>
      </c>
      <c r="C4" s="6" t="n">
        <v>4</v>
      </c>
      <c r="D4" s="6" t="n">
        <v>1456</v>
      </c>
      <c r="E4" s="6" t="inlineStr">
        <is>
          <t>examination/standing-alignment.html</t>
        </is>
      </c>
    </row>
    <row r="5">
      <c r="A5" s="6" t="inlineStr">
        <is>
          <t>4.3.4</t>
        </is>
      </c>
      <c r="B5" s="6" t="inlineStr">
        <is>
          <t>Sitting Assessment</t>
        </is>
      </c>
      <c r="C5" s="6" t="n">
        <v>4</v>
      </c>
      <c r="D5" s="6" t="n">
        <v>1585</v>
      </c>
      <c r="E5" s="6" t="inlineStr">
        <is>
          <t>examination/sitting-assessment.html</t>
        </is>
      </c>
    </row>
    <row r="6">
      <c r="A6" s="6" t="inlineStr">
        <is>
          <t>4.3.5</t>
        </is>
      </c>
      <c r="B6" s="6" t="inlineStr">
        <is>
          <t>Supine Assessment</t>
        </is>
      </c>
      <c r="C6" s="6" t="n">
        <v>4</v>
      </c>
      <c r="D6" s="6" t="n">
        <v>1637</v>
      </c>
      <c r="E6" s="6" t="inlineStr">
        <is>
          <t>examination/supine-assessment.html</t>
        </is>
      </c>
    </row>
    <row r="7">
      <c r="A7" s="6" t="inlineStr">
        <is>
          <t>4.3.6</t>
        </is>
      </c>
      <c r="B7" s="6" t="inlineStr">
        <is>
          <t>Skin Changes</t>
        </is>
      </c>
      <c r="C7" s="6" t="n">
        <v>4</v>
      </c>
      <c r="D7" s="6" t="n">
        <v>1559</v>
      </c>
      <c r="E7" s="6" t="inlineStr">
        <is>
          <t>examination/skin-changes.html</t>
        </is>
      </c>
    </row>
    <row r="8">
      <c r="A8" s="6" t="inlineStr">
        <is>
          <t>4.3.7</t>
        </is>
      </c>
      <c r="B8" s="6" t="inlineStr">
        <is>
          <t>Surgical Scars</t>
        </is>
      </c>
      <c r="C8" s="6" t="n">
        <v>4</v>
      </c>
      <c r="D8" s="6" t="n">
        <v>1602</v>
      </c>
      <c r="E8" s="6" t="inlineStr">
        <is>
          <t>examination/surgical-scars.html</t>
        </is>
      </c>
    </row>
    <row r="9">
      <c r="A9" s="6" t="inlineStr">
        <is>
          <t>4.3.8</t>
        </is>
      </c>
      <c r="B9" s="6" t="inlineStr">
        <is>
          <t>Swelling</t>
        </is>
      </c>
      <c r="C9" s="6" t="n">
        <v>4</v>
      </c>
      <c r="D9" s="6" t="n">
        <v>1512</v>
      </c>
      <c r="E9" s="6" t="inlineStr">
        <is>
          <t>examination/swelling-on-inspection.html</t>
        </is>
      </c>
    </row>
    <row r="10">
      <c r="A10" s="6" t="inlineStr">
        <is>
          <t>4.3.9</t>
        </is>
      </c>
      <c r="B10" s="6" t="inlineStr">
        <is>
          <t>Muscle Wasting</t>
        </is>
      </c>
      <c r="C10" s="6" t="n">
        <v>4</v>
      </c>
      <c r="D10" s="6" t="n">
        <v>1552</v>
      </c>
      <c r="E10" s="6" t="inlineStr">
        <is>
          <t>examination/muscle-wasting.html</t>
        </is>
      </c>
    </row>
    <row r="11">
      <c r="A11" s="6" t="inlineStr">
        <is>
          <t>4.3.10</t>
        </is>
      </c>
      <c r="B11" s="6" t="inlineStr">
        <is>
          <t>Deformity</t>
        </is>
      </c>
      <c r="C11" s="6" t="n">
        <v>4</v>
      </c>
      <c r="D11" s="6" t="n">
        <v>1537</v>
      </c>
      <c r="E11" s="6" t="inlineStr">
        <is>
          <t>examination/deformity.html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51"/>
  <sheetViews>
    <sheetView workbookViewId="0">
      <pane ySplit="1" topLeftCell="A2" activePane="bottomLeft" state="frozen"/>
      <selection pane="bottomLeft" activeCell="A1" sqref="A1"/>
    </sheetView>
  </sheetViews>
  <sheetFormatPr baseColWidth="8" defaultRowHeight="15"/>
  <cols>
    <col width="10" customWidth="1" min="1" max="1"/>
    <col width="34" customWidth="1" min="2" max="2"/>
    <col width="110" customWidth="1" min="3" max="3"/>
  </cols>
  <sheetData>
    <row r="1">
      <c r="A1" s="5" t="inlineStr">
        <is>
          <t>Page</t>
        </is>
      </c>
      <c r="B1" s="5" t="inlineStr">
        <is>
          <t>Title</t>
        </is>
      </c>
      <c r="C1" s="5" t="inlineStr">
        <is>
          <t>Claim</t>
        </is>
      </c>
    </row>
    <row r="2">
      <c r="A2" s="4" t="inlineStr">
        <is>
          <t>4.3.1</t>
        </is>
      </c>
      <c r="B2" s="4" t="inlineStr">
        <is>
          <t>Observation from the Door</t>
        </is>
      </c>
      <c r="C2" s="4" t="inlineStr">
        <is>
          <t>A patient walking in unaided with a disabling referral is describing a mismatch to be worked out.</t>
        </is>
      </c>
    </row>
    <row r="3">
      <c r="A3" s="4" t="inlineStr">
        <is>
          <t>4.3.1</t>
        </is>
      </c>
      <c r="B3" s="4" t="inlineStr">
        <is>
          <t>Observation from the Door</t>
        </is>
      </c>
      <c r="C3" s="4" t="inlineStr">
        <is>
          <t>Performing differently once asked is a question to handle, not an inconsistency to record.</t>
        </is>
      </c>
    </row>
    <row r="4">
      <c r="A4" s="4" t="inlineStr">
        <is>
          <t>4.3.1</t>
        </is>
      </c>
      <c r="B4" s="4" t="inlineStr">
        <is>
          <t>Observation from the Door</t>
        </is>
      </c>
      <c r="C4" s="4" t="inlineStr">
        <is>
          <t>In a multiply operated knee this separates stiffness from instability better than the couch.</t>
        </is>
      </c>
    </row>
    <row r="5">
      <c r="A5" s="4" t="inlineStr">
        <is>
          <t>4.3.1</t>
        </is>
      </c>
      <c r="B5" s="4" t="inlineStr">
        <is>
          <t>Observation from the Door</t>
        </is>
      </c>
      <c r="C5" s="4" t="inlineStr">
        <is>
          <t>An athlete walking normally is uninformative; the task has to approach the demand that fails.</t>
        </is>
      </c>
    </row>
    <row r="6">
      <c r="A6" s="4" t="inlineStr">
        <is>
          <t>4.3.1</t>
        </is>
      </c>
      <c r="B6" s="4" t="inlineStr">
        <is>
          <t>Observation from the Door</t>
        </is>
      </c>
      <c r="C6" s="4" t="inlineStr">
        <is>
          <t>A slapping foot or catching toe points at the nerve rather than the joint.</t>
        </is>
      </c>
    </row>
    <row r="7">
      <c r="A7" s="4" t="inlineStr">
        <is>
          <t>4.3.2</t>
        </is>
      </c>
      <c r="B7" s="4" t="inlineStr">
        <is>
          <t>Gait Observation</t>
        </is>
      </c>
      <c r="C7" s="4" t="inlineStr">
        <is>
          <t>A stretched graft with a varus thrust has its mechanical explanation, which no laxity measurement supplies.</t>
        </is>
      </c>
    </row>
    <row r="8">
      <c r="A8" s="4" t="inlineStr">
        <is>
          <t>4.3.2</t>
        </is>
      </c>
      <c r="B8" s="4" t="inlineStr">
        <is>
          <t>Gait Observation</t>
        </is>
      </c>
      <c r="C8" s="4" t="inlineStr">
        <is>
          <t>A gait that deteriorates while measurements do not is compartment change seen early.</t>
        </is>
      </c>
    </row>
    <row r="9">
      <c r="A9" s="4" t="inlineStr">
        <is>
          <t>4.3.2</t>
        </is>
      </c>
      <c r="B9" s="4" t="inlineStr">
        <is>
          <t>Gait Observation</t>
        </is>
      </c>
      <c r="C9" s="4" t="inlineStr">
        <is>
          <t>A thrust after an osteotomy is under correction or a ligament problem the correction exposed.</t>
        </is>
      </c>
    </row>
    <row r="10">
      <c r="A10" s="4" t="inlineStr">
        <is>
          <t>4.3.2</t>
        </is>
      </c>
      <c r="B10" s="4" t="inlineStr">
        <is>
          <t>Gait Observation</t>
        </is>
      </c>
      <c r="C10" s="4" t="inlineStr">
        <is>
          <t>An unrecovered nerve palsy gives a permanent gait abnormality that is not ligamentous.</t>
        </is>
      </c>
    </row>
    <row r="11">
      <c r="A11" s="4" t="inlineStr">
        <is>
          <t>4.3.2</t>
        </is>
      </c>
      <c r="B11" s="4" t="inlineStr">
        <is>
          <t>Gait Observation</t>
        </is>
      </c>
      <c r="C11" s="4" t="inlineStr">
        <is>
          <t>In an athlete the clinic gait is uninformative and the task has to be raised.</t>
        </is>
      </c>
    </row>
    <row r="12">
      <c r="A12" s="4" t="inlineStr">
        <is>
          <t>4.3.3</t>
        </is>
      </c>
      <c r="B12" s="4" t="inlineStr">
        <is>
          <t>Standing Alignment</t>
        </is>
      </c>
      <c r="C12" s="4" t="inlineStr">
        <is>
          <t>The referral is often a soft tissue question with a bony answer.</t>
        </is>
      </c>
    </row>
    <row r="13">
      <c r="A13" s="4" t="inlineStr">
        <is>
          <t>4.3.3</t>
        </is>
      </c>
      <c r="B13" s="4" t="inlineStr">
        <is>
          <t>Standing Alignment</t>
        </is>
      </c>
      <c r="C13" s="4" t="inlineStr">
        <is>
          <t>Two sound reconstructions with a persisting complaint usually means alignment or slope.</t>
        </is>
      </c>
    </row>
    <row r="14">
      <c r="A14" s="4" t="inlineStr">
        <is>
          <t>4.3.3</t>
        </is>
      </c>
      <c r="B14" s="4" t="inlineStr">
        <is>
          <t>Standing Alignment</t>
        </is>
      </c>
      <c r="C14" s="4" t="inlineStr">
        <is>
          <t>A stretched lateral reconstruction in a varus limb is a sequencing error, not a technical one.</t>
        </is>
      </c>
    </row>
    <row r="15">
      <c r="A15" s="4" t="inlineStr">
        <is>
          <t>4.3.3</t>
        </is>
      </c>
      <c r="B15" s="4" t="inlineStr">
        <is>
          <t>Standing Alignment</t>
        </is>
      </c>
      <c r="C15" s="4" t="inlineStr">
        <is>
          <t>A flexion deformity with posterior cruciate deficiency makes every measurement unreliable.</t>
        </is>
      </c>
    </row>
    <row r="16">
      <c r="A16" s="4" t="inlineStr">
        <is>
          <t>4.3.3</t>
        </is>
      </c>
      <c r="B16" s="4" t="inlineStr">
        <is>
          <t>Standing Alignment</t>
        </is>
      </c>
      <c r="C16" s="4" t="inlineStr">
        <is>
          <t>Alignment at the time of injury is almost never recorded, which complicates attribution.</t>
        </is>
      </c>
    </row>
    <row r="17">
      <c r="A17" s="4" t="inlineStr">
        <is>
          <t>4.3.4</t>
        </is>
      </c>
      <c r="B17" s="4" t="inlineStr">
        <is>
          <t>Sitting Assessment</t>
        </is>
      </c>
      <c r="C17" s="4" t="inlineStr">
        <is>
          <t>It catches the patellofemoral problem masquerading as a meniscal complaint.</t>
        </is>
      </c>
    </row>
    <row r="18">
      <c r="A18" s="4" t="inlineStr">
        <is>
          <t>4.3.4</t>
        </is>
      </c>
      <c r="B18" s="4" t="inlineStr">
        <is>
          <t>Sitting Assessment</t>
        </is>
      </c>
      <c r="C18" s="4" t="inlineStr">
        <is>
          <t>Anterior pain with posterior cruciate deficiency is patellofemoral loading seen as a consequence.</t>
        </is>
      </c>
    </row>
    <row r="19">
      <c r="A19" s="4" t="inlineStr">
        <is>
          <t>4.3.4</t>
        </is>
      </c>
      <c r="B19" s="4" t="inlineStr">
        <is>
          <t>Sitting Assessment</t>
        </is>
      </c>
      <c r="C19" s="4" t="inlineStr">
        <is>
          <t>A persisting extension lag after sound surgery is the finding most predictive of dissatisfaction.</t>
        </is>
      </c>
    </row>
    <row r="20">
      <c r="A20" s="4" t="inlineStr">
        <is>
          <t>4.3.4</t>
        </is>
      </c>
      <c r="B20" s="4" t="inlineStr">
        <is>
          <t>Sitting Assessment</t>
        </is>
      </c>
      <c r="C20" s="4" t="inlineStr">
        <is>
          <t>Previous surgery alters patellar height and track, so the other side is no longer normal.</t>
        </is>
      </c>
    </row>
    <row r="21">
      <c r="A21" s="4" t="inlineStr">
        <is>
          <t>4.3.4</t>
        </is>
      </c>
      <c r="B21" s="4" t="inlineStr">
        <is>
          <t>Sitting Assessment</t>
        </is>
      </c>
      <c r="C21" s="4" t="inlineStr">
        <is>
          <t>Failure to hold extension with no effusion and normal bulk needs a neurological explanation.</t>
        </is>
      </c>
    </row>
    <row r="22">
      <c r="A22" s="4" t="inlineStr">
        <is>
          <t>4.3.5</t>
        </is>
      </c>
      <c r="B22" s="4" t="inlineStr">
        <is>
          <t>Supine Assessment</t>
        </is>
      </c>
      <c r="C22" s="4" t="inlineStr">
        <is>
          <t>Normal supine findings with a disabling complaint means a loaded problem, a rotational one, or not the knee.</t>
        </is>
      </c>
    </row>
    <row r="23">
      <c r="A23" s="4" t="inlineStr">
        <is>
          <t>4.3.5</t>
        </is>
      </c>
      <c r="B23" s="4" t="inlineStr">
        <is>
          <t>Supine Assessment</t>
        </is>
      </c>
      <c r="C23" s="4" t="inlineStr">
        <is>
          <t>An abnormal supine examination in a patient who works without difficulty is a reason not to operate.</t>
        </is>
      </c>
    </row>
    <row r="24">
      <c r="A24" s="4" t="inlineStr">
        <is>
          <t>4.3.5</t>
        </is>
      </c>
      <c r="B24" s="4" t="inlineStr">
        <is>
          <t>Supine Assessment</t>
        </is>
      </c>
      <c r="C24" s="4" t="inlineStr">
        <is>
          <t>In a multiply operated knee the resting position is the most reliable finding left.</t>
        </is>
      </c>
    </row>
    <row r="25">
      <c r="A25" s="4" t="inlineStr">
        <is>
          <t>4.3.5</t>
        </is>
      </c>
      <c r="B25" s="4" t="inlineStr">
        <is>
          <t>Supine Assessment</t>
        </is>
      </c>
      <c r="C25" s="4" t="inlineStr">
        <is>
          <t>A pillow under the knee is the commonest reason a posterior sag is missed in a bed.</t>
        </is>
      </c>
    </row>
    <row r="26">
      <c r="A26" s="4" t="inlineStr">
        <is>
          <t>4.3.5</t>
        </is>
      </c>
      <c r="B26" s="4" t="inlineStr">
        <is>
          <t>Supine Assessment</t>
        </is>
      </c>
      <c r="C26" s="4" t="inlineStr">
        <is>
          <t>A recorded resting position is more useful than a recorded grade, and harder to dispute.</t>
        </is>
      </c>
    </row>
    <row r="27">
      <c r="A27" s="4" t="inlineStr">
        <is>
          <t>4.3.6</t>
        </is>
      </c>
      <c r="B27" s="4" t="inlineStr">
        <is>
          <t>Skin Changes</t>
        </is>
      </c>
      <c r="C27" s="4" t="inlineStr">
        <is>
          <t>Several scars with thin skin constrain a revision more than the ligament findings do.</t>
        </is>
      </c>
    </row>
    <row r="28">
      <c r="A28" s="4" t="inlineStr">
        <is>
          <t>4.3.6</t>
        </is>
      </c>
      <c r="B28" s="4" t="inlineStr">
        <is>
          <t>Skin Changes</t>
        </is>
      </c>
      <c r="C28" s="4" t="inlineStr">
        <is>
          <t>A chronically warm, mildly swollen knee after surgery raises low grade infection.</t>
        </is>
      </c>
    </row>
    <row r="29">
      <c r="A29" s="4" t="inlineStr">
        <is>
          <t>4.3.6</t>
        </is>
      </c>
      <c r="B29" s="4" t="inlineStr">
        <is>
          <t>Skin Changes</t>
        </is>
      </c>
      <c r="C29" s="4" t="inlineStr">
        <is>
          <t>A rash and nail changes with recurrent effusions is an inflammatory arthropathy.</t>
        </is>
      </c>
    </row>
    <row r="30">
      <c r="A30" s="4" t="inlineStr">
        <is>
          <t>4.3.6</t>
        </is>
      </c>
      <c r="B30" s="4" t="inlineStr">
        <is>
          <t>Skin Changes</t>
        </is>
      </c>
      <c r="C30" s="4" t="inlineStr">
        <is>
          <t>A swollen limb is not the same finding as a swollen knee.</t>
        </is>
      </c>
    </row>
    <row r="31">
      <c r="A31" s="4" t="inlineStr">
        <is>
          <t>4.3.6</t>
        </is>
      </c>
      <c r="B31" s="4" t="inlineStr">
        <is>
          <t>Skin Changes</t>
        </is>
      </c>
      <c r="C31" s="4" t="inlineStr">
        <is>
          <t>Photographs of the skin at presentation carry more weight than any written finding.</t>
        </is>
      </c>
    </row>
    <row r="32">
      <c r="A32" s="4" t="inlineStr">
        <is>
          <t>4.3.7</t>
        </is>
      </c>
      <c r="B32" s="4" t="inlineStr">
        <is>
          <t>Surgical Scars</t>
        </is>
      </c>
      <c r="C32" s="4" t="inlineStr">
        <is>
          <t>Three or more incisions with an adherent anterior scar can outweigh the gain from further surgery.</t>
        </is>
      </c>
    </row>
    <row r="33">
      <c r="A33" s="4" t="inlineStr">
        <is>
          <t>4.3.7</t>
        </is>
      </c>
      <c r="B33" s="4" t="inlineStr">
        <is>
          <t>Surgical Scars</t>
        </is>
      </c>
      <c r="C33" s="4" t="inlineStr">
        <is>
          <t>A sinus or puckered scar with a previous infection has to be excluded before any revision.</t>
        </is>
      </c>
    </row>
    <row r="34">
      <c r="A34" s="4" t="inlineStr">
        <is>
          <t>4.3.7</t>
        </is>
      </c>
      <c r="B34" s="4" t="inlineStr">
        <is>
          <t>Surgical Scars</t>
        </is>
      </c>
      <c r="C34" s="4" t="inlineStr">
        <is>
          <t>An osteotomy scar in a varus limb means a correction that did not hold or was incomplete.</t>
        </is>
      </c>
    </row>
    <row r="35">
      <c r="A35" s="4" t="inlineStr">
        <is>
          <t>4.3.7</t>
        </is>
      </c>
      <c r="B35" s="4" t="inlineStr">
        <is>
          <t>Surgical Scars</t>
        </is>
      </c>
      <c r="C35" s="4" t="inlineStr">
        <is>
          <t>A graft harvest scar on the other limb is easy to miss and changes the options.</t>
        </is>
      </c>
    </row>
    <row r="36">
      <c r="A36" s="4" t="inlineStr">
        <is>
          <t>4.3.7</t>
        </is>
      </c>
      <c r="B36" s="4" t="inlineStr">
        <is>
          <t>Surgical Scars</t>
        </is>
      </c>
      <c r="C36" s="4" t="inlineStr">
        <is>
          <t>Scars are the least disputable evidence about what was done.</t>
        </is>
      </c>
    </row>
    <row r="37">
      <c r="A37" s="4" t="inlineStr">
        <is>
          <t>4.3.8</t>
        </is>
      </c>
      <c r="B37" s="4" t="inlineStr">
        <is>
          <t>Swelling</t>
        </is>
      </c>
      <c r="C37" s="4" t="inlineStr">
        <is>
          <t>A recurrent effusion with normal ligaments and no mechanical symptoms is not a surgical problem.</t>
        </is>
      </c>
    </row>
    <row r="38">
      <c r="A38" s="4" t="inlineStr">
        <is>
          <t>4.3.8</t>
        </is>
      </c>
      <c r="B38" s="4" t="inlineStr">
        <is>
          <t>Swelling</t>
        </is>
      </c>
      <c r="C38" s="4" t="inlineStr">
        <is>
          <t>An effusion after arthroplasty or reconstruction raises low grade infection.</t>
        </is>
      </c>
    </row>
    <row r="39">
      <c r="A39" s="4" t="inlineStr">
        <is>
          <t>4.3.8</t>
        </is>
      </c>
      <c r="B39" s="4" t="inlineStr">
        <is>
          <t>Swelling</t>
        </is>
      </c>
      <c r="C39" s="4" t="inlineStr">
        <is>
          <t>A quadriceps cannot be rehabilitated while an effusion persists.</t>
        </is>
      </c>
    </row>
    <row r="40">
      <c r="A40" s="4" t="inlineStr">
        <is>
          <t>4.3.8</t>
        </is>
      </c>
      <c r="B40" s="4" t="inlineStr">
        <is>
          <t>Swelling</t>
        </is>
      </c>
      <c r="C40" s="4" t="inlineStr">
        <is>
          <t>An effusion appearing only after activity is worth timing in the history, not chasing in clinic.</t>
        </is>
      </c>
    </row>
    <row r="41">
      <c r="A41" s="4" t="inlineStr">
        <is>
          <t>4.3.8</t>
        </is>
      </c>
      <c r="B41" s="4" t="inlineStr">
        <is>
          <t>Swelling</t>
        </is>
      </c>
      <c r="C41" s="4" t="inlineStr">
        <is>
          <t>The timing of the first swelling after injury is often the most useful fact in the record.</t>
        </is>
      </c>
    </row>
    <row r="42">
      <c r="A42" s="4" t="inlineStr">
        <is>
          <t>4.3.9</t>
        </is>
      </c>
      <c r="B42" s="4" t="inlineStr">
        <is>
          <t>Muscle Wasting</t>
        </is>
      </c>
      <c r="C42" s="4" t="inlineStr">
        <is>
          <t>Unrecovered wasting is the commonest explanation for a mechanically satisfactory, functionally poor knee.</t>
        </is>
      </c>
    </row>
    <row r="43">
      <c r="A43" s="4" t="inlineStr">
        <is>
          <t>4.3.9</t>
        </is>
      </c>
      <c r="B43" s="4" t="inlineStr">
        <is>
          <t>Muscle Wasting</t>
        </is>
      </c>
      <c r="C43" s="4" t="inlineStr">
        <is>
          <t>Further surgery for a rehabilitation problem makes the knee worse.</t>
        </is>
      </c>
    </row>
    <row r="44">
      <c r="A44" s="4" t="inlineStr">
        <is>
          <t>4.3.9</t>
        </is>
      </c>
      <c r="B44" s="4" t="inlineStr">
        <is>
          <t>Muscle Wasting</t>
        </is>
      </c>
      <c r="C44" s="4" t="inlineStr">
        <is>
          <t>Wasting that will not respond raises pain inhibition, an effusion, or a nerve problem.</t>
        </is>
      </c>
    </row>
    <row r="45">
      <c r="A45" s="4" t="inlineStr">
        <is>
          <t>4.3.9</t>
        </is>
      </c>
      <c r="B45" s="4" t="inlineStr">
        <is>
          <t>Muscle Wasting</t>
        </is>
      </c>
      <c r="C45" s="4" t="inlineStr">
        <is>
          <t>After a nerve palsy the wasting extends below the knee.</t>
        </is>
      </c>
    </row>
    <row r="46">
      <c r="A46" s="4" t="inlineStr">
        <is>
          <t>4.3.9</t>
        </is>
      </c>
      <c r="B46" s="4" t="inlineStr">
        <is>
          <t>Muscle Wasting</t>
        </is>
      </c>
      <c r="C46" s="4" t="inlineStr">
        <is>
          <t>Measured wasting is objective evidence of reduced use and is hard to dispute.</t>
        </is>
      </c>
    </row>
    <row r="47">
      <c r="A47" s="4" t="inlineStr">
        <is>
          <t>4.3.10</t>
        </is>
      </c>
      <c r="B47" s="4" t="inlineStr">
        <is>
          <t>Deformity</t>
        </is>
      </c>
      <c r="C47" s="4" t="inlineStr">
        <is>
          <t>A stretched lateral reconstruction with a fixed varus deformity needs an osteotomy, not another graft.</t>
        </is>
      </c>
    </row>
    <row r="48">
      <c r="A48" s="4" t="inlineStr">
        <is>
          <t>4.3.10</t>
        </is>
      </c>
      <c r="B48" s="4" t="inlineStr">
        <is>
          <t>Deformity</t>
        </is>
      </c>
      <c r="C48" s="4" t="inlineStr">
        <is>
          <t>A fixed flexion deformity after reconstruction has three causes separated by the end feel and the notes.</t>
        </is>
      </c>
    </row>
    <row r="49">
      <c r="A49" s="4" t="inlineStr">
        <is>
          <t>4.3.10</t>
        </is>
      </c>
      <c r="B49" s="4" t="inlineStr">
        <is>
          <t>Deformity</t>
        </is>
      </c>
      <c r="C49" s="4" t="inlineStr">
        <is>
          <t>In a chronically deficient knee the deformity is often a consequence of the laxity.</t>
        </is>
      </c>
    </row>
    <row r="50">
      <c r="A50" s="4" t="inlineStr">
        <is>
          <t>4.3.10</t>
        </is>
      </c>
      <c r="B50" s="4" t="inlineStr">
        <is>
          <t>Deformity</t>
        </is>
      </c>
      <c r="C50" s="4" t="inlineStr">
        <is>
          <t>After an osteotomy the question is whether the correction achieved what was planned.</t>
        </is>
      </c>
    </row>
    <row r="51">
      <c r="A51" s="4" t="inlineStr">
        <is>
          <t>4.3.10</t>
        </is>
      </c>
      <c r="B51" s="4" t="inlineStr">
        <is>
          <t>Deformity</t>
        </is>
      </c>
      <c r="C51" s="4" t="inlineStr">
        <is>
          <t>Pre-injury alignment is almost never recorded, which complicates attribution.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6" customWidth="1" min="3" max="3"/>
    <col width="86" customWidth="1" min="4" max="4"/>
    <col width="16" customWidth="1" min="5" max="5"/>
    <col width="22" customWidth="1" min="6" max="6"/>
    <col width="50" customWidth="1" min="7" max="7"/>
  </cols>
  <sheetData>
    <row r="1">
      <c r="A1" s="5" t="inlineStr">
        <is>
          <t>Ref</t>
        </is>
      </c>
      <c r="B1" s="5" t="inlineStr">
        <is>
          <t>Page</t>
        </is>
      </c>
      <c r="C1" s="5" t="inlineStr">
        <is>
          <t>Tier</t>
        </is>
      </c>
      <c r="D1" s="5" t="inlineStr">
        <is>
          <t>Sentence</t>
        </is>
      </c>
      <c r="E1" s="5" t="inlineStr">
        <is>
          <t>Decision</t>
        </is>
      </c>
      <c r="F1" s="5" t="inlineStr">
        <is>
          <t>Reviewer</t>
        </is>
      </c>
      <c r="G1" s="5" t="inlineStr">
        <is>
          <t>Note</t>
        </is>
      </c>
    </row>
    <row r="2">
      <c r="A2" s="7" t="inlineStr">
        <is>
          <t>EXAMPLE</t>
        </is>
      </c>
      <c r="B2" s="7" t="inlineStr">
        <is>
          <t>0.0.0</t>
        </is>
      </c>
      <c r="C2" s="7" t="inlineStr">
        <is>
          <t>mrcs</t>
        </is>
      </c>
      <c r="D2" s="7" t="inlineStr">
        <is>
          <t>This row shows the expected format and is ignored when the pack is read back.</t>
        </is>
      </c>
      <c r="E2" s="7" t="inlineStr">
        <is>
          <t>CONFIRMED</t>
        </is>
      </c>
      <c r="F2" s="7" t="inlineStr">
        <is>
          <t>Miss A Surgeon</t>
        </is>
      </c>
      <c r="G2" s="7" t="inlineStr">
        <is>
          <t>Leave the Note column empty unless amending.</t>
        </is>
      </c>
    </row>
    <row r="3">
      <c r="A3" s="4" t="inlineStr">
        <is>
          <t>4.3.2-P1</t>
        </is>
      </c>
      <c r="B3" s="4" t="inlineStr">
        <is>
          <t>4.3.2</t>
        </is>
      </c>
      <c r="C3" s="4" t="inlineStr">
        <is>
          <t>medical_student</t>
        </is>
      </c>
      <c r="D3" s="4" t="inlineStr">
        <is>
          <t>Ask the patient to turn at each end, and watch the turn rather than waiting for the walk back.</t>
        </is>
      </c>
      <c r="E3" s="4" t="inlineStr"/>
      <c r="F3" s="4" t="inlineStr"/>
      <c r="G3" s="4" t="inlineStr"/>
    </row>
    <row r="4">
      <c r="A4" s="4" t="inlineStr">
        <is>
          <t>4.3.3-P1</t>
        </is>
      </c>
      <c r="B4" s="4" t="inlineStr">
        <is>
          <t>4.3.3</t>
        </is>
      </c>
      <c r="C4" s="4" t="inlineStr">
        <is>
          <t>medical_student</t>
        </is>
      </c>
      <c r="D4" s="4" t="inlineStr">
        <is>
          <t>Ask the patient to walk, because alignment under load changes and a thrust is only visible moving.</t>
        </is>
      </c>
      <c r="E4" s="4" t="inlineStr"/>
      <c r="F4" s="4" t="inlineStr"/>
      <c r="G4" s="4" t="inlineStr"/>
    </row>
    <row r="5">
      <c r="A5" s="4" t="inlineStr">
        <is>
          <t>4.3.4-P1</t>
        </is>
      </c>
      <c r="B5" s="4" t="inlineStr">
        <is>
          <t>4.3.4</t>
        </is>
      </c>
      <c r="C5" s="4" t="inlineStr">
        <is>
          <t>medical_student</t>
        </is>
      </c>
      <c r="D5" s="4" t="inlineStr">
        <is>
          <t>Ask the patient to straighten the knee slowly and watch the patella's path, noting whether it deviates laterally near full extension.</t>
        </is>
      </c>
      <c r="E5" s="4" t="inlineStr"/>
      <c r="F5" s="4" t="inlineStr"/>
      <c r="G5" s="4" t="inlineStr"/>
    </row>
    <row r="6">
      <c r="A6" s="4" t="inlineStr">
        <is>
          <t>4.3.4-P2</t>
        </is>
      </c>
      <c r="B6" s="4" t="inlineStr">
        <is>
          <t>4.3.4</t>
        </is>
      </c>
      <c r="C6" s="4" t="inlineStr">
        <is>
          <t>medical_student</t>
        </is>
      </c>
      <c r="D6" s="4" t="inlineStr">
        <is>
          <t>Ask them to hold the knee straight against gravity and note whether they can, and whether the knee drops.</t>
        </is>
      </c>
      <c r="E6" s="4" t="inlineStr"/>
      <c r="F6" s="4" t="inlineStr"/>
      <c r="G6" s="4" t="inlineStr"/>
    </row>
    <row r="7">
      <c r="A7" s="4" t="inlineStr">
        <is>
          <t>4.3.5-P1</t>
        </is>
      </c>
      <c r="B7" s="4" t="inlineStr">
        <is>
          <t>4.3.5</t>
        </is>
      </c>
      <c r="C7" s="4" t="inlineStr">
        <is>
          <t>fellowship</t>
        </is>
      </c>
      <c r="D7" s="4" t="inlineStr">
        <is>
          <t>A patient whose supine examination is abnormal and who walks and works without difficulty is the commonest reason an operation should not be offered, and saying so clearly is the consultation.</t>
        </is>
      </c>
      <c r="E7" s="4" t="inlineStr"/>
      <c r="F7" s="4" t="inlineStr"/>
      <c r="G7" s="4" t="inlineStr"/>
    </row>
    <row r="8">
      <c r="A8" s="4" t="inlineStr">
        <is>
          <t>4.3.6-P1</t>
        </is>
      </c>
      <c r="B8" s="4" t="inlineStr">
        <is>
          <t>4.3.6</t>
        </is>
      </c>
      <c r="C8" s="4" t="inlineStr">
        <is>
          <t>medical_student</t>
        </is>
      </c>
      <c r="D8" s="4" t="inlineStr">
        <is>
          <t>It is the part of the examination that decides whether a knee examination should proceed at all.</t>
        </is>
      </c>
      <c r="E8" s="4" t="inlineStr"/>
      <c r="F8" s="4" t="inlineStr"/>
      <c r="G8" s="4" t="inlineStr"/>
    </row>
    <row r="9">
      <c r="A9" s="4" t="inlineStr">
        <is>
          <t>4.3.7-P1</t>
        </is>
      </c>
      <c r="B9" s="4" t="inlineStr">
        <is>
          <t>4.3.7</t>
        </is>
      </c>
      <c r="C9" s="4" t="inlineStr">
        <is>
          <t>medical_student</t>
        </is>
      </c>
      <c r="D9" s="4" t="inlineStr">
        <is>
          <t>Ask the patient what each scar was for, and record which ones they can account for and which they cannot.</t>
        </is>
      </c>
      <c r="E9" s="4" t="inlineStr"/>
      <c r="F9" s="4" t="inlineStr"/>
      <c r="G9" s="4" t="inlineStr"/>
    </row>
    <row r="10">
      <c r="A10" s="4" t="inlineStr">
        <is>
          <t>4.3.9-P1</t>
        </is>
      </c>
      <c r="B10" s="4" t="inlineStr">
        <is>
          <t>4.3.9</t>
        </is>
      </c>
      <c r="C10" s="4" t="inlineStr">
        <is>
          <t>medical_student</t>
        </is>
      </c>
      <c r="D10" s="4" t="inlineStr">
        <is>
          <t>Measure the circumference of both thighs at the same distance above the joint line, using the patella's upper border as the landmark, and record the distance used.</t>
        </is>
      </c>
      <c r="E10" s="4" t="inlineStr"/>
      <c r="F10" s="4" t="inlineStr"/>
      <c r="G10" s="4" t="inlineStr"/>
    </row>
    <row r="11">
      <c r="A11" s="4" t="inlineStr">
        <is>
          <t>4.3.9-P2</t>
        </is>
      </c>
      <c r="B11" s="4" t="inlineStr">
        <is>
          <t>4.3.9</t>
        </is>
      </c>
      <c r="C11" s="4" t="inlineStr">
        <is>
          <t>medical_student</t>
        </is>
      </c>
      <c r="D11" s="4" t="inlineStr">
        <is>
          <t>Ask the patient to tighten the quadriceps and watch both sides, because wasting is clearer with the muscle contracting.</t>
        </is>
      </c>
      <c r="E11" s="4" t="inlineStr"/>
      <c r="F11" s="4" t="inlineStr"/>
      <c r="G11" s="4" t="inlineStr"/>
    </row>
    <row r="12">
      <c r="A12" s="4" t="inlineStr">
        <is>
          <t>4.3.9-P3</t>
        </is>
      </c>
      <c r="B12" s="4" t="inlineStr">
        <is>
          <t>4.3.9</t>
        </is>
      </c>
      <c r="C12" s="4" t="inlineStr">
        <is>
          <t>mrcs</t>
        </is>
      </c>
      <c r="D12" s="4" t="inlineStr">
        <is>
          <t>An effusion inhibits the quadriceps directly, so wasting in a chronically effused knee has a cause that must be addressed before the muscle can be rebuilt.</t>
        </is>
      </c>
      <c r="E12" s="4" t="inlineStr"/>
      <c r="F12" s="4" t="inlineStr"/>
      <c r="G12" s="4" t="inlineStr"/>
    </row>
    <row r="13">
      <c r="A13" s="4" t="inlineStr">
        <is>
          <t>4.3.10-P1</t>
        </is>
      </c>
      <c r="B13" s="4" t="inlineStr">
        <is>
          <t>4.3.10</t>
        </is>
      </c>
      <c r="C13" s="4" t="inlineStr">
        <is>
          <t>medical_student</t>
        </is>
      </c>
      <c r="D13" s="4" t="inlineStr">
        <is>
          <t>Measure the deformity you cannot correct, in degrees, and record the limb it is in, because a tibial deformity and a femoral deformity are corrected in different places.</t>
        </is>
      </c>
      <c r="E13" s="4" t="inlineStr"/>
      <c r="F13" s="4" t="inlineStr"/>
      <c r="G13" s="4" t="inlineStr"/>
    </row>
  </sheetData>
  <dataValidations count="1">
    <dataValidation sqref="E3:E13" showDropDown="0" showInputMessage="0" showErrorMessage="0" allowBlank="1" errorTitle="Not an allowed decision" error="Use one of: CONFIRMED, AMENDED, WITHDRAWN, NOT_CLINICAL" type="list">
      <formula1>"CONFIRMED,AMENDED,WITHDRAWN,NOT_CLINICAL"</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6" customWidth="1" min="3" max="3"/>
    <col width="24" customWidth="1" min="4" max="4"/>
    <col width="80" customWidth="1" min="5" max="5"/>
    <col width="16" customWidth="1" min="6" max="6"/>
    <col width="36" customWidth="1" min="7" max="7"/>
    <col width="36" customWidth="1" min="8" max="8"/>
  </cols>
  <sheetData>
    <row r="1">
      <c r="A1" s="5" t="inlineStr">
        <is>
          <t>Ref</t>
        </is>
      </c>
      <c r="B1" s="5" t="inlineStr">
        <is>
          <t>Page</t>
        </is>
      </c>
      <c r="C1" s="5" t="inlineStr">
        <is>
          <t>Tier</t>
        </is>
      </c>
      <c r="D1" s="5" t="inlineStr">
        <is>
          <t>Figure</t>
        </is>
      </c>
      <c r="E1" s="5" t="inlineStr">
        <is>
          <t>The sentence it supports</t>
        </is>
      </c>
      <c r="F1" s="5" t="inlineStr">
        <is>
          <t>Decision</t>
        </is>
      </c>
      <c r="G1" s="5" t="inlineStr">
        <is>
          <t>Source</t>
        </is>
      </c>
      <c r="H1" s="5" t="inlineStr">
        <is>
          <t>Note</t>
        </is>
      </c>
    </row>
    <row r="2">
      <c r="A2" s="7" t="inlineStr">
        <is>
          <t>EXAMPLE</t>
        </is>
      </c>
      <c r="B2" s="7" t="inlineStr">
        <is>
          <t>0.0.0</t>
        </is>
      </c>
      <c r="C2" s="7" t="inlineStr">
        <is>
          <t>mrcs</t>
        </is>
      </c>
      <c r="D2" s="7" t="inlineStr">
        <is>
          <t>20 to 30 degrees</t>
        </is>
      </c>
      <c r="E2" s="7" t="inlineStr">
        <is>
          <t>This row shows the expected format and is ignored when the pack is read back.</t>
        </is>
      </c>
      <c r="F2" s="7" t="inlineStr">
        <is>
          <t>VERIFIED</t>
        </is>
      </c>
      <c r="G2" s="7" t="inlineStr">
        <is>
          <t>Author, title, edition, chapter</t>
        </is>
      </c>
      <c r="H2" s="7" t="inlineStr"/>
    </row>
    <row r="3">
      <c r="A3" s="4" t="inlineStr">
        <is>
          <t>4.3.4-F1</t>
        </is>
      </c>
      <c r="B3" s="4" t="inlineStr">
        <is>
          <t>4.3.4</t>
        </is>
      </c>
      <c r="C3" s="4" t="inlineStr">
        <is>
          <t>medical_student</t>
        </is>
      </c>
      <c r="D3" s="4" t="inlineStr">
        <is>
          <t>ninety degrees</t>
        </is>
      </c>
      <c r="E3" s="4" t="inlineStr">
        <is>
          <t>Sit the patient on the edge of the couch with both knees flexed to about ninety degrees and the feet hanging free.</t>
        </is>
      </c>
      <c r="F3" s="4" t="inlineStr"/>
      <c r="G3" s="4" t="inlineStr"/>
      <c r="H3" s="4" t="inlineStr"/>
    </row>
  </sheetData>
  <dataValidations count="1">
    <dataValidation sqref="F3" showDropDown="0" showInputMessage="0" showErrorMessage="0" allowBlank="1" errorTitle="Not an allowed decision" error="Use one of: VERIFIED, CORRECTED, REMOVED" type="list">
      <formula1>"VERIFIED,CORRECTED,REMOVED"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1"/>
  <sheetViews>
    <sheetView workbookViewId="0">
      <pane ySplit="1" topLeftCell="A2" activePane="bottomLeft" state="frozen"/>
      <selection pane="bottomLeft" activeCell="A1" sqref="A1"/>
    </sheetView>
  </sheetViews>
  <sheetFormatPr baseColWidth="8" defaultRowHeight="15"/>
  <cols>
    <col width="26" customWidth="1" min="1" max="1"/>
    <col width="18" customWidth="1" min="2" max="2"/>
    <col width="18" customWidth="1" min="3" max="3"/>
  </cols>
  <sheetData>
    <row r="1">
      <c r="A1" s="5" t="inlineStr"/>
      <c r="B1" s="5" t="inlineStr">
        <is>
          <t>Recommendations</t>
        </is>
      </c>
      <c r="C1" s="5" t="inlineStr">
        <is>
          <t>Measurements</t>
        </is>
      </c>
    </row>
    <row r="2">
      <c r="A2" s="2" t="inlineStr">
        <is>
          <t>Rows to decide</t>
        </is>
      </c>
      <c r="B2" s="3">
        <f>11</f>
        <v/>
      </c>
      <c r="C2" s="3">
        <f>1</f>
        <v/>
      </c>
    </row>
    <row r="3">
      <c r="A3" s="2" t="inlineStr">
        <is>
          <t>Decided</t>
        </is>
      </c>
      <c r="B3" s="3">
        <f>COUNTIF(Recommendations!E3:E13,"&lt;&gt;")</f>
        <v/>
      </c>
      <c r="C3" s="3">
        <f>COUNTIF(Measurements!F3:F3,"&lt;&gt;")</f>
        <v/>
      </c>
    </row>
    <row r="4">
      <c r="A4" s="2" t="inlineStr">
        <is>
          <t>Still blank</t>
        </is>
      </c>
      <c r="B4" s="3">
        <f>B2-B3</f>
        <v/>
      </c>
      <c r="C4" s="3">
        <f>C2-C3</f>
        <v/>
      </c>
    </row>
    <row r="5">
      <c r="A5" s="2" t="inlineStr">
        <is>
          <t>CONFIRMED</t>
        </is>
      </c>
      <c r="B5" s="3">
        <f>COUNTIF(Recommendations!E3:E13,"CONFIRMED")</f>
        <v/>
      </c>
      <c r="C5" s="3" t="inlineStr"/>
    </row>
    <row r="6">
      <c r="A6" s="2" t="inlineStr">
        <is>
          <t>AMENDED</t>
        </is>
      </c>
      <c r="B6" s="3">
        <f>COUNTIF(Recommendations!E3:E13,"AMENDED")</f>
        <v/>
      </c>
      <c r="C6" s="3" t="inlineStr"/>
    </row>
    <row r="7">
      <c r="A7" s="2" t="inlineStr">
        <is>
          <t>WITHDRAWN</t>
        </is>
      </c>
      <c r="B7" s="3">
        <f>COUNTIF(Recommendations!E3:E13,"WITHDRAWN")</f>
        <v/>
      </c>
      <c r="C7" s="3" t="inlineStr"/>
    </row>
    <row r="8">
      <c r="A8" s="2" t="inlineStr">
        <is>
          <t>NOT_CLINICAL</t>
        </is>
      </c>
      <c r="B8" s="3">
        <f>COUNTIF(Recommendations!E3:E13,"NOT_CLINICAL")</f>
        <v/>
      </c>
      <c r="C8" s="3" t="inlineStr"/>
    </row>
    <row r="9">
      <c r="A9" s="2" t="inlineStr">
        <is>
          <t>VERIFIED</t>
        </is>
      </c>
      <c r="B9" s="3" t="inlineStr"/>
      <c r="C9" s="3">
        <f>COUNTIF(Measurements!F3:F3,"VERIFIED")</f>
        <v/>
      </c>
    </row>
    <row r="10">
      <c r="A10" s="2" t="inlineStr">
        <is>
          <t>CORRECTED</t>
        </is>
      </c>
      <c r="B10" s="3" t="inlineStr"/>
      <c r="C10" s="3">
        <f>COUNTIF(Measurements!F3:F3,"CORRECTED")</f>
        <v/>
      </c>
    </row>
    <row r="11">
      <c r="A11" s="2" t="inlineStr">
        <is>
          <t>REMOVED</t>
        </is>
      </c>
      <c r="B11" s="3" t="inlineStr"/>
      <c r="C11" s="3">
        <f>COUNTIF(Measurements!F3:F3,"REMOVED")</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2026-10-12T21:22:14Z</dcterms:created>
  <dcterms:modified xmlns:dcterms="http://purl.org/dc/terms/" xmlns:xsi="http://www.w3.org/2001/XMLSchema-instance" xsi:type="dcterms:W3CDTF">2026-10-12T21:22:14Z</dcterms:modified>
</cp:coreProperties>
</file>