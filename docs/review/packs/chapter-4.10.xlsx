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4.10 ACL Examination</t>
        </is>
      </c>
    </row>
    <row r="3">
      <c r="A3" s="2" t="inlineStr">
        <is>
          <t>Section</t>
        </is>
      </c>
      <c r="B3" s="3" t="inlineStr">
        <is>
          <t>4</t>
        </is>
      </c>
    </row>
    <row r="4">
      <c r="A4" s="2" t="inlineStr">
        <is>
          <t>Chapter</t>
        </is>
      </c>
      <c r="B4" s="3" t="inlineStr">
        <is>
          <t>4.10 ACL Examination</t>
        </is>
      </c>
    </row>
    <row r="5">
      <c r="A5" s="2" t="inlineStr">
        <is>
          <t>Pages</t>
        </is>
      </c>
      <c r="B5" s="3" t="n">
        <v>12</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15,616</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6</v>
      </c>
    </row>
    <row r="12">
      <c r="A12" s="2" t="inlineStr">
        <is>
          <t>Recommendations to sign</t>
        </is>
      </c>
      <c r="B12" s="3" t="n">
        <v>52</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4.10.1</t>
        </is>
      </c>
      <c r="B2" s="6" t="inlineStr">
        <is>
          <t>History of ACL Injury</t>
        </is>
      </c>
      <c r="C2" s="6" t="n">
        <v>4</v>
      </c>
      <c r="D2" s="6" t="n">
        <v>1238</v>
      </c>
      <c r="E2" s="6" t="inlineStr">
        <is>
          <t>examination/history-of-acl-injury.html</t>
        </is>
      </c>
    </row>
    <row r="3">
      <c r="A3" s="6" t="inlineStr">
        <is>
          <t>4.10.2</t>
        </is>
      </c>
      <c r="B3" s="6" t="inlineStr">
        <is>
          <t>Acute ACL Injury</t>
        </is>
      </c>
      <c r="C3" s="6" t="n">
        <v>4</v>
      </c>
      <c r="D3" s="6" t="n">
        <v>1208</v>
      </c>
      <c r="E3" s="6" t="inlineStr">
        <is>
          <t>examination/acute-acl-injury.html</t>
        </is>
      </c>
    </row>
    <row r="4">
      <c r="A4" s="6" t="inlineStr">
        <is>
          <t>4.10.3</t>
        </is>
      </c>
      <c r="B4" s="6" t="inlineStr">
        <is>
          <t>Chronic ACL Deficiency</t>
        </is>
      </c>
      <c r="C4" s="6" t="n">
        <v>4</v>
      </c>
      <c r="D4" s="6" t="n">
        <v>1231</v>
      </c>
      <c r="E4" s="6" t="inlineStr">
        <is>
          <t>examination/chronic-acl-deficiency.html</t>
        </is>
      </c>
    </row>
    <row r="5">
      <c r="A5" s="6" t="inlineStr">
        <is>
          <t>4.10.4</t>
        </is>
      </c>
      <c r="B5" s="6" t="inlineStr">
        <is>
          <t>Lachman Test</t>
        </is>
      </c>
      <c r="C5" s="6" t="n">
        <v>4</v>
      </c>
      <c r="D5" s="6" t="n">
        <v>1308</v>
      </c>
      <c r="E5" s="6" t="inlineStr">
        <is>
          <t>examination/lachman-test.html</t>
        </is>
      </c>
    </row>
    <row r="6">
      <c r="A6" s="6" t="inlineStr">
        <is>
          <t>4.10.5</t>
        </is>
      </c>
      <c r="B6" s="6" t="inlineStr">
        <is>
          <t>Anterior Drawer Test</t>
        </is>
      </c>
      <c r="C6" s="6" t="n">
        <v>4</v>
      </c>
      <c r="D6" s="6" t="n">
        <v>1312</v>
      </c>
      <c r="E6" s="6" t="inlineStr">
        <is>
          <t>examination/anterior-drawer-test.html</t>
        </is>
      </c>
    </row>
    <row r="7">
      <c r="A7" s="6" t="inlineStr">
        <is>
          <t>4.10.6</t>
        </is>
      </c>
      <c r="B7" s="6" t="inlineStr">
        <is>
          <t>Pivot Shift Test</t>
        </is>
      </c>
      <c r="C7" s="6" t="n">
        <v>4</v>
      </c>
      <c r="D7" s="6" t="n">
        <v>1309</v>
      </c>
      <c r="E7" s="6" t="inlineStr">
        <is>
          <t>examination/pivot-shift-test.html</t>
        </is>
      </c>
    </row>
    <row r="8">
      <c r="A8" s="6" t="inlineStr">
        <is>
          <t>4.10.7</t>
        </is>
      </c>
      <c r="B8" s="6" t="inlineStr">
        <is>
          <t>Lever Sign Test</t>
        </is>
      </c>
      <c r="C8" s="6" t="n">
        <v>4</v>
      </c>
      <c r="D8" s="6" t="n">
        <v>1303</v>
      </c>
      <c r="E8" s="6" t="inlineStr">
        <is>
          <t>examination/lever-sign-test.html</t>
        </is>
      </c>
    </row>
    <row r="9">
      <c r="A9" s="6" t="inlineStr">
        <is>
          <t>4.10.8</t>
        </is>
      </c>
      <c r="B9" s="6" t="inlineStr">
        <is>
          <t>Dynamic Assessment</t>
        </is>
      </c>
      <c r="C9" s="6" t="n">
        <v>4</v>
      </c>
      <c r="D9" s="6" t="n">
        <v>1339</v>
      </c>
      <c r="E9" s="6" t="inlineStr">
        <is>
          <t>examination/dynamic-assessment.html</t>
        </is>
      </c>
    </row>
    <row r="10">
      <c r="A10" s="6" t="inlineStr">
        <is>
          <t>4.10.9</t>
        </is>
      </c>
      <c r="B10" s="6" t="inlineStr">
        <is>
          <t>Rotational Instability</t>
        </is>
      </c>
      <c r="C10" s="6" t="n">
        <v>4</v>
      </c>
      <c r="D10" s="6" t="n">
        <v>1278</v>
      </c>
      <c r="E10" s="6" t="inlineStr">
        <is>
          <t>examination/acl-rotational-instability.html</t>
        </is>
      </c>
    </row>
    <row r="11">
      <c r="A11" s="6" t="inlineStr">
        <is>
          <t>4.10.10</t>
        </is>
      </c>
      <c r="B11" s="6" t="inlineStr">
        <is>
          <t>Examination Under Anaesthesia</t>
        </is>
      </c>
      <c r="C11" s="6" t="n">
        <v>4</v>
      </c>
      <c r="D11" s="6" t="n">
        <v>1370</v>
      </c>
      <c r="E11" s="6" t="inlineStr">
        <is>
          <t>examination/acl-examination-under-anaesthesia.html</t>
        </is>
      </c>
    </row>
    <row r="12">
      <c r="A12" s="6" t="inlineStr">
        <is>
          <t>4.10.11</t>
        </is>
      </c>
      <c r="B12" s="6" t="inlineStr">
        <is>
          <t>Post-Reconstruction Assessment</t>
        </is>
      </c>
      <c r="C12" s="6" t="n">
        <v>4</v>
      </c>
      <c r="D12" s="6" t="n">
        <v>1404</v>
      </c>
      <c r="E12" s="6" t="inlineStr">
        <is>
          <t>examination/acl-post-reconstruction-assessment.html</t>
        </is>
      </c>
    </row>
    <row r="13">
      <c r="A13" s="6" t="inlineStr">
        <is>
          <t>4.10.12</t>
        </is>
      </c>
      <c r="B13" s="6" t="inlineStr">
        <is>
          <t>Revision ACL Assessment</t>
        </is>
      </c>
      <c r="C13" s="6" t="n">
        <v>4</v>
      </c>
      <c r="D13" s="6" t="n">
        <v>1316</v>
      </c>
      <c r="E13" s="6" t="inlineStr">
        <is>
          <t>examination/revision-acl-assessment.html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8"/>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4.10.1</t>
        </is>
      </c>
      <c r="B2" s="4" t="inlineStr">
        <is>
          <t>History of ACL Injury</t>
        </is>
      </c>
      <c r="C2" s="4" t="inlineStr">
        <is>
          <t>In referred practice ask what has changed and whether the symptom resembles the original.</t>
        </is>
      </c>
    </row>
    <row r="3">
      <c r="A3" s="4" t="inlineStr">
        <is>
          <t>4.10.1</t>
        </is>
      </c>
      <c r="B3" s="4" t="inlineStr">
        <is>
          <t>History of ACL Injury</t>
        </is>
      </c>
      <c r="C3" s="4" t="inlineStr">
        <is>
          <t>A returned original symptom suggests graft failure; a new pivoting symptom suggests rotation.</t>
        </is>
      </c>
    </row>
    <row r="4">
      <c r="A4" s="4" t="inlineStr">
        <is>
          <t>4.10.1</t>
        </is>
      </c>
      <c r="B4" s="4" t="inlineStr">
        <is>
          <t>History of ACL Injury</t>
        </is>
      </c>
      <c r="C4" s="4" t="inlineStr">
        <is>
          <t>A knee that was never confident with a stable graft is a rehabilitation problem.</t>
        </is>
      </c>
    </row>
    <row r="5">
      <c r="A5" s="4" t="inlineStr">
        <is>
          <t>4.10.1</t>
        </is>
      </c>
      <c r="B5" s="4" t="inlineStr">
        <is>
          <t>History of ACL Injury</t>
        </is>
      </c>
      <c r="C5" s="4" t="inlineStr">
        <is>
          <t>That group is larger than the structural failures.</t>
        </is>
      </c>
    </row>
    <row r="6">
      <c r="A6" s="4" t="inlineStr">
        <is>
          <t>4.10.1</t>
        </is>
      </c>
      <c r="B6" s="4" t="inlineStr">
        <is>
          <t>History of ACL Injury</t>
        </is>
      </c>
      <c r="C6" s="4" t="inlineStr">
        <is>
          <t>The rehabilitation history is part of the knee's history and is usually missing.</t>
        </is>
      </c>
    </row>
    <row r="7">
      <c r="A7" s="4" t="inlineStr">
        <is>
          <t>4.10.2</t>
        </is>
      </c>
      <c r="B7" s="4" t="inlineStr">
        <is>
          <t>Acute ACL Injury</t>
        </is>
      </c>
      <c r="C7" s="4" t="inlineStr">
        <is>
          <t>Recording that rotation could not be assessed is different from recording that it was normal.</t>
        </is>
      </c>
    </row>
    <row r="8">
      <c r="A8" s="4" t="inlineStr">
        <is>
          <t>4.10.2</t>
        </is>
      </c>
      <c r="B8" s="4" t="inlineStr">
        <is>
          <t>Acute ACL Injury</t>
        </is>
      </c>
      <c r="C8" s="4" t="inlineStr">
        <is>
          <t>In a multiligament knee the acute laxity pattern is often the only pre-operative account.</t>
        </is>
      </c>
    </row>
    <row r="9">
      <c r="A9" s="4" t="inlineStr">
        <is>
          <t>4.10.2</t>
        </is>
      </c>
      <c r="B9" s="4" t="inlineStr">
        <is>
          <t>Acute ACL Injury</t>
        </is>
      </c>
      <c r="C9" s="4" t="inlineStr">
        <is>
          <t>An examination under anaesthetic during an urgent procedure is a free and under-used opportunity.</t>
        </is>
      </c>
    </row>
    <row r="10">
      <c r="A10" s="4" t="inlineStr">
        <is>
          <t>4.10.2</t>
        </is>
      </c>
      <c r="B10" s="4" t="inlineStr">
        <is>
          <t>Acute ACL Injury</t>
        </is>
      </c>
      <c r="C10" s="4" t="inlineStr">
        <is>
          <t>The referred patient's pre-operative rotational state was frequently never assessed.</t>
        </is>
      </c>
    </row>
    <row r="11">
      <c r="A11" s="4" t="inlineStr">
        <is>
          <t>4.10.3</t>
        </is>
      </c>
      <c r="B11" s="4" t="inlineStr">
        <is>
          <t>Chronic ACL Deficiency</t>
        </is>
      </c>
      <c r="C11" s="4" t="inlineStr">
        <is>
          <t>The question in a long-deficient knee is whether reconstruction is still appropriate.</t>
        </is>
      </c>
    </row>
    <row r="12">
      <c r="A12" s="4" t="inlineStr">
        <is>
          <t>4.10.3</t>
        </is>
      </c>
      <c r="B12" s="4" t="inlineStr">
        <is>
          <t>Chronic ACL Deficiency</t>
        </is>
      </c>
      <c r="C12" s="4" t="inlineStr">
        <is>
          <t>Degeneration, meniscal deficiency and malalignment all argue against it and are assessable in clinic.</t>
        </is>
      </c>
    </row>
    <row r="13">
      <c r="A13" s="4" t="inlineStr">
        <is>
          <t>4.10.3</t>
        </is>
      </c>
      <c r="B13" s="4" t="inlineStr">
        <is>
          <t>Chronic ACL Deficiency</t>
        </is>
      </c>
      <c r="C13" s="4" t="inlineStr">
        <is>
          <t>Pain after twenty years of coping is usually degenerative disease.</t>
        </is>
      </c>
    </row>
    <row r="14">
      <c r="A14" s="4" t="inlineStr">
        <is>
          <t>4.10.3</t>
        </is>
      </c>
      <c r="B14" s="4" t="inlineStr">
        <is>
          <t>Chronic ACL Deficiency</t>
        </is>
      </c>
      <c r="C14" s="4" t="inlineStr">
        <is>
          <t>Instability after a change of occupation is a genuine new indication.</t>
        </is>
      </c>
    </row>
    <row r="15">
      <c r="A15" s="4" t="inlineStr">
        <is>
          <t>4.10.3</t>
        </is>
      </c>
      <c r="B15" s="4" t="inlineStr">
        <is>
          <t>Chronic ACL Deficiency</t>
        </is>
      </c>
      <c r="C15" s="4" t="inlineStr">
        <is>
          <t>The examination establishes what the joint can still tolerate.</t>
        </is>
      </c>
    </row>
    <row r="16">
      <c r="A16" s="4" t="inlineStr">
        <is>
          <t>4.10.4</t>
        </is>
      </c>
      <c r="B16" s="4" t="inlineStr">
        <is>
          <t>Lachman Test</t>
        </is>
      </c>
      <c r="C16" s="4" t="inlineStr">
        <is>
          <t>A small increase in translation with a firm endpoint is a satisfactory graft result.</t>
        </is>
      </c>
    </row>
    <row r="17">
      <c r="A17" s="4" t="inlineStr">
        <is>
          <t>4.10.4</t>
        </is>
      </c>
      <c r="B17" s="4" t="inlineStr">
        <is>
          <t>Lachman Test</t>
        </is>
      </c>
      <c r="C17" s="4" t="inlineStr">
        <is>
          <t>A soft endpoint after reconstruction indicates graft failure.</t>
        </is>
      </c>
    </row>
    <row r="18">
      <c r="A18" s="4" t="inlineStr">
        <is>
          <t>4.10.4</t>
        </is>
      </c>
      <c r="B18" s="4" t="inlineStr">
        <is>
          <t>Lachman Test</t>
        </is>
      </c>
      <c r="C18" s="4" t="inlineStr">
        <is>
          <t>Progressive increase across visits indicates a stretching graft, which needs earlier records.</t>
        </is>
      </c>
    </row>
    <row r="19">
      <c r="A19" s="4" t="inlineStr">
        <is>
          <t>4.10.4</t>
        </is>
      </c>
      <c r="B19" s="4" t="inlineStr">
        <is>
          <t>Lachman Test</t>
        </is>
      </c>
      <c r="C19" s="4" t="inlineStr">
        <is>
          <t>A normal Lachman with instability points at rotation rather than translation.</t>
        </is>
      </c>
    </row>
    <row r="20">
      <c r="A20" s="4" t="inlineStr">
        <is>
          <t>4.10.4</t>
        </is>
      </c>
      <c r="B20" s="4" t="inlineStr">
        <is>
          <t>Lachman Test</t>
        </is>
      </c>
      <c r="C20" s="4" t="inlineStr">
        <is>
          <t>That gap between translation and rotation is this chapter's central problem.</t>
        </is>
      </c>
    </row>
    <row r="21">
      <c r="A21" s="4" t="inlineStr">
        <is>
          <t>4.10.5</t>
        </is>
      </c>
      <c r="B21" s="4" t="inlineStr">
        <is>
          <t>Anterior Drawer Test</t>
        </is>
      </c>
      <c r="C21" s="4" t="inlineStr">
        <is>
          <t>At this level it is mainly a vehicle for the rotational modifications.</t>
        </is>
      </c>
    </row>
    <row r="22">
      <c r="A22" s="4" t="inlineStr">
        <is>
          <t>4.10.5</t>
        </is>
      </c>
      <c r="B22" s="4" t="inlineStr">
        <is>
          <t>Anterior Drawer Test</t>
        </is>
      </c>
      <c r="C22" s="4" t="inlineStr">
        <is>
          <t>The ninety degree position assesses translation and rotation in one setup.</t>
        </is>
      </c>
    </row>
    <row r="23">
      <c r="A23" s="4" t="inlineStr">
        <is>
          <t>4.10.5</t>
        </is>
      </c>
      <c r="B23" s="4" t="inlineStr">
        <is>
          <t>Anterior Drawer Test</t>
        </is>
      </c>
      <c r="C23" s="4" t="inlineStr">
        <is>
          <t>A gross drawer with rotation suggests an unaddressed medial or lateral component.</t>
        </is>
      </c>
    </row>
    <row r="24">
      <c r="A24" s="4" t="inlineStr">
        <is>
          <t>4.10.5</t>
        </is>
      </c>
      <c r="B24" s="4" t="inlineStr">
        <is>
          <t>Anterior Drawer Test</t>
        </is>
      </c>
      <c r="C24" s="4" t="inlineStr">
        <is>
          <t>A test can survive in practice for reasons unrelated to its accuracy.</t>
        </is>
      </c>
    </row>
    <row r="25">
      <c r="A25" s="4" t="inlineStr">
        <is>
          <t>4.10.6</t>
        </is>
      </c>
      <c r="B25" s="4" t="inlineStr">
        <is>
          <t>Pivot Shift Test</t>
        </is>
      </c>
      <c r="C25" s="4" t="inlineStr">
        <is>
          <t>The test measures what the patient complains about and is the least obtainable finding here.</t>
        </is>
      </c>
    </row>
    <row r="26">
      <c r="A26" s="4" t="inlineStr">
        <is>
          <t>4.10.6</t>
        </is>
      </c>
      <c r="B26" s="4" t="inlineStr">
        <is>
          <t>Pivot Shift Test</t>
        </is>
      </c>
      <c r="C26" s="4" t="inlineStr">
        <is>
          <t>That gap is why rotational instability is missed before surgery and complained of after it.</t>
        </is>
      </c>
    </row>
    <row r="27">
      <c r="A27" s="4" t="inlineStr">
        <is>
          <t>4.10.6</t>
        </is>
      </c>
      <c r="B27" s="4" t="inlineStr">
        <is>
          <t>Pivot Shift Test</t>
        </is>
      </c>
      <c r="C27" s="4" t="inlineStr">
        <is>
          <t>The pre-operative grade is frequently absent, so a later complaint cannot be dated.</t>
        </is>
      </c>
    </row>
    <row r="28">
      <c r="A28" s="4" t="inlineStr">
        <is>
          <t>4.10.6</t>
        </is>
      </c>
      <c r="B28" s="4" t="inlineStr">
        <is>
          <t>Pivot Shift Test</t>
        </is>
      </c>
      <c r="C28" s="4" t="inlineStr">
        <is>
          <t>Quantified measurement exists and has not entered routine practice.</t>
        </is>
      </c>
    </row>
    <row r="29">
      <c r="A29" s="4" t="inlineStr">
        <is>
          <t>4.10.6</t>
        </is>
      </c>
      <c r="B29" s="4" t="inlineStr">
        <is>
          <t>Pivot Shift Test</t>
        </is>
      </c>
      <c r="C29" s="4" t="inlineStr">
        <is>
          <t>Record an examination under anaesthetic whenever the rotational state is relevant.</t>
        </is>
      </c>
    </row>
    <row r="30">
      <c r="A30" s="4" t="inlineStr">
        <is>
          <t>4.10.7</t>
        </is>
      </c>
      <c r="B30" s="4" t="inlineStr">
        <is>
          <t>Lever Sign Test</t>
        </is>
      </c>
      <c r="C30" s="4" t="inlineStr">
        <is>
          <t>Its interest at this level is methodological rather than clinical.</t>
        </is>
      </c>
    </row>
    <row r="31">
      <c r="A31" s="4" t="inlineStr">
        <is>
          <t>4.10.7</t>
        </is>
      </c>
      <c r="B31" s="4" t="inlineStr">
        <is>
          <t>Lever Sign Test</t>
        </is>
      </c>
      <c r="C31" s="4" t="inlineStr">
        <is>
          <t>A well designed test with results that have not been uniformly reproduced is a common sequence.</t>
        </is>
      </c>
    </row>
    <row r="32">
      <c r="A32" s="4" t="inlineStr">
        <is>
          <t>4.10.7</t>
        </is>
      </c>
      <c r="B32" s="4" t="inlineStr">
        <is>
          <t>Lever Sign Test</t>
        </is>
      </c>
      <c r="C32" s="4" t="inlineStr">
        <is>
          <t>Its post-operative interpretation is unestablished and this page claims none.</t>
        </is>
      </c>
    </row>
    <row r="33">
      <c r="A33" s="4" t="inlineStr">
        <is>
          <t>4.10.7</t>
        </is>
      </c>
      <c r="B33" s="4" t="inlineStr">
        <is>
          <t>Lever Sign Test</t>
        </is>
      </c>
      <c r="C33" s="4" t="inlineStr">
        <is>
          <t>Perform it, record it, and weight it alongside rather than above the Lachman.</t>
        </is>
      </c>
    </row>
    <row r="34">
      <c r="A34" s="4" t="inlineStr">
        <is>
          <t>4.10.8</t>
        </is>
      </c>
      <c r="B34" s="4" t="inlineStr">
        <is>
          <t>Dynamic Assessment</t>
        </is>
      </c>
      <c r="C34" s="4" t="inlineStr">
        <is>
          <t>It answers why a technically sound reconstruction is not better.</t>
        </is>
      </c>
    </row>
    <row r="35">
      <c r="A35" s="4" t="inlineStr">
        <is>
          <t>4.10.8</t>
        </is>
      </c>
      <c r="B35" s="4" t="inlineStr">
        <is>
          <t>Dynamic Assessment</t>
        </is>
      </c>
      <c r="C35" s="4" t="inlineStr">
        <is>
          <t>A stable graft with poor control and a hop deficit is a rehabilitation problem.</t>
        </is>
      </c>
    </row>
    <row r="36">
      <c r="A36" s="4" t="inlineStr">
        <is>
          <t>4.10.8</t>
        </is>
      </c>
      <c r="B36" s="4" t="inlineStr">
        <is>
          <t>Dynamic Assessment</t>
        </is>
      </c>
      <c r="C36" s="4" t="inlineStr">
        <is>
          <t>A stable graft with good control and pivoting instability is a rotational problem.</t>
        </is>
      </c>
    </row>
    <row r="37">
      <c r="A37" s="4" t="inlineStr">
        <is>
          <t>4.10.8</t>
        </is>
      </c>
      <c r="B37" s="4" t="inlineStr">
        <is>
          <t>Dynamic Assessment</t>
        </is>
      </c>
      <c r="C37" s="4" t="inlineStr">
        <is>
          <t>It separates the two commonest causes of a disappointing reconstruction.</t>
        </is>
      </c>
    </row>
    <row r="38">
      <c r="A38" s="4" t="inlineStr">
        <is>
          <t>4.10.8</t>
        </is>
      </c>
      <c r="B38" s="4" t="inlineStr">
        <is>
          <t>Dynamic Assessment</t>
        </is>
      </c>
      <c r="C38" s="4" t="inlineStr">
        <is>
          <t>The tasks are not standardised between clinics, so compare with the patient's own other leg.</t>
        </is>
      </c>
    </row>
    <row r="39">
      <c r="A39" s="4" t="inlineStr">
        <is>
          <t>4.10.9</t>
        </is>
      </c>
      <c r="B39" s="4" t="inlineStr">
        <is>
          <t>Rotational Instability</t>
        </is>
      </c>
      <c r="C39" s="4" t="inlineStr">
        <is>
          <t>The best performing examination in the knee measures the wrong variable.</t>
        </is>
      </c>
    </row>
    <row r="40">
      <c r="A40" s="4" t="inlineStr">
        <is>
          <t>4.10.9</t>
        </is>
      </c>
      <c r="B40" s="4" t="inlineStr">
        <is>
          <t>Rotational Instability</t>
        </is>
      </c>
      <c r="C40" s="4" t="inlineStr">
        <is>
          <t>Translation is accurate and is not the complaint; the test for the complaint needs anaesthesia.</t>
        </is>
      </c>
    </row>
    <row r="41">
      <c r="A41" s="4" t="inlineStr">
        <is>
          <t>4.10.9</t>
        </is>
      </c>
      <c r="B41" s="4" t="inlineStr">
        <is>
          <t>Rotational Instability</t>
        </is>
      </c>
      <c r="C41" s="4" t="inlineStr">
        <is>
          <t>Almost every dissatisfied reconstruction sits in that gap.</t>
        </is>
      </c>
    </row>
    <row r="42">
      <c r="A42" s="4" t="inlineStr">
        <is>
          <t>4.10.9</t>
        </is>
      </c>
      <c r="B42" s="4" t="inlineStr">
        <is>
          <t>Rotational Instability</t>
        </is>
      </c>
      <c r="C42" s="4" t="inlineStr">
        <is>
          <t>The available responses are all partial.</t>
        </is>
      </c>
    </row>
    <row r="43">
      <c r="A43" s="4" t="inlineStr">
        <is>
          <t>4.10.9</t>
        </is>
      </c>
      <c r="B43" s="4" t="inlineStr">
        <is>
          <t>Rotational Instability</t>
        </is>
      </c>
      <c r="C43" s="4" t="inlineStr">
        <is>
          <t>The field's best examination has a known blind spot and no instrument closes it.</t>
        </is>
      </c>
    </row>
    <row r="44">
      <c r="A44" s="4" t="inlineStr">
        <is>
          <t>4.10.10</t>
        </is>
      </c>
      <c r="B44" s="4" t="inlineStr">
        <is>
          <t>Examination Under Anaesthesia</t>
        </is>
      </c>
      <c r="C44" s="4" t="inlineStr">
        <is>
          <t>It is the only reliable rotational assessment available, which is why it resolves referrals.</t>
        </is>
      </c>
    </row>
    <row r="45">
      <c r="A45" s="4" t="inlineStr">
        <is>
          <t>4.10.10</t>
        </is>
      </c>
      <c r="B45" s="4" t="inlineStr">
        <is>
          <t>Examination Under Anaesthesia</t>
        </is>
      </c>
      <c r="C45" s="4" t="inlineStr">
        <is>
          <t>In revision it establishes what the current laxity actually is.</t>
        </is>
      </c>
    </row>
    <row r="46">
      <c r="A46" s="4" t="inlineStr">
        <is>
          <t>4.10.10</t>
        </is>
      </c>
      <c r="B46" s="4" t="inlineStr">
        <is>
          <t>Examination Under Anaesthesia</t>
        </is>
      </c>
      <c r="C46" s="4" t="inlineStr">
        <is>
          <t>In a multiligament knee it determines the staging and the order of reconstruction.</t>
        </is>
      </c>
    </row>
    <row r="47">
      <c r="A47" s="4" t="inlineStr">
        <is>
          <t>4.10.10</t>
        </is>
      </c>
      <c r="B47" s="4" t="inlineStr">
        <is>
          <t>Examination Under Anaesthesia</t>
        </is>
      </c>
      <c r="C47" s="4" t="inlineStr">
        <is>
          <t>In a hypermobile patient it is most likely to overstate the problem.</t>
        </is>
      </c>
    </row>
    <row r="48">
      <c r="A48" s="4" t="inlineStr">
        <is>
          <t>4.10.10</t>
        </is>
      </c>
      <c r="B48" s="4" t="inlineStr">
        <is>
          <t>Examination Under Anaesthesia</t>
        </is>
      </c>
      <c r="C48" s="4" t="inlineStr">
        <is>
          <t>It is frequently the best record a knee will ever have, and summarising it as a grade wastes it.</t>
        </is>
      </c>
    </row>
    <row r="49">
      <c r="A49" s="4" t="inlineStr">
        <is>
          <t>4.10.11</t>
        </is>
      </c>
      <c r="B49" s="4" t="inlineStr">
        <is>
          <t>Post-Reconstruction Assessment</t>
        </is>
      </c>
      <c r="C49" s="4" t="inlineStr">
        <is>
          <t>The main limitation is the absence of a pre-operative comparator, which is a records problem.</t>
        </is>
      </c>
    </row>
    <row r="50">
      <c r="A50" s="4" t="inlineStr">
        <is>
          <t>4.10.11</t>
        </is>
      </c>
      <c r="B50" s="4" t="inlineStr">
        <is>
          <t>Post-Reconstruction Assessment</t>
        </is>
      </c>
      <c r="C50" s="4" t="inlineStr">
        <is>
          <t>Increased translation without a pre-operative measurement cannot be called a stretched graft.</t>
        </is>
      </c>
    </row>
    <row r="51">
      <c r="A51" s="4" t="inlineStr">
        <is>
          <t>4.10.11</t>
        </is>
      </c>
      <c r="B51" s="4" t="inlineStr">
        <is>
          <t>Post-Reconstruction Assessment</t>
        </is>
      </c>
      <c r="C51" s="4" t="inlineStr">
        <is>
          <t>A pivot shift without a pre-operative grade cannot be called a new problem.</t>
        </is>
      </c>
    </row>
    <row r="52">
      <c r="A52" s="4" t="inlineStr">
        <is>
          <t>4.10.11</t>
        </is>
      </c>
      <c r="B52" s="4" t="inlineStr">
        <is>
          <t>Post-Reconstruction Assessment</t>
        </is>
      </c>
      <c r="C52" s="4" t="inlineStr">
        <is>
          <t>Record the examination under anaesthesia at the reconstruction, with grades, endpoints and angles.</t>
        </is>
      </c>
    </row>
    <row r="53">
      <c r="A53" s="4" t="inlineStr">
        <is>
          <t>4.10.11</t>
        </is>
      </c>
      <c r="B53" s="4" t="inlineStr">
        <is>
          <t>Post-Reconstruction Assessment</t>
        </is>
      </c>
      <c r="C53" s="4" t="inlineStr">
        <is>
          <t>That remedy helps the next patient rather than this one.</t>
        </is>
      </c>
    </row>
    <row r="54">
      <c r="A54" s="4" t="inlineStr">
        <is>
          <t>4.10.12</t>
        </is>
      </c>
      <c r="B54" s="4" t="inlineStr">
        <is>
          <t>Revision ACL Assessment</t>
        </is>
      </c>
      <c r="C54" s="4" t="inlineStr">
        <is>
          <t>Most revisions are for a rotational component or an environment the first assessment did not record.</t>
        </is>
      </c>
    </row>
    <row r="55">
      <c r="A55" s="4" t="inlineStr">
        <is>
          <t>4.10.12</t>
        </is>
      </c>
      <c r="B55" s="4" t="inlineStr">
        <is>
          <t>Revision ACL Assessment</t>
        </is>
      </c>
      <c r="C55" s="4" t="inlineStr">
        <is>
          <t>Both were assessable before the first operation.</t>
        </is>
      </c>
    </row>
    <row r="56">
      <c r="A56" s="4" t="inlineStr">
        <is>
          <t>4.10.12</t>
        </is>
      </c>
      <c r="B56" s="4" t="inlineStr">
        <is>
          <t>Revision ACL Assessment</t>
        </is>
      </c>
      <c r="C56" s="4" t="inlineStr">
        <is>
          <t>The revision clinic is where the cost of an incomplete pre-operative examination is paid.</t>
        </is>
      </c>
    </row>
    <row r="57">
      <c r="A57" s="4" t="inlineStr">
        <is>
          <t>4.10.12</t>
        </is>
      </c>
      <c r="B57" s="4" t="inlineStr">
        <is>
          <t>Revision ACL Assessment</t>
        </is>
      </c>
      <c r="C57" s="4" t="inlineStr">
        <is>
          <t>After several reconstructions the job is establishing what the joint can still tolerate.</t>
        </is>
      </c>
    </row>
    <row r="58">
      <c r="A58" s="4" t="inlineStr">
        <is>
          <t>4.10.12</t>
        </is>
      </c>
      <c r="B58" s="4" t="inlineStr">
        <is>
          <t>Revision ACL Assessment</t>
        </is>
      </c>
      <c r="C58" s="4" t="inlineStr">
        <is>
          <t>Frequently the answer is that no further reconstruction is appropriate, and the examination makes that defensible.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4.10.1-P1</t>
        </is>
      </c>
      <c r="B3" s="4" t="inlineStr">
        <is>
          <t>4.10.1</t>
        </is>
      </c>
      <c r="C3" s="4" t="inlineStr">
        <is>
          <t>medical_student</t>
        </is>
      </c>
      <c r="D3" s="4" t="inlineStr">
        <is>
          <t>Ask what the knee was doing: a planted foot with a change of direction, a landing, or a hyperextension.</t>
        </is>
      </c>
      <c r="E3" s="4" t="inlineStr"/>
      <c r="F3" s="4" t="inlineStr"/>
      <c r="G3" s="4" t="inlineStr"/>
    </row>
    <row r="4">
      <c r="A4" s="4" t="inlineStr">
        <is>
          <t>4.10.1-P2</t>
        </is>
      </c>
      <c r="B4" s="4" t="inlineStr">
        <is>
          <t>4.10.1</t>
        </is>
      </c>
      <c r="C4" s="4" t="inlineStr">
        <is>
          <t>medical_student</t>
        </is>
      </c>
      <c r="D4" s="4" t="inlineStr">
        <is>
          <t>Ask whether anything hit the knee, since a non-contact mechanism points here and a contact one widens the differential.</t>
        </is>
      </c>
      <c r="E4" s="4" t="inlineStr"/>
      <c r="F4" s="4" t="inlineStr"/>
      <c r="G4" s="4" t="inlineStr"/>
    </row>
    <row r="5">
      <c r="A5" s="4" t="inlineStr">
        <is>
          <t>4.10.1-P3</t>
        </is>
      </c>
      <c r="B5" s="4" t="inlineStr">
        <is>
          <t>4.10.1</t>
        </is>
      </c>
      <c r="C5" s="4" t="inlineStr">
        <is>
          <t>medical_student</t>
        </is>
      </c>
      <c r="D5" s="4" t="inlineStr">
        <is>
          <t>Ask whether they heard or felt a pop, and whether they could carry on.</t>
        </is>
      </c>
      <c r="E5" s="4" t="inlineStr"/>
      <c r="F5" s="4" t="inlineStr"/>
      <c r="G5" s="4" t="inlineStr"/>
    </row>
    <row r="6">
      <c r="A6" s="4" t="inlineStr">
        <is>
          <t>4.10.1-P4</t>
        </is>
      </c>
      <c r="B6" s="4" t="inlineStr">
        <is>
          <t>4.10.1</t>
        </is>
      </c>
      <c r="C6" s="4" t="inlineStr">
        <is>
          <t>medical_student</t>
        </is>
      </c>
      <c r="D6" s="4" t="inlineStr">
        <is>
          <t>Ask how quickly the knee swelled, pressing for hours.</t>
        </is>
      </c>
      <c r="E6" s="4" t="inlineStr"/>
      <c r="F6" s="4" t="inlineStr"/>
      <c r="G6" s="4" t="inlineStr"/>
    </row>
    <row r="7">
      <c r="A7" s="4" t="inlineStr">
        <is>
          <t>4.10.1-P5</t>
        </is>
      </c>
      <c r="B7" s="4" t="inlineStr">
        <is>
          <t>4.10.1</t>
        </is>
      </c>
      <c r="C7" s="4" t="inlineStr">
        <is>
          <t>frcs</t>
        </is>
      </c>
      <c r="D7" s="4" t="inlineStr">
        <is>
          <t>Ask what they no longer do.</t>
        </is>
      </c>
      <c r="E7" s="4" t="inlineStr"/>
      <c r="F7" s="4" t="inlineStr"/>
      <c r="G7" s="4" t="inlineStr"/>
    </row>
    <row r="8">
      <c r="A8" s="4" t="inlineStr">
        <is>
          <t>4.10.2-P1</t>
        </is>
      </c>
      <c r="B8" s="4" t="inlineStr">
        <is>
          <t>4.10.2</t>
        </is>
      </c>
      <c r="C8" s="4" t="inlineStr">
        <is>
          <t>medical_student</t>
        </is>
      </c>
      <c r="D8" s="4" t="inlineStr">
        <is>
          <t>The acute examination tests three things that are answerable in a guarding knee, and it should not attempt more.</t>
        </is>
      </c>
      <c r="E8" s="4" t="inlineStr"/>
      <c r="F8" s="4" t="inlineStr"/>
      <c r="G8" s="4" t="inlineStr"/>
    </row>
    <row r="9">
      <c r="A9" s="4" t="inlineStr">
        <is>
          <t>4.10.2-P2</t>
        </is>
      </c>
      <c r="B9" s="4" t="inlineStr">
        <is>
          <t>4.10.2</t>
        </is>
      </c>
      <c r="C9" s="4" t="inlineStr">
        <is>
          <t>medical_student</t>
        </is>
      </c>
      <c r="D9" s="4" t="inlineStr">
        <is>
          <t>Confirm an effusion by the sweep test or the patellar tap, which are gentler than most manoeuvres.</t>
        </is>
      </c>
      <c r="E9" s="4" t="inlineStr"/>
      <c r="F9" s="4" t="inlineStr"/>
      <c r="G9" s="4" t="inlineStr"/>
    </row>
    <row r="10">
      <c r="A10" s="4" t="inlineStr">
        <is>
          <t>4.10.2-P3</t>
        </is>
      </c>
      <c r="B10" s="4" t="inlineStr">
        <is>
          <t>4.10.2</t>
        </is>
      </c>
      <c r="C10" s="4" t="inlineStr">
        <is>
          <t>medical_student</t>
        </is>
      </c>
      <c r="D10" s="4" t="inlineStr">
        <is>
          <t>Ask the patient to straighten the knee against gravity, which screens the extensor mechanism.</t>
        </is>
      </c>
      <c r="E10" s="4" t="inlineStr"/>
      <c r="F10" s="4" t="inlineStr"/>
      <c r="G10" s="4" t="inlineStr"/>
    </row>
    <row r="11">
      <c r="A11" s="4" t="inlineStr">
        <is>
          <t>4.10.2-P4</t>
        </is>
      </c>
      <c r="B11" s="4" t="inlineStr">
        <is>
          <t>4.10.2</t>
        </is>
      </c>
      <c r="C11" s="4" t="inlineStr">
        <is>
          <t>medical_student</t>
        </is>
      </c>
      <c r="D11" s="4" t="inlineStr">
        <is>
          <t>Do not attempt a pivot shift in an acute knee.</t>
        </is>
      </c>
      <c r="E11" s="4" t="inlineStr"/>
      <c r="F11" s="4" t="inlineStr"/>
      <c r="G11" s="4" t="inlineStr"/>
    </row>
    <row r="12">
      <c r="A12" s="4" t="inlineStr">
        <is>
          <t>4.10.2-P5</t>
        </is>
      </c>
      <c r="B12" s="4" t="inlineStr">
        <is>
          <t>4.10.2</t>
        </is>
      </c>
      <c r="C12" s="4" t="inlineStr">
        <is>
          <t>medical_student</t>
        </is>
      </c>
      <c r="D12" s="4" t="inlineStr">
        <is>
          <t>A negative Lachman is weak and should not be recorded as excluding the injury.</t>
        </is>
      </c>
      <c r="E12" s="4" t="inlineStr"/>
      <c r="F12" s="4" t="inlineStr"/>
      <c r="G12" s="4" t="inlineStr"/>
    </row>
    <row r="13">
      <c r="A13" s="4" t="inlineStr">
        <is>
          <t>4.10.3-P1</t>
        </is>
      </c>
      <c r="B13" s="4" t="inlineStr">
        <is>
          <t>4.10.3</t>
        </is>
      </c>
      <c r="C13" s="4" t="inlineStr">
        <is>
          <t>medical_student</t>
        </is>
      </c>
      <c r="D13" s="4" t="inlineStr">
        <is>
          <t>Measure thigh circumference or compare it visually, since quadriceps wasting is common and is the main modifiable finding.</t>
        </is>
      </c>
      <c r="E13" s="4" t="inlineStr"/>
      <c r="F13" s="4" t="inlineStr"/>
      <c r="G13" s="4" t="inlineStr"/>
    </row>
    <row r="14">
      <c r="A14" s="4" t="inlineStr">
        <is>
          <t>4.10.3-P2</t>
        </is>
      </c>
      <c r="B14" s="4" t="inlineStr">
        <is>
          <t>4.10.3</t>
        </is>
      </c>
      <c r="C14" s="4" t="inlineStr">
        <is>
          <t>medical_student</t>
        </is>
      </c>
      <c r="D14" s="4" t="inlineStr">
        <is>
          <t>Examine the menisci and the joint lines deliberately, because secondary injury is common and changes the plan.</t>
        </is>
      </c>
      <c r="E14" s="4" t="inlineStr"/>
      <c r="F14" s="4" t="inlineStr"/>
      <c r="G14" s="4" t="inlineStr"/>
    </row>
    <row r="15">
      <c r="A15" s="4" t="inlineStr">
        <is>
          <t>4.10.3-P3</t>
        </is>
      </c>
      <c r="B15" s="4" t="inlineStr">
        <is>
          <t>4.10.3</t>
        </is>
      </c>
      <c r="C15" s="4" t="inlineStr">
        <is>
          <t>frcs</t>
        </is>
      </c>
      <c r="D15" s="4" t="inlineStr">
        <is>
          <t>Quadriceps deficit should be addressed before reconstruction rather than after, because a knee with better quadriceps function before surgery does better after it.</t>
        </is>
      </c>
      <c r="E15" s="4" t="inlineStr"/>
      <c r="F15" s="4" t="inlineStr"/>
      <c r="G15" s="4" t="inlineStr"/>
    </row>
    <row r="16">
      <c r="A16" s="4" t="inlineStr">
        <is>
          <t>4.10.4-P1</t>
        </is>
      </c>
      <c r="B16" s="4" t="inlineStr">
        <is>
          <t>4.10.4</t>
        </is>
      </c>
      <c r="C16" s="4" t="inlineStr">
        <is>
          <t>medical_student</t>
        </is>
      </c>
      <c r="D16" s="4" t="inlineStr">
        <is>
          <t>Compare with the other knee, which is what makes the amount interpretable.</t>
        </is>
      </c>
      <c r="E16" s="4" t="inlineStr"/>
      <c r="F16" s="4" t="inlineStr"/>
      <c r="G16" s="4" t="inlineStr"/>
    </row>
    <row r="17">
      <c r="A17" s="4" t="inlineStr">
        <is>
          <t>4.10.4-P2</t>
        </is>
      </c>
      <c r="B17" s="4" t="inlineStr">
        <is>
          <t>4.10.4</t>
        </is>
      </c>
      <c r="C17" s="4" t="inlineStr">
        <is>
          <t>medical_student</t>
        </is>
      </c>
      <c r="D17" s="4" t="inlineStr">
        <is>
          <t>Record the translation relative to the other side and the endpoint character, which is what makes the finding comparable later.</t>
        </is>
      </c>
      <c r="E17" s="4" t="inlineStr"/>
      <c r="F17" s="4" t="inlineStr"/>
      <c r="G17" s="4" t="inlineStr"/>
    </row>
    <row r="18">
      <c r="A18" s="4" t="inlineStr">
        <is>
          <t>4.10.4-P3</t>
        </is>
      </c>
      <c r="B18" s="4" t="inlineStr">
        <is>
          <t>4.10.4</t>
        </is>
      </c>
      <c r="C18" s="4" t="inlineStr">
        <is>
          <t>medical_student</t>
        </is>
      </c>
      <c r="D18" s="4" t="inlineStr">
        <is>
          <t>A negative test in an acutely guarding knee is weak and should not be recorded as excluding the injury.</t>
        </is>
      </c>
      <c r="E18" s="4" t="inlineStr"/>
      <c r="F18" s="4" t="inlineStr"/>
      <c r="G18" s="4" t="inlineStr"/>
    </row>
    <row r="19">
      <c r="A19" s="4" t="inlineStr">
        <is>
          <t>4.10.5-P1</t>
        </is>
      </c>
      <c r="B19" s="4" t="inlineStr">
        <is>
          <t>4.10.5</t>
        </is>
      </c>
      <c r="C19" s="4" t="inlineStr">
        <is>
          <t>medical_student</t>
        </is>
      </c>
      <c r="D19" s="4" t="inlineStr">
        <is>
          <t>Check that the hamstrings are relaxed by palpating them with your fingers behind the proximal tibia, which is part of the technique rather than an optional refinement.</t>
        </is>
      </c>
      <c r="E19" s="4" t="inlineStr"/>
      <c r="F19" s="4" t="inlineStr"/>
      <c r="G19" s="4" t="inlineStr"/>
    </row>
    <row r="20">
      <c r="A20" s="4" t="inlineStr">
        <is>
          <t>4.10.5-P2</t>
        </is>
      </c>
      <c r="B20" s="4" t="inlineStr">
        <is>
          <t>4.10.5</t>
        </is>
      </c>
      <c r="C20" s="4" t="inlineStr">
        <is>
          <t>medical_student</t>
        </is>
      </c>
      <c r="D20" s="4" t="inlineStr">
        <is>
          <t>Compare with the other knee, and note the starting position, because a posteriorly sagged tibia gives a falsely large anterior excursion.</t>
        </is>
      </c>
      <c r="E20" s="4" t="inlineStr"/>
      <c r="F20" s="4" t="inlineStr"/>
      <c r="G20" s="4" t="inlineStr"/>
    </row>
    <row r="21">
      <c r="A21" s="4" t="inlineStr">
        <is>
          <t>4.10.5-P3</t>
        </is>
      </c>
      <c r="B21" s="4" t="inlineStr">
        <is>
          <t>4.10.5</t>
        </is>
      </c>
      <c r="C21" s="4" t="inlineStr">
        <is>
          <t>medical_student</t>
        </is>
      </c>
      <c r="D21" s="4" t="inlineStr">
        <is>
          <t>A negative test is weak, much weaker than a negative Lachman, and should not be recorded as excluding the injury.</t>
        </is>
      </c>
      <c r="E21" s="4" t="inlineStr"/>
      <c r="F21" s="4" t="inlineStr"/>
      <c r="G21" s="4" t="inlineStr"/>
    </row>
    <row r="22">
      <c r="A22" s="4" t="inlineStr">
        <is>
          <t>4.10.5-P4</t>
        </is>
      </c>
      <c r="B22" s="4" t="inlineStr">
        <is>
          <t>4.10.5</t>
        </is>
      </c>
      <c r="C22" s="4" t="inlineStr">
        <is>
          <t>frcs</t>
        </is>
      </c>
      <c r="D22" s="4" t="inlineStr">
        <is>
          <t>It should not be used as the basis for a reconstruction decision, and a letter reporting only an anterior drawer has not assessed the ligament adequately.</t>
        </is>
      </c>
      <c r="E22" s="4" t="inlineStr"/>
      <c r="F22" s="4" t="inlineStr"/>
      <c r="G22" s="4" t="inlineStr"/>
    </row>
    <row r="23">
      <c r="A23" s="4" t="inlineStr">
        <is>
          <t>4.10.6-P1</t>
        </is>
      </c>
      <c r="B23" s="4" t="inlineStr">
        <is>
          <t>4.10.6</t>
        </is>
      </c>
      <c r="C23" s="4" t="inlineStr">
        <is>
          <t>medical_student</t>
        </is>
      </c>
      <c r="D23" s="4" t="inlineStr">
        <is>
          <t>Start with the knee extended, apply internal rotation and a valgus force, and flex the knee smoothly.</t>
        </is>
      </c>
      <c r="E23" s="4" t="inlineStr"/>
      <c r="F23" s="4" t="inlineStr"/>
      <c r="G23" s="4" t="inlineStr"/>
    </row>
    <row r="24">
      <c r="A24" s="4" t="inlineStr">
        <is>
          <t>4.10.6-P2</t>
        </is>
      </c>
      <c r="B24" s="4" t="inlineStr">
        <is>
          <t>4.10.6</t>
        </is>
      </c>
      <c r="C24" s="4" t="inlineStr">
        <is>
          <t>medical_student</t>
        </is>
      </c>
      <c r="D24" s="4" t="inlineStr">
        <is>
          <t>Grade it by whether a glide, a clunk or a gross subluxation is felt, and compare with the other side.</t>
        </is>
      </c>
      <c r="E24" s="4" t="inlineStr"/>
      <c r="F24" s="4" t="inlineStr"/>
      <c r="G24" s="4" t="inlineStr"/>
    </row>
    <row r="25">
      <c r="A25" s="4" t="inlineStr">
        <is>
          <t>4.10.6-P3</t>
        </is>
      </c>
      <c r="B25" s="4" t="inlineStr">
        <is>
          <t>4.10.6</t>
        </is>
      </c>
      <c r="C25" s="4" t="inlineStr">
        <is>
          <t>medical_student</t>
        </is>
      </c>
      <c r="D25" s="4" t="inlineStr">
        <is>
          <t>Expect to fail in an awake, apprehensive or acutely injured patient, and do not force it.</t>
        </is>
      </c>
      <c r="E25" s="4" t="inlineStr"/>
      <c r="F25" s="4" t="inlineStr"/>
      <c r="G25" s="4" t="inlineStr"/>
    </row>
    <row r="26">
      <c r="A26" s="4" t="inlineStr">
        <is>
          <t>4.10.6-P4</t>
        </is>
      </c>
      <c r="B26" s="4" t="inlineStr">
        <is>
          <t>4.10.6</t>
        </is>
      </c>
      <c r="C26" s="4" t="inlineStr">
        <is>
          <t>medical_student</t>
        </is>
      </c>
      <c r="D26" s="4" t="inlineStr">
        <is>
          <t>A positive test in the absence of a positive Lachman is unusual and should prompt review of both.</t>
        </is>
      </c>
      <c r="E26" s="4" t="inlineStr"/>
      <c r="F26" s="4" t="inlineStr"/>
      <c r="G26" s="4" t="inlineStr"/>
    </row>
    <row r="27">
      <c r="A27" s="4" t="inlineStr">
        <is>
          <t>4.10.6-P5</t>
        </is>
      </c>
      <c r="B27" s="4" t="inlineStr">
        <is>
          <t>4.10.6</t>
        </is>
      </c>
      <c r="C27" s="4" t="inlineStr">
        <is>
          <t>fellowship</t>
        </is>
      </c>
      <c r="D27" s="4" t="inlineStr">
        <is>
          <t>The practical conclusion is that an examination under anaesthetic should be performed and recorded whenever a knee is being operated on and the rotational state is relevant, which is most of them.</t>
        </is>
      </c>
      <c r="E27" s="4" t="inlineStr"/>
      <c r="F27" s="4" t="inlineStr"/>
      <c r="G27" s="4" t="inlineStr"/>
    </row>
    <row r="28">
      <c r="A28" s="4" t="inlineStr">
        <is>
          <t>4.10.7-P1</t>
        </is>
      </c>
      <c r="B28" s="4" t="inlineStr">
        <is>
          <t>4.10.7</t>
        </is>
      </c>
      <c r="C28" s="4" t="inlineStr">
        <is>
          <t>medical_student</t>
        </is>
      </c>
      <c r="D28" s="4" t="inlineStr">
        <is>
          <t>With the patient supine and the leg extended, place a closed fist under the proximal third of the calf.</t>
        </is>
      </c>
      <c r="E28" s="4" t="inlineStr"/>
      <c r="F28" s="4" t="inlineStr"/>
      <c r="G28" s="4" t="inlineStr"/>
    </row>
    <row r="29">
      <c r="A29" s="4" t="inlineStr">
        <is>
          <t>4.10.7-P2</t>
        </is>
      </c>
      <c r="B29" s="4" t="inlineStr">
        <is>
          <t>4.10.7</t>
        </is>
      </c>
      <c r="C29" s="4" t="inlineStr">
        <is>
          <t>medical_student</t>
        </is>
      </c>
      <c r="D29" s="4" t="inlineStr">
        <is>
          <t>Compare with the other side, which matters here as much as in every other test in this chapter.</t>
        </is>
      </c>
      <c r="E29" s="4" t="inlineStr"/>
      <c r="F29" s="4" t="inlineStr"/>
      <c r="G29" s="4" t="inlineStr"/>
    </row>
    <row r="30">
      <c r="A30" s="4" t="inlineStr">
        <is>
          <t>4.10.7-P3</t>
        </is>
      </c>
      <c r="B30" s="4" t="inlineStr">
        <is>
          <t>4.10.7</t>
        </is>
      </c>
      <c r="C30" s="4" t="inlineStr">
        <is>
          <t>medical_student</t>
        </is>
      </c>
      <c r="D30" s="4" t="inlineStr">
        <is>
          <t>Record what happened to the heel, which is the observation the test rests on.</t>
        </is>
      </c>
      <c r="E30" s="4" t="inlineStr"/>
      <c r="F30" s="4" t="inlineStr"/>
      <c r="G30" s="4" t="inlineStr"/>
    </row>
    <row r="31">
      <c r="A31" s="4" t="inlineStr">
        <is>
          <t>4.10.7-P4</t>
        </is>
      </c>
      <c r="B31" s="4" t="inlineStr">
        <is>
          <t>4.10.7</t>
        </is>
      </c>
      <c r="C31" s="4" t="inlineStr">
        <is>
          <t>medical_student</t>
        </is>
      </c>
      <c r="D31" s="4" t="inlineStr">
        <is>
          <t>A partial lift is difficult to interpret and should be recorded as such rather than forced into a binary result.</t>
        </is>
      </c>
      <c r="E31" s="4" t="inlineStr"/>
      <c r="F31" s="4" t="inlineStr"/>
      <c r="G31" s="4" t="inlineStr"/>
    </row>
    <row r="32">
      <c r="A32" s="4" t="inlineStr">
        <is>
          <t>4.10.7-P5</t>
        </is>
      </c>
      <c r="B32" s="4" t="inlineStr">
        <is>
          <t>4.10.7</t>
        </is>
      </c>
      <c r="C32" s="4" t="inlineStr">
        <is>
          <t>mrcs</t>
        </is>
      </c>
      <c r="D32" s="4" t="inlineStr">
        <is>
          <t>It follows that the test should not add information about structures other than the anterior cruciate, and claims that it does should be treated sceptically.</t>
        </is>
      </c>
      <c r="E32" s="4" t="inlineStr"/>
      <c r="F32" s="4" t="inlineStr"/>
      <c r="G32" s="4" t="inlineStr"/>
    </row>
    <row r="33">
      <c r="A33" s="4" t="inlineStr">
        <is>
          <t>4.10.8-P1</t>
        </is>
      </c>
      <c r="B33" s="4" t="inlineStr">
        <is>
          <t>4.10.8</t>
        </is>
      </c>
      <c r="C33" s="4" t="inlineStr">
        <is>
          <t>medical_student</t>
        </is>
      </c>
      <c r="D33" s="4" t="inlineStr">
        <is>
          <t>Ask for a single leg stance and then a single leg squat, watching the knee for inward collapse and the pelvis for a drop.</t>
        </is>
      </c>
      <c r="E33" s="4" t="inlineStr"/>
      <c r="F33" s="4" t="inlineStr"/>
      <c r="G33" s="4" t="inlineStr"/>
    </row>
    <row r="34">
      <c r="A34" s="4" t="inlineStr">
        <is>
          <t>4.10.8-P2</t>
        </is>
      </c>
      <c r="B34" s="4" t="inlineStr">
        <is>
          <t>4.10.8</t>
        </is>
      </c>
      <c r="C34" s="4" t="inlineStr">
        <is>
          <t>medical_student</t>
        </is>
      </c>
      <c r="D34" s="4" t="inlineStr">
        <is>
          <t>Ask for a hop if the knee is stable enough, comparing distance and quality with the other side.</t>
        </is>
      </c>
      <c r="E34" s="4" t="inlineStr"/>
      <c r="F34" s="4" t="inlineStr"/>
      <c r="G34" s="4" t="inlineStr"/>
    </row>
    <row r="35">
      <c r="A35" s="4" t="inlineStr">
        <is>
          <t>4.10.8-P3</t>
        </is>
      </c>
      <c r="B35" s="4" t="inlineStr">
        <is>
          <t>4.10.8</t>
        </is>
      </c>
      <c r="C35" s="4" t="inlineStr">
        <is>
          <t>medical_student</t>
        </is>
      </c>
      <c r="D35" s="4" t="inlineStr">
        <is>
          <t>Ask for a step down from a low step, which loads the extensor mechanism eccentrically.</t>
        </is>
      </c>
      <c r="E35" s="4" t="inlineStr"/>
      <c r="F35" s="4" t="inlineStr"/>
      <c r="G35" s="4" t="inlineStr"/>
    </row>
    <row r="36">
      <c r="A36" s="4" t="inlineStr">
        <is>
          <t>4.10.8-P4</t>
        </is>
      </c>
      <c r="B36" s="4" t="inlineStr">
        <is>
          <t>4.10.8</t>
        </is>
      </c>
      <c r="C36" s="4" t="inlineStr">
        <is>
          <t>medical_student</t>
        </is>
      </c>
      <c r="D36" s="4" t="inlineStr">
        <is>
          <t>Stop at the point where the task is unsafe, and record what they could and could not do rather than persisting.</t>
        </is>
      </c>
      <c r="E36" s="4" t="inlineStr"/>
      <c r="F36" s="4" t="inlineStr"/>
      <c r="G36" s="4" t="inlineStr"/>
    </row>
    <row r="37">
      <c r="A37" s="4" t="inlineStr">
        <is>
          <t>4.10.8-P5</t>
        </is>
      </c>
      <c r="B37" s="4" t="inlineStr">
        <is>
          <t>4.10.8</t>
        </is>
      </c>
      <c r="C37" s="4" t="inlineStr">
        <is>
          <t>mrcs</t>
        </is>
      </c>
      <c r="D37" s="4" t="inlineStr">
        <is>
          <t>It does not diagnose a ruptured ligament and should not be used to, which is why it sits alongside the laxity tests rather than replacing them.</t>
        </is>
      </c>
      <c r="E37" s="4" t="inlineStr"/>
      <c r="F37" s="4" t="inlineStr"/>
      <c r="G37" s="4" t="inlineStr"/>
    </row>
    <row r="38">
      <c r="A38" s="4" t="inlineStr">
        <is>
          <t>4.10.10-P1</t>
        </is>
      </c>
      <c r="B38" s="4" t="inlineStr">
        <is>
          <t>4.10.10</t>
        </is>
      </c>
      <c r="C38" s="4" t="inlineStr">
        <is>
          <t>medical_student</t>
        </is>
      </c>
      <c r="D38" s="4" t="inlineStr">
        <is>
          <t>Examine both knees, because the comparison is as important here as anywhere and the unaffected knee is now also fully relaxed.</t>
        </is>
      </c>
      <c r="E38" s="4" t="inlineStr"/>
      <c r="F38" s="4" t="inlineStr"/>
      <c r="G38" s="4" t="inlineStr"/>
    </row>
    <row r="39">
      <c r="A39" s="4" t="inlineStr">
        <is>
          <t>4.10.10-P2</t>
        </is>
      </c>
      <c r="B39" s="4" t="inlineStr">
        <is>
          <t>4.10.10</t>
        </is>
      </c>
      <c r="C39" s="4" t="inlineStr">
        <is>
          <t>medical_student</t>
        </is>
      </c>
      <c r="D39" s="4" t="inlineStr">
        <is>
          <t>Record each finding with its grade, its endpoint and its flexion angle, and record explicitly that the examination was under anaesthesia.</t>
        </is>
      </c>
      <c r="E39" s="4" t="inlineStr"/>
      <c r="F39" s="4" t="inlineStr"/>
      <c r="G39" s="4" t="inlineStr"/>
    </row>
    <row r="40">
      <c r="A40" s="4" t="inlineStr">
        <is>
          <t>4.10.10-P3</t>
        </is>
      </c>
      <c r="B40" s="4" t="inlineStr">
        <is>
          <t>4.10.10</t>
        </is>
      </c>
      <c r="C40" s="4" t="inlineStr">
        <is>
          <t>medical_student</t>
        </is>
      </c>
      <c r="D40" s="4" t="inlineStr">
        <is>
          <t>Record it before the arthroscopy, because once the joint has been entered the examination has changed.</t>
        </is>
      </c>
      <c r="E40" s="4" t="inlineStr"/>
      <c r="F40" s="4" t="inlineStr"/>
      <c r="G40" s="4" t="inlineStr"/>
    </row>
    <row r="41">
      <c r="A41" s="4" t="inlineStr">
        <is>
          <t>4.10.10-P4</t>
        </is>
      </c>
      <c r="B41" s="4" t="inlineStr">
        <is>
          <t>4.10.10</t>
        </is>
      </c>
      <c r="C41" s="4" t="inlineStr">
        <is>
          <t>mrcs</t>
        </is>
      </c>
      <c r="D41" s="4" t="inlineStr">
        <is>
          <t>Say that findings must be labelled as under anaesthesia, because an unlabelled finding will be compared with awake findings later and will mislead.</t>
        </is>
      </c>
      <c r="E41" s="4" t="inlineStr"/>
      <c r="F41" s="4" t="inlineStr"/>
      <c r="G41" s="4" t="inlineStr"/>
    </row>
    <row r="42">
      <c r="A42" s="4" t="inlineStr">
        <is>
          <t>4.10.10-P5</t>
        </is>
      </c>
      <c r="B42" s="4" t="inlineStr">
        <is>
          <t>4.10.10</t>
        </is>
      </c>
      <c r="C42" s="4" t="inlineStr">
        <is>
          <t>frcs</t>
        </is>
      </c>
      <c r="D42" s="4" t="inlineStr">
        <is>
          <t>Where a knee is being operated on for any reason, the examination is free and should be recorded regardless, which is a different proposition from arranging an anaesthetic for it.</t>
        </is>
      </c>
      <c r="E42" s="4" t="inlineStr"/>
      <c r="F42" s="4" t="inlineStr"/>
      <c r="G42" s="4" t="inlineStr"/>
    </row>
    <row r="43">
      <c r="A43" s="4" t="inlineStr">
        <is>
          <t>4.10.10-P6</t>
        </is>
      </c>
      <c r="B43" s="4" t="inlineStr">
        <is>
          <t>4.10.10</t>
        </is>
      </c>
      <c r="C43" s="4" t="inlineStr">
        <is>
          <t>frcs</t>
        </is>
      </c>
      <c r="D43" s="4" t="inlineStr">
        <is>
          <t>- Where a knee is already being anaesthetised the examination is free and should be recorded.</t>
        </is>
      </c>
      <c r="E43" s="4" t="inlineStr"/>
      <c r="F43" s="4" t="inlineStr"/>
      <c r="G43" s="4" t="inlineStr"/>
    </row>
    <row r="44">
      <c r="A44" s="4" t="inlineStr">
        <is>
          <t>4.10.11-P1</t>
        </is>
      </c>
      <c r="B44" s="4" t="inlineStr">
        <is>
          <t>4.10.11</t>
        </is>
      </c>
      <c r="C44" s="4" t="inlineStr">
        <is>
          <t>medical_student</t>
        </is>
      </c>
      <c r="D44" s="4" t="inlineStr">
        <is>
          <t>Assess extension first and compare with the other side, because a loss of extension after reconstruction is the finding most worth catching early.</t>
        </is>
      </c>
      <c r="E44" s="4" t="inlineStr"/>
      <c r="F44" s="4" t="inlineStr"/>
      <c r="G44" s="4" t="inlineStr"/>
    </row>
    <row r="45">
      <c r="A45" s="4" t="inlineStr">
        <is>
          <t>4.10.11-P2</t>
        </is>
      </c>
      <c r="B45" s="4" t="inlineStr">
        <is>
          <t>4.10.11</t>
        </is>
      </c>
      <c r="C45" s="4" t="inlineStr">
        <is>
          <t>medical_student</t>
        </is>
      </c>
      <c r="D45" s="4" t="inlineStr">
        <is>
          <t>Assess flexion, and characterise the end feel, because a developing contracture is invisible if only the range is recorded.</t>
        </is>
      </c>
      <c r="E45" s="4" t="inlineStr"/>
      <c r="F45" s="4" t="inlineStr"/>
      <c r="G45" s="4" t="inlineStr"/>
    </row>
    <row r="46">
      <c r="A46" s="4" t="inlineStr">
        <is>
          <t>4.10.11-P3</t>
        </is>
      </c>
      <c r="B46" s="4" t="inlineStr">
        <is>
          <t>4.10.11</t>
        </is>
      </c>
      <c r="C46" s="4" t="inlineStr">
        <is>
          <t>medical_student</t>
        </is>
      </c>
      <c r="D46" s="4" t="inlineStr">
        <is>
          <t>Assess quadriceps bulk and function, including a straight leg raise and a single leg squat.</t>
        </is>
      </c>
      <c r="E46" s="4" t="inlineStr"/>
      <c r="F46" s="4" t="inlineStr"/>
      <c r="G46" s="4" t="inlineStr"/>
    </row>
    <row r="47">
      <c r="A47" s="4" t="inlineStr">
        <is>
          <t>4.10.11-P4</t>
        </is>
      </c>
      <c r="B47" s="4" t="inlineStr">
        <is>
          <t>4.10.11</t>
        </is>
      </c>
      <c r="C47" s="4" t="inlineStr">
        <is>
          <t>mrcs</t>
        </is>
      </c>
      <c r="D47" s="4" t="inlineStr">
        <is>
          <t>The reasoning expected is that a graft is not a ligament and should not be expected to behave like one.</t>
        </is>
      </c>
      <c r="E47" s="4" t="inlineStr"/>
      <c r="F47" s="4" t="inlineStr"/>
      <c r="G47" s="4" t="inlineStr"/>
    </row>
    <row r="48">
      <c r="A48" s="4" t="inlineStr">
        <is>
          <t>4.10.11-P5</t>
        </is>
      </c>
      <c r="B48" s="4" t="inlineStr">
        <is>
          <t>4.10.11</t>
        </is>
      </c>
      <c r="C48" s="4" t="inlineStr">
        <is>
          <t>mrcs</t>
        </is>
      </c>
      <c r="D48" s="4" t="inlineStr">
        <is>
          <t>A graft is not a ligament and should not be expected to behave like one.</t>
        </is>
      </c>
      <c r="E48" s="4" t="inlineStr"/>
      <c r="F48" s="4" t="inlineStr"/>
      <c r="G48" s="4" t="inlineStr"/>
    </row>
    <row r="49">
      <c r="A49" s="4" t="inlineStr">
        <is>
          <t>4.10.12-P1</t>
        </is>
      </c>
      <c r="B49" s="4" t="inlineStr">
        <is>
          <t>4.10.12</t>
        </is>
      </c>
      <c r="C49" s="4" t="inlineStr">
        <is>
          <t>medical_student</t>
        </is>
      </c>
      <c r="D49" s="4" t="inlineStr">
        <is>
          <t>Take the history of the original injury, the original operation and the re-injury separately, and build a timeline.</t>
        </is>
      </c>
      <c r="E49" s="4" t="inlineStr"/>
      <c r="F49" s="4" t="inlineStr"/>
      <c r="G49" s="4" t="inlineStr"/>
    </row>
    <row r="50">
      <c r="A50" s="4" t="inlineStr">
        <is>
          <t>4.10.12-P2</t>
        </is>
      </c>
      <c r="B50" s="4" t="inlineStr">
        <is>
          <t>4.10.12</t>
        </is>
      </c>
      <c r="C50" s="4" t="inlineStr">
        <is>
          <t>medical_student</t>
        </is>
      </c>
      <c r="D50" s="4" t="inlineStr">
        <is>
          <t>Ask whether the current symptom resembles the original one, which separates graft failure from a new problem.</t>
        </is>
      </c>
      <c r="E50" s="4" t="inlineStr"/>
      <c r="F50" s="4" t="inlineStr"/>
      <c r="G50" s="4" t="inlineStr"/>
    </row>
    <row r="51">
      <c r="A51" s="4" t="inlineStr">
        <is>
          <t>4.10.12-P3</t>
        </is>
      </c>
      <c r="B51" s="4" t="inlineStr">
        <is>
          <t>4.10.12</t>
        </is>
      </c>
      <c r="C51" s="4" t="inlineStr">
        <is>
          <t>medical_student</t>
        </is>
      </c>
      <c r="D51" s="4" t="inlineStr">
        <is>
          <t>Assess standing alignment, because a varus knee loads a graft abnormally and is a correctable cause of failure.</t>
        </is>
      </c>
      <c r="E51" s="4" t="inlineStr"/>
      <c r="F51" s="4" t="inlineStr"/>
      <c r="G51" s="4" t="inlineStr"/>
    </row>
    <row r="52">
      <c r="A52" s="4" t="inlineStr">
        <is>
          <t>4.10.12-P4</t>
        </is>
      </c>
      <c r="B52" s="4" t="inlineStr">
        <is>
          <t>4.10.12</t>
        </is>
      </c>
      <c r="C52" s="4" t="inlineStr">
        <is>
          <t>medical_student</t>
        </is>
      </c>
      <c r="D52" s="4" t="inlineStr">
        <is>
          <t>Assess the menisci and the joint lines, because a deficient meniscus also loads the graft.</t>
        </is>
      </c>
      <c r="E52" s="4" t="inlineStr"/>
      <c r="F52" s="4" t="inlineStr"/>
      <c r="G52" s="4" t="inlineStr"/>
    </row>
    <row r="53">
      <c r="A53" s="4" t="inlineStr">
        <is>
          <t>4.10.12-P5</t>
        </is>
      </c>
      <c r="B53" s="4" t="inlineStr">
        <is>
          <t>4.10.12</t>
        </is>
      </c>
      <c r="C53" s="4" t="inlineStr">
        <is>
          <t>frcs</t>
        </is>
      </c>
      <c r="D53" s="4" t="inlineStr">
        <is>
          <t>A patient in the rehabilitation and confidence group should not be revised, and identifying them is the most valuable thing this assessment does.</t>
        </is>
      </c>
      <c r="E53" s="4" t="inlineStr"/>
      <c r="F53" s="4" t="inlineStr"/>
      <c r="G53" s="4" t="inlineStr"/>
    </row>
    <row r="54">
      <c r="A54" s="4" t="inlineStr">
        <is>
          <t>4.10.12-P6</t>
        </is>
      </c>
      <c r="B54" s="4" t="inlineStr">
        <is>
          <t>4.10.12</t>
        </is>
      </c>
      <c r="C54" s="4" t="inlineStr">
        <is>
          <t>frcs</t>
        </is>
      </c>
      <c r="D54" s="4" t="inlineStr">
        <is>
          <t>- Identifying the group that should not be revised is the most valuable thing this assessment does.</t>
        </is>
      </c>
      <c r="E54" s="4" t="inlineStr"/>
      <c r="F54" s="4" t="inlineStr"/>
      <c r="G54" s="4" t="inlineStr"/>
    </row>
  </sheetData>
  <dataValidations count="1">
    <dataValidation sqref="E3:E54"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4.10.2-F1</t>
        </is>
      </c>
      <c r="B3" s="4" t="inlineStr">
        <is>
          <t>4.10.2</t>
        </is>
      </c>
      <c r="C3" s="4" t="inlineStr">
        <is>
          <t>mrcs</t>
        </is>
      </c>
      <c r="D3" s="4" t="inlineStr">
        <is>
          <t>ninety degree</t>
        </is>
      </c>
      <c r="E3" s="4" t="inlineStr">
        <is>
          <t>The anterior drawer is heavily affected, because the ninety degree position shortens the hamstrings and a guarding patient resists easily.</t>
        </is>
      </c>
      <c r="F3" s="4" t="inlineStr"/>
      <c r="G3" s="4" t="inlineStr"/>
      <c r="H3" s="4" t="inlineStr"/>
    </row>
    <row r="4">
      <c r="A4" s="4" t="inlineStr">
        <is>
          <t>4.10.4-F1</t>
        </is>
      </c>
      <c r="B4" s="4" t="inlineStr">
        <is>
          <t>4.10.4</t>
        </is>
      </c>
      <c r="C4" s="4" t="inlineStr">
        <is>
          <t>medical_student</t>
        </is>
      </c>
      <c r="D4" s="4" t="inlineStr">
        <is>
          <t>twenty to thirty degrees</t>
        </is>
      </c>
      <c r="E4" s="4" t="inlineStr">
        <is>
          <t>At around twenty to thirty degrees of flexion the hamstrings are shortened and less able to resist, and the ligament is the structure taking the load.</t>
        </is>
      </c>
      <c r="F4" s="4" t="inlineStr"/>
      <c r="G4" s="4" t="inlineStr"/>
      <c r="H4" s="4" t="inlineStr"/>
    </row>
    <row r="5">
      <c r="A5" s="4" t="inlineStr">
        <is>
          <t>4.10.4-F2</t>
        </is>
      </c>
      <c r="B5" s="4" t="inlineStr">
        <is>
          <t>4.10.4</t>
        </is>
      </c>
      <c r="C5" s="4" t="inlineStr">
        <is>
          <t>mrcs</t>
        </is>
      </c>
      <c r="D5" s="4" t="inlineStr">
        <is>
          <t>ninety degrees</t>
        </is>
      </c>
      <c r="E5" s="4" t="inlineStr">
        <is>
          <t>At slight flexion the secondary restraints contribute least, which is why the test isolates the ligament better than a test at ninety degrees does.</t>
        </is>
      </c>
      <c r="F5" s="4" t="inlineStr"/>
      <c r="G5" s="4" t="inlineStr"/>
      <c r="H5" s="4" t="inlineStr"/>
    </row>
    <row r="6">
      <c r="A6" s="4" t="inlineStr">
        <is>
          <t>4.10.5-F1</t>
        </is>
      </c>
      <c r="B6" s="4" t="inlineStr">
        <is>
          <t>4.10.5</t>
        </is>
      </c>
      <c r="C6" s="4" t="inlineStr">
        <is>
          <t>medical_student</t>
        </is>
      </c>
      <c r="D6" s="4" t="inlineStr">
        <is>
          <t>ninety degrees</t>
        </is>
      </c>
      <c r="E6" s="4" t="inlineStr">
        <is>
          <t>The anterior drawer measures anterior translation of the tibia on the femur with the knee flexed to about ninety degrees.</t>
        </is>
      </c>
      <c r="F6" s="4" t="inlineStr"/>
      <c r="G6" s="4" t="inlineStr"/>
      <c r="H6" s="4" t="inlineStr"/>
    </row>
    <row r="7">
      <c r="A7" s="4" t="inlineStr">
        <is>
          <t>4.10.5-F2</t>
        </is>
      </c>
      <c r="B7" s="4" t="inlineStr">
        <is>
          <t>4.10.5</t>
        </is>
      </c>
      <c r="C7" s="4" t="inlineStr">
        <is>
          <t>frcs</t>
        </is>
      </c>
      <c r="D7" s="4" t="inlineStr">
        <is>
          <t>ninety degree</t>
        </is>
      </c>
      <c r="E7" s="4" t="inlineStr">
        <is>
          <t>The ninety degree position is where the posterior drawer, the posterior sag and the rotational modifications are all performed, so the position is efficient even if the anterior test within it is weak.</t>
        </is>
      </c>
      <c r="F7" s="4" t="inlineStr"/>
      <c r="G7" s="4" t="inlineStr"/>
      <c r="H7" s="4" t="inlineStr"/>
    </row>
    <row r="8">
      <c r="A8" s="4" t="inlineStr">
        <is>
          <t>4.10.9-F1</t>
        </is>
      </c>
      <c r="B8" s="4" t="inlineStr">
        <is>
          <t>4.10.9</t>
        </is>
      </c>
      <c r="C8" s="4" t="inlineStr">
        <is>
          <t>medical_student</t>
        </is>
      </c>
      <c r="D8" s="4" t="inlineStr">
        <is>
          <t>thirty degrees</t>
        </is>
      </c>
      <c r="E8" s="4" t="inlineStr">
        <is>
          <t>External rotation increased at thirty degrees and not at ninety suggests an isolated posterolateral injury; increased at both suggests a combined one with the posterior cruciate.</t>
        </is>
      </c>
      <c r="F8" s="4" t="inlineStr"/>
      <c r="G8" s="4" t="inlineStr"/>
      <c r="H8" s="4" t="inlineStr"/>
    </row>
  </sheetData>
  <dataValidations count="1">
    <dataValidation sqref="F3:F8"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52</f>
        <v/>
      </c>
      <c r="C2" s="3">
        <f>6</f>
        <v/>
      </c>
    </row>
    <row r="3">
      <c r="A3" s="2" t="inlineStr">
        <is>
          <t>Decided</t>
        </is>
      </c>
      <c r="B3" s="3">
        <f>COUNTIF(Recommendations!E3:E54,"&lt;&gt;")</f>
        <v/>
      </c>
      <c r="C3" s="3">
        <f>COUNTIF(Measurements!F3:F8,"&lt;&gt;")</f>
        <v/>
      </c>
    </row>
    <row r="4">
      <c r="A4" s="2" t="inlineStr">
        <is>
          <t>Still blank</t>
        </is>
      </c>
      <c r="B4" s="3">
        <f>B2-B3</f>
        <v/>
      </c>
      <c r="C4" s="3">
        <f>C2-C3</f>
        <v/>
      </c>
    </row>
    <row r="5">
      <c r="A5" s="2" t="inlineStr">
        <is>
          <t>CONFIRMED</t>
        </is>
      </c>
      <c r="B5" s="3">
        <f>COUNTIF(Recommendations!E3:E54,"CONFIRMED")</f>
        <v/>
      </c>
      <c r="C5" s="3" t="inlineStr"/>
    </row>
    <row r="6">
      <c r="A6" s="2" t="inlineStr">
        <is>
          <t>AMENDED</t>
        </is>
      </c>
      <c r="B6" s="3">
        <f>COUNTIF(Recommendations!E3:E54,"AMENDED")</f>
        <v/>
      </c>
      <c r="C6" s="3" t="inlineStr"/>
    </row>
    <row r="7">
      <c r="A7" s="2" t="inlineStr">
        <is>
          <t>WITHDRAWN</t>
        </is>
      </c>
      <c r="B7" s="3">
        <f>COUNTIF(Recommendations!E3:E54,"WITHDRAWN")</f>
        <v/>
      </c>
      <c r="C7" s="3" t="inlineStr"/>
    </row>
    <row r="8">
      <c r="A8" s="2" t="inlineStr">
        <is>
          <t>NOT_CLINICAL</t>
        </is>
      </c>
      <c r="B8" s="3">
        <f>COUNTIF(Recommendations!E3:E54,"NOT_CLINICAL")</f>
        <v/>
      </c>
      <c r="C8" s="3" t="inlineStr"/>
    </row>
    <row r="9">
      <c r="A9" s="2" t="inlineStr">
        <is>
          <t>VERIFIED</t>
        </is>
      </c>
      <c r="B9" s="3" t="inlineStr"/>
      <c r="C9" s="3">
        <f>COUNTIF(Measurements!F3:F8,"VERIFIED")</f>
        <v/>
      </c>
    </row>
    <row r="10">
      <c r="A10" s="2" t="inlineStr">
        <is>
          <t>CORRECTED</t>
        </is>
      </c>
      <c r="B10" s="3" t="inlineStr"/>
      <c r="C10" s="3">
        <f>COUNTIF(Measurements!F3:F8,"CORRECTED")</f>
        <v/>
      </c>
    </row>
    <row r="11">
      <c r="A11" s="2" t="inlineStr">
        <is>
          <t>REMOVED</t>
        </is>
      </c>
      <c r="B11" s="3" t="inlineStr"/>
      <c r="C11" s="3">
        <f>COUNTIF(Measurements!F3:F8,"REMOVED")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2026-10-12T17:52:33Z</dcterms:created>
  <dcterms:modified xmlns:dcterms="http://purl.org/dc/terms/" xmlns:xsi="http://www.w3.org/2001/XMLSchema-instance" xsi:type="dcterms:W3CDTF">2026-10-12T17:52:33Z</dcterms:modified>
</cp:coreProperties>
</file>