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ages" sheetId="2" state="visible" r:id="rId2"/>
    <sheet xmlns:r="http://schemas.openxmlformats.org/officeDocument/2006/relationships" name="Claims" sheetId="3" state="visible" r:id="rId3"/>
    <sheet xmlns:r="http://schemas.openxmlformats.org/officeDocument/2006/relationships" name="Recommendations" sheetId="4" state="visible" r:id="rId4"/>
    <sheet xmlns:r="http://schemas.openxmlformats.org/officeDocument/2006/relationships" name="Measurements" sheetId="5" state="visible" r:id="rId5"/>
    <sheet xmlns:r="http://schemas.openxmlformats.org/officeDocument/2006/relationships" name="Progress"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4"/>
    </font>
    <font>
      <name val="Arial"/>
      <b val="1"/>
    </font>
    <font>
      <name val="Arial"/>
    </font>
    <font>
      <name val="Arial"/>
      <b val="1"/>
      <color rgb="00FFFFFF"/>
    </font>
    <font>
      <name val="Arial"/>
      <i val="1"/>
      <color rgb="008A6A2F"/>
    </font>
  </fonts>
  <fills count="4">
    <fill>
      <patternFill/>
    </fill>
    <fill>
      <patternFill patternType="gray125"/>
    </fill>
    <fill>
      <patternFill patternType="solid">
        <fgColor rgb="0016382D"/>
      </patternFill>
    </fill>
    <fill>
      <patternFill patternType="solid">
        <fgColor rgb="00FAF7EF"/>
      </patternFill>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top" wrapText="1"/>
    </xf>
    <xf numFmtId="0" fontId="4" fillId="2" borderId="0" applyAlignment="1" pivotButton="0" quotePrefix="0" xfId="0">
      <alignment vertical="top" wrapText="1"/>
    </xf>
    <xf numFmtId="0" fontId="3" fillId="0" borderId="0" applyAlignment="1" pivotButton="0" quotePrefix="0" xfId="0">
      <alignment vertical="top"/>
    </xf>
    <xf numFmtId="0" fontId="5"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2" customWidth="1" min="1" max="1"/>
    <col width="96" customWidth="1" min="2" max="2"/>
  </cols>
  <sheetData>
    <row r="1">
      <c r="A1" s="1" t="inlineStr">
        <is>
          <t>Consultant review pack: chapter 3.11 Anterolateral Complex Biomechanics</t>
        </is>
      </c>
    </row>
    <row r="3">
      <c r="A3" s="2" t="inlineStr">
        <is>
          <t>Section</t>
        </is>
      </c>
      <c r="B3" s="3" t="inlineStr">
        <is>
          <t>3</t>
        </is>
      </c>
    </row>
    <row r="4">
      <c r="A4" s="2" t="inlineStr">
        <is>
          <t>Chapter</t>
        </is>
      </c>
      <c r="B4" s="3" t="inlineStr">
        <is>
          <t>3.11 Anterolateral Complex Biomechanics</t>
        </is>
      </c>
    </row>
    <row r="5">
      <c r="A5" s="2" t="inlineStr">
        <is>
          <t>Pages</t>
        </is>
      </c>
      <c r="B5" s="3" t="n">
        <v>9</v>
      </c>
    </row>
    <row r="6">
      <c r="A6" s="2" t="inlineStr">
        <is>
          <t>Page type</t>
        </is>
      </c>
      <c r="B6" s="3" t="inlineStr">
        <is>
          <t>biomechanics</t>
        </is>
      </c>
    </row>
    <row r="7">
      <c r="A7" s="2" t="inlineStr">
        <is>
          <t>Tiers</t>
        </is>
      </c>
      <c r="B7" s="3" t="inlineStr">
        <is>
          <t>medical student, mrcs, frcs, fellowship, consultant</t>
        </is>
      </c>
    </row>
    <row r="8">
      <c r="A8" s="2" t="inlineStr">
        <is>
          <t>Words</t>
        </is>
      </c>
      <c r="B8" s="3" t="inlineStr">
        <is>
          <t>10,687</t>
        </is>
      </c>
    </row>
    <row r="9">
      <c r="A9" s="2" t="inlineStr">
        <is>
          <t>Style gate</t>
        </is>
      </c>
      <c r="B9" s="3" t="inlineStr">
        <is>
          <t>all pages pass, 0 warnings</t>
        </is>
      </c>
    </row>
    <row r="10">
      <c r="A10" s="2" t="inlineStr">
        <is>
          <t>Evidence verification</t>
        </is>
      </c>
      <c r="B10" s="3" t="inlineStr">
        <is>
          <t>did not run on any page</t>
        </is>
      </c>
    </row>
    <row r="11">
      <c r="A11" s="2" t="inlineStr">
        <is>
          <t>Measurements to check</t>
        </is>
      </c>
      <c r="B11" s="3" t="n">
        <v>1</v>
      </c>
    </row>
    <row r="12">
      <c r="A12" s="2" t="inlineStr">
        <is>
          <t>Recommendations to sign</t>
        </is>
      </c>
      <c r="B12" s="3" t="n">
        <v>68</v>
      </c>
    </row>
    <row r="14">
      <c r="A14" s="2" t="inlineStr">
        <is>
          <t>What this is</t>
        </is>
      </c>
      <c r="B14" s="4" t="inlineStr">
        <is>
          <t>One chapter of KneeSchool, with every measurement and every clinical recommendation on its pages listed for review. Generated from the pages themselves by tools/review_pack.py, so this file cannot disagree with the site.</t>
        </is>
      </c>
    </row>
    <row r="15">
      <c r="A15" s="2" t="inlineStr">
        <is>
          <t>What has not happened</t>
        </is>
      </c>
      <c r="B15" s="4" t="inlineStr">
        <is>
          <t>No source was retrieved for any page in this chapter. The build environment has no access to PubMed, Cochrane, a journal or a textbook, so the pipeline's fact checking stage could not run. Every claim here has been checked by nobody. This pack stands in for the verification stage as well as for the review stage.</t>
        </is>
      </c>
    </row>
    <row r="16">
      <c r="A16" s="2" t="inlineStr">
        <is>
          <t>What to fill in</t>
        </is>
      </c>
      <c r="B16" s="4" t="inlineStr">
        <is>
          <t>The Decision column on the Recommendations and Measurements sheets, and your name. Every other cell is rewritten when the pack is regenerated. A row left blank stays outstanding and comes back in the next pack, so answering part of a sheet is a normal way to use it.</t>
        </is>
      </c>
    </row>
    <row r="17">
      <c r="A17" s="2" t="inlineStr">
        <is>
          <t>Recommendations: allowed decisions</t>
        </is>
      </c>
      <c r="B17" s="4" t="inlineStr">
        <is>
          <t>CONFIRMED, the sentence stands as written. AMENDED, it needs changing and the new wording goes in the Note column. WITHDRAWN, take it off the page. NOT_CLINICAL, it is teaching rather than clinical direction. The detector over collects on purpose, so NOT_CLINICAL is expected and is not a complaint about the page.</t>
        </is>
      </c>
    </row>
    <row r="18">
      <c r="A18" s="2" t="inlineStr">
        <is>
          <t>Measurements: allowed decisions</t>
        </is>
      </c>
      <c r="B18" s="4" t="inlineStr">
        <is>
          <t>VERIFIED, the figure is right and the source goes in the Source column. CORRECTED, the right value goes in the Note column. REMOVED, take the figure off the page.</t>
        </is>
      </c>
    </row>
    <row r="19">
      <c r="A19" s="2" t="inlineStr">
        <is>
          <t>How to return it</t>
        </is>
      </c>
      <c r="B19" s="4" t="inlineStr">
        <is>
          <t>Send the file back. It is read into the registers with: python3 tools/review_pack.py --ingest &lt;this file&gt;. One malformed row stops the whole file, so nothing is written half way.</t>
        </is>
      </c>
    </row>
    <row r="20">
      <c r="A20" s="2" t="inlineStr">
        <is>
          <t>What this cannot do</t>
        </is>
      </c>
      <c r="B20" s="4" t="inlineStr">
        <is>
          <t>It does not change a page. A confirmed recommendation needs nothing; an amended one needs the prose edited, and your wording in the Note column is what the editor works from.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8" customWidth="1" min="3" max="3"/>
    <col width="10" customWidth="1" min="4" max="4"/>
    <col width="52" customWidth="1" min="5" max="5"/>
  </cols>
  <sheetData>
    <row r="1">
      <c r="A1" s="5" t="inlineStr">
        <is>
          <t>Page</t>
        </is>
      </c>
      <c r="B1" s="5" t="inlineStr">
        <is>
          <t>Title</t>
        </is>
      </c>
      <c r="C1" s="5" t="inlineStr">
        <is>
          <t>Tiers</t>
        </is>
      </c>
      <c r="D1" s="5" t="inlineStr">
        <is>
          <t>Words</t>
        </is>
      </c>
      <c r="E1" s="5" t="inlineStr">
        <is>
          <t>Published as</t>
        </is>
      </c>
    </row>
    <row r="2">
      <c r="A2" s="6" t="inlineStr">
        <is>
          <t>3.11.1</t>
        </is>
      </c>
      <c r="B2" s="6" t="inlineStr">
        <is>
          <t>Iliotibial Band Function</t>
        </is>
      </c>
      <c r="C2" s="6" t="n">
        <v>3</v>
      </c>
      <c r="D2" s="6" t="n">
        <v>1169</v>
      </c>
      <c r="E2" s="6" t="inlineStr">
        <is>
          <t>biomechanics/iliotibial-band-function.html</t>
        </is>
      </c>
    </row>
    <row r="3">
      <c r="A3" s="6" t="inlineStr">
        <is>
          <t>3.11.2</t>
        </is>
      </c>
      <c r="B3" s="6" t="inlineStr">
        <is>
          <t>Kaplan Fibre Function</t>
        </is>
      </c>
      <c r="C3" s="6" t="n">
        <v>4</v>
      </c>
      <c r="D3" s="6" t="n">
        <v>1313</v>
      </c>
      <c r="E3" s="6" t="inlineStr">
        <is>
          <t>biomechanics/kaplan-fibre-function.html</t>
        </is>
      </c>
    </row>
    <row r="4">
      <c r="A4" s="6" t="inlineStr">
        <is>
          <t>3.11.3</t>
        </is>
      </c>
      <c r="B4" s="6" t="inlineStr">
        <is>
          <t>Anterolateral Ligament Function</t>
        </is>
      </c>
      <c r="C4" s="6" t="n">
        <v>4</v>
      </c>
      <c r="D4" s="6" t="n">
        <v>1351</v>
      </c>
      <c r="E4" s="6" t="inlineStr">
        <is>
          <t>biomechanics/anterolateral-ligament-function.html</t>
        </is>
      </c>
    </row>
    <row r="5">
      <c r="A5" s="6" t="inlineStr">
        <is>
          <t>3.11.4</t>
        </is>
      </c>
      <c r="B5" s="6" t="inlineStr">
        <is>
          <t>Pivot Shift Control</t>
        </is>
      </c>
      <c r="C5" s="6" t="n">
        <v>3</v>
      </c>
      <c r="D5" s="6" t="n">
        <v>1024</v>
      </c>
      <c r="E5" s="6" t="inlineStr">
        <is>
          <t>biomechanics/pivot-shift-control.html</t>
        </is>
      </c>
    </row>
    <row r="6">
      <c r="A6" s="6" t="inlineStr">
        <is>
          <t>3.11.5</t>
        </is>
      </c>
      <c r="B6" s="6" t="inlineStr">
        <is>
          <t>Internal Rotation Control</t>
        </is>
      </c>
      <c r="C6" s="6" t="n">
        <v>3</v>
      </c>
      <c r="D6" s="6" t="n">
        <v>1023</v>
      </c>
      <c r="E6" s="6" t="inlineStr">
        <is>
          <t>biomechanics/internal-rotation-control.html</t>
        </is>
      </c>
    </row>
    <row r="7">
      <c r="A7" s="6" t="inlineStr">
        <is>
          <t>3.11.6</t>
        </is>
      </c>
      <c r="B7" s="6" t="inlineStr">
        <is>
          <t>Segond Lesion Mechanics</t>
        </is>
      </c>
      <c r="C7" s="6" t="n">
        <v>3</v>
      </c>
      <c r="D7" s="6" t="n">
        <v>1053</v>
      </c>
      <c r="E7" s="6" t="inlineStr">
        <is>
          <t>biomechanics/segond-lesion-mechanics.html</t>
        </is>
      </c>
    </row>
    <row r="8">
      <c r="A8" s="6" t="inlineStr">
        <is>
          <t>3.11.7</t>
        </is>
      </c>
      <c r="B8" s="6" t="inlineStr">
        <is>
          <t>Lateral Extra-articular Tenodesis</t>
        </is>
      </c>
      <c r="C8" s="6" t="n">
        <v>4</v>
      </c>
      <c r="D8" s="6" t="n">
        <v>1308</v>
      </c>
      <c r="E8" s="6" t="inlineStr">
        <is>
          <t>biomechanics/lateral-extra-articular-tenodesis.html</t>
        </is>
      </c>
    </row>
    <row r="9">
      <c r="A9" s="6" t="inlineStr">
        <is>
          <t>3.11.8</t>
        </is>
      </c>
      <c r="B9" s="6" t="inlineStr">
        <is>
          <t>Combined ACL and ALL Reconstruction</t>
        </is>
      </c>
      <c r="C9" s="6" t="n">
        <v>4</v>
      </c>
      <c r="D9" s="6" t="n">
        <v>1300</v>
      </c>
      <c r="E9" s="6" t="inlineStr">
        <is>
          <t>biomechanics/combined-acl-and-all-reconstruction.html</t>
        </is>
      </c>
    </row>
    <row r="10">
      <c r="A10" s="6" t="inlineStr">
        <is>
          <t>3.11.9</t>
        </is>
      </c>
      <c r="B10" s="6" t="inlineStr">
        <is>
          <t>Contemporary Controversies</t>
        </is>
      </c>
      <c r="C10" s="6" t="n">
        <v>3</v>
      </c>
      <c r="D10" s="6" t="n">
        <v>1146</v>
      </c>
      <c r="E10" s="6" t="inlineStr">
        <is>
          <t>biomechanics/anterolateral-complex-controversies.html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6"/>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110" customWidth="1" min="3" max="3"/>
  </cols>
  <sheetData>
    <row r="1">
      <c r="A1" s="5" t="inlineStr">
        <is>
          <t>Page</t>
        </is>
      </c>
      <c r="B1" s="5" t="inlineStr">
        <is>
          <t>Title</t>
        </is>
      </c>
      <c r="C1" s="5" t="inlineStr">
        <is>
          <t>Claim</t>
        </is>
      </c>
    </row>
    <row r="2">
      <c r="A2" s="4" t="inlineStr">
        <is>
          <t>3.11.1</t>
        </is>
      </c>
      <c r="B2" s="4" t="inlineStr">
        <is>
          <t>Iliotibial Band Function</t>
        </is>
      </c>
      <c r="C2" s="4" t="inlineStr">
        <is>
          <t>The tissue a tenodesis uses and the structure it reproduces are different statements.</t>
        </is>
      </c>
    </row>
    <row r="3">
      <c r="A3" s="4" t="inlineStr">
        <is>
          <t>3.11.1</t>
        </is>
      </c>
      <c r="B3" s="4" t="inlineStr">
        <is>
          <t>Iliotibial Band Function</t>
        </is>
      </c>
      <c r="C3" s="4" t="inlineStr">
        <is>
          <t>The restraint depends on the femoral fixation rather than on the tissue used.</t>
        </is>
      </c>
    </row>
    <row r="4">
      <c r="A4" s="4" t="inlineStr">
        <is>
          <t>3.11.1</t>
        </is>
      </c>
      <c r="B4" s="4" t="inlineStr">
        <is>
          <t>Iliotibial Band Function</t>
        </is>
      </c>
      <c r="C4" s="4" t="inlineStr">
        <is>
          <t>Routing deep to the lateral collateral sets the line of action.</t>
        </is>
      </c>
    </row>
    <row r="5">
      <c r="A5" s="4" t="inlineStr">
        <is>
          <t>3.11.1</t>
        </is>
      </c>
      <c r="B5" s="4" t="inlineStr">
        <is>
          <t>Iliotibial Band Function</t>
        </is>
      </c>
      <c r="C5" s="4" t="inlineStr">
        <is>
          <t>A strip harvest does not produce a measurable varus deficit in reported series.</t>
        </is>
      </c>
    </row>
    <row r="6">
      <c r="A6" s="4" t="inlineStr">
        <is>
          <t>3.11.1</t>
        </is>
      </c>
      <c r="B6" s="4" t="inlineStr">
        <is>
          <t>Iliotibial Band Function</t>
        </is>
      </c>
      <c r="C6" s="4" t="inlineStr">
        <is>
          <t>Femoral fixation is what makes a tenodesis a joint restraint.</t>
        </is>
      </c>
    </row>
    <row r="7">
      <c r="A7" s="4" t="inlineStr">
        <is>
          <t>3.11.2</t>
        </is>
      </c>
      <c r="B7" s="4" t="inlineStr">
        <is>
          <t>Kaplan Fibre Function</t>
        </is>
      </c>
      <c r="C7" s="4" t="inlineStr">
        <is>
          <t>The distinction changes the fixation point a little and the rationale a lot.</t>
        </is>
      </c>
    </row>
    <row r="8">
      <c r="A8" s="4" t="inlineStr">
        <is>
          <t>3.11.2</t>
        </is>
      </c>
      <c r="B8" s="4" t="inlineStr">
        <is>
          <t>Kaplan Fibre Function</t>
        </is>
      </c>
      <c r="C8" s="4" t="inlineStr">
        <is>
          <t>Cruciate tunnel, tenodesis fixation and corner reconstruction compete for the distal lateral femur.</t>
        </is>
      </c>
    </row>
    <row r="9">
      <c r="A9" s="4" t="inlineStr">
        <is>
          <t>3.11.2</t>
        </is>
      </c>
      <c r="B9" s="4" t="inlineStr">
        <is>
          <t>Kaplan Fibre Function</t>
        </is>
      </c>
      <c r="C9" s="4" t="inlineStr">
        <is>
          <t>Knowing the footprints is how convergence is avoided.</t>
        </is>
      </c>
    </row>
    <row r="10">
      <c r="A10" s="4" t="inlineStr">
        <is>
          <t>3.11.2</t>
        </is>
      </c>
      <c r="B10" s="4" t="inlineStr">
        <is>
          <t>Kaplan Fibre Function</t>
        </is>
      </c>
      <c r="C10" s="4" t="inlineStr">
        <is>
          <t>Route deep to the collateral and fix proximal and posterior to its origin.</t>
        </is>
      </c>
    </row>
    <row r="11">
      <c r="A11" s="4" t="inlineStr">
        <is>
          <t>3.11.2</t>
        </is>
      </c>
      <c r="B11" s="4" t="inlineStr">
        <is>
          <t>Kaplan Fibre Function</t>
        </is>
      </c>
      <c r="C11" s="4" t="inlineStr">
        <is>
          <t>The optimal point within the region is not established.</t>
        </is>
      </c>
    </row>
    <row r="12">
      <c r="A12" s="4" t="inlineStr">
        <is>
          <t>3.11.3</t>
        </is>
      </c>
      <c r="B12" s="4" t="inlineStr">
        <is>
          <t>Anterolateral Ligament Function</t>
        </is>
      </c>
      <c r="C12" s="4" t="inlineStr">
        <is>
          <t>The variables are over-constraint risk, tunnel competition and graft quantity.</t>
        </is>
      </c>
    </row>
    <row r="13">
      <c r="A13" s="4" t="inlineStr">
        <is>
          <t>3.11.3</t>
        </is>
      </c>
      <c r="B13" s="4" t="inlineStr">
        <is>
          <t>Anterolateral Ligament Function</t>
        </is>
      </c>
      <c r="C13" s="4" t="inlineStr">
        <is>
          <t>An anatomic reconstruction adds a tibial tunnel; a tenodesis does not.</t>
        </is>
      </c>
    </row>
    <row r="14">
      <c r="A14" s="4" t="inlineStr">
        <is>
          <t>3.11.3</t>
        </is>
      </c>
      <c r="B14" s="4" t="inlineStr">
        <is>
          <t>Anterolateral Ligament Function</t>
        </is>
      </c>
      <c r="C14" s="4" t="inlineStr">
        <is>
          <t>That is a geometric argument favouring the tenodesis in a crowded knee.</t>
        </is>
      </c>
    </row>
    <row r="15">
      <c r="A15" s="4" t="inlineStr">
        <is>
          <t>3.11.3</t>
        </is>
      </c>
      <c r="B15" s="4" t="inlineStr">
        <is>
          <t>Anterolateral Ligament Function</t>
        </is>
      </c>
      <c r="C15" s="4" t="inlineStr">
        <is>
          <t>It is independent of the evidence argument.</t>
        </is>
      </c>
    </row>
    <row r="16">
      <c r="A16" s="4" t="inlineStr">
        <is>
          <t>3.11.3</t>
        </is>
      </c>
      <c r="B16" s="4" t="inlineStr">
        <is>
          <t>Anterolateral Ligament Function</t>
        </is>
      </c>
      <c r="C16" s="4" t="inlineStr">
        <is>
          <t>No measurement establishes which construct suits a given knee.</t>
        </is>
      </c>
    </row>
    <row r="17">
      <c r="A17" s="4" t="inlineStr">
        <is>
          <t>3.11.4</t>
        </is>
      </c>
      <c r="B17" s="4" t="inlineStr">
        <is>
          <t>Pivot Shift Control</t>
        </is>
      </c>
      <c r="C17" s="4" t="inlineStr">
        <is>
          <t>Pivot shift control is the outcome a lateral procedure is added to achieve.</t>
        </is>
      </c>
    </row>
    <row r="18">
      <c r="A18" s="4" t="inlineStr">
        <is>
          <t>3.11.4</t>
        </is>
      </c>
      <c r="B18" s="4" t="inlineStr">
        <is>
          <t>Pivot Shift Control</t>
        </is>
      </c>
      <c r="C18" s="4" t="inlineStr">
        <is>
          <t>The grade is the indication.</t>
        </is>
      </c>
    </row>
    <row r="19">
      <c r="A19" s="4" t="inlineStr">
        <is>
          <t>3.11.4</t>
        </is>
      </c>
      <c r="B19" s="4" t="inlineStr">
        <is>
          <t>Pivot Shift Control</t>
        </is>
      </c>
      <c r="C19" s="4" t="inlineStr">
        <is>
          <t>The cruciate graft restores its share; the anterolateral share is not restored by it.</t>
        </is>
      </c>
    </row>
    <row r="20">
      <c r="A20" s="4" t="inlineStr">
        <is>
          <t>3.11.4</t>
        </is>
      </c>
      <c r="B20" s="4" t="inlineStr">
        <is>
          <t>Pivot Shift Control</t>
        </is>
      </c>
      <c r="C20" s="4" t="inlineStr">
        <is>
          <t>Residual shift is associated with poorer outcome and graft failure.</t>
        </is>
      </c>
    </row>
    <row r="21">
      <c r="A21" s="4" t="inlineStr">
        <is>
          <t>3.11.4</t>
        </is>
      </c>
      <c r="B21" s="4" t="inlineStr">
        <is>
          <t>Pivot Shift Control</t>
        </is>
      </c>
      <c r="C21" s="4" t="inlineStr">
        <is>
          <t>No threshold defines an acceptable residual shift.</t>
        </is>
      </c>
    </row>
    <row r="22">
      <c r="A22" s="4" t="inlineStr">
        <is>
          <t>3.11.5</t>
        </is>
      </c>
      <c r="B22" s="4" t="inlineStr">
        <is>
          <t>Internal Rotation Control</t>
        </is>
      </c>
      <c r="C22" s="4" t="inlineStr">
        <is>
          <t>Internal rotation control is what the anterolateral debate is about.</t>
        </is>
      </c>
    </row>
    <row r="23">
      <c r="A23" s="4" t="inlineStr">
        <is>
          <t>3.11.5</t>
        </is>
      </c>
      <c r="B23" s="4" t="inlineStr">
        <is>
          <t>Internal Rotation Control</t>
        </is>
      </c>
      <c r="C23" s="4" t="inlineStr">
        <is>
          <t>Over-constraint is the cost that makes it a real debate.</t>
        </is>
      </c>
    </row>
    <row r="24">
      <c r="A24" s="4" t="inlineStr">
        <is>
          <t>3.11.5</t>
        </is>
      </c>
      <c r="B24" s="4" t="inlineStr">
        <is>
          <t>Internal Rotation Control</t>
        </is>
      </c>
      <c r="C24" s="4" t="inlineStr">
        <is>
          <t>Excessive tension or external rotation at fixation restricts internal rotation.</t>
        </is>
      </c>
    </row>
    <row r="25">
      <c r="A25" s="4" t="inlineStr">
        <is>
          <t>3.11.5</t>
        </is>
      </c>
      <c r="B25" s="4" t="inlineStr">
        <is>
          <t>Internal Rotation Control</t>
        </is>
      </c>
      <c r="C25" s="4" t="inlineStr">
        <is>
          <t>Trials have not shown an excess of stiffness or lateral compartment problems.</t>
        </is>
      </c>
    </row>
    <row r="26">
      <c r="A26" s="4" t="inlineStr">
        <is>
          <t>3.11.5</t>
        </is>
      </c>
      <c r="B26" s="4" t="inlineStr">
        <is>
          <t>Internal Rotation Control</t>
        </is>
      </c>
      <c r="C26" s="4" t="inlineStr">
        <is>
          <t>No clinical measurement detects over-constraint before it is symptomatic.</t>
        </is>
      </c>
    </row>
    <row r="27">
      <c r="A27" s="4" t="inlineStr">
        <is>
          <t>3.11.6</t>
        </is>
      </c>
      <c r="B27" s="4" t="inlineStr">
        <is>
          <t>Segond Lesion Mechanics</t>
        </is>
      </c>
      <c r="C27" s="4" t="inlineStr">
        <is>
          <t>The lesion is direct evidence of anterolateral injury, usually only inferred.</t>
        </is>
      </c>
    </row>
    <row r="28">
      <c r="A28" s="4" t="inlineStr">
        <is>
          <t>3.11.6</t>
        </is>
      </c>
      <c r="B28" s="4" t="inlineStr">
        <is>
          <t>Segond Lesion Mechanics</t>
        </is>
      </c>
      <c r="C28" s="4" t="inlineStr">
        <is>
          <t>The fragment is not fixed unless it is large and displaced.</t>
        </is>
      </c>
    </row>
    <row r="29">
      <c r="A29" s="4" t="inlineStr">
        <is>
          <t>3.11.6</t>
        </is>
      </c>
      <c r="B29" s="4" t="inlineStr">
        <is>
          <t>Segond Lesion Mechanics</t>
        </is>
      </c>
      <c r="C29" s="4" t="inlineStr">
        <is>
          <t>Its value is diagnostic and prognostic rather than therapeutic.</t>
        </is>
      </c>
    </row>
    <row r="30">
      <c r="A30" s="4" t="inlineStr">
        <is>
          <t>3.11.6</t>
        </is>
      </c>
      <c r="B30" s="4" t="inlineStr">
        <is>
          <t>Segond Lesion Mechanics</t>
        </is>
      </c>
      <c r="C30" s="4" t="inlineStr">
        <is>
          <t>That is an unusual position for a fracture and worth stating.</t>
        </is>
      </c>
    </row>
    <row r="31">
      <c r="A31" s="4" t="inlineStr">
        <is>
          <t>3.11.6</t>
        </is>
      </c>
      <c r="B31" s="4" t="inlineStr">
        <is>
          <t>Segond Lesion Mechanics</t>
        </is>
      </c>
      <c r="C31" s="4" t="inlineStr">
        <is>
          <t>No evidence establishes that fixing it changes the result.</t>
        </is>
      </c>
    </row>
    <row r="32">
      <c r="A32" s="4" t="inlineStr">
        <is>
          <t>3.11.7</t>
        </is>
      </c>
      <c r="B32" s="4" t="inlineStr">
        <is>
          <t>Lateral Extra-articular Tenodesis</t>
        </is>
      </c>
      <c r="C32" s="4" t="inlineStr">
        <is>
          <t>The indications are a list rather than a principle.</t>
        </is>
      </c>
    </row>
    <row r="33">
      <c r="A33" s="4" t="inlineStr">
        <is>
          <t>3.11.7</t>
        </is>
      </c>
      <c r="B33" s="4" t="inlineStr">
        <is>
          <t>Lateral Extra-articular Tenodesis</t>
        </is>
      </c>
      <c r="C33" s="4" t="inlineStr">
        <is>
          <t>Each item is a statement about rotational demand or restraint.</t>
        </is>
      </c>
    </row>
    <row r="34">
      <c r="A34" s="4" t="inlineStr">
        <is>
          <t>3.11.7</t>
        </is>
      </c>
      <c r="B34" s="4" t="inlineStr">
        <is>
          <t>Lateral Extra-articular Tenodesis</t>
        </is>
      </c>
      <c r="C34" s="4" t="inlineStr">
        <is>
          <t>That is the principle the list is a proxy for.</t>
        </is>
      </c>
    </row>
    <row r="35">
      <c r="A35" s="4" t="inlineStr">
        <is>
          <t>3.11.7</t>
        </is>
      </c>
      <c r="B35" s="4" t="inlineStr">
        <is>
          <t>Lateral Extra-articular Tenodesis</t>
        </is>
      </c>
      <c r="C35" s="4" t="inlineStr">
        <is>
          <t>Femoral fixation crowding and cruciate tunnel interaction are the practical constraints.</t>
        </is>
      </c>
    </row>
    <row r="36">
      <c r="A36" s="4" t="inlineStr">
        <is>
          <t>3.11.7</t>
        </is>
      </c>
      <c r="B36" s="4" t="inlineStr">
        <is>
          <t>Lateral Extra-articular Tenodesis</t>
        </is>
      </c>
      <c r="C36" s="4" t="inlineStr">
        <is>
          <t>No measurement identifies the individual who needs one.</t>
        </is>
      </c>
    </row>
    <row r="37">
      <c r="A37" s="4" t="inlineStr">
        <is>
          <t>3.11.8</t>
        </is>
      </c>
      <c r="B37" s="4" t="inlineStr">
        <is>
          <t>Combined ACL and ALL Reconstruction</t>
        </is>
      </c>
      <c r="C37" s="4" t="inlineStr">
        <is>
          <t>The revision knee may need graft, lateral construct and slope correction together.</t>
        </is>
      </c>
    </row>
    <row r="38">
      <c r="A38" s="4" t="inlineStr">
        <is>
          <t>3.11.8</t>
        </is>
      </c>
      <c r="B38" s="4" t="inlineStr">
        <is>
          <t>Combined ACL and ALL Reconstruction</t>
        </is>
      </c>
      <c r="C38" s="4" t="inlineStr">
        <is>
          <t>A slope correcting osteotomy changes the anatomy a cruciate tunnel will use.</t>
        </is>
      </c>
    </row>
    <row r="39">
      <c r="A39" s="4" t="inlineStr">
        <is>
          <t>3.11.8</t>
        </is>
      </c>
      <c r="B39" s="4" t="inlineStr">
        <is>
          <t>Combined ACL and ALL Reconstruction</t>
        </is>
      </c>
      <c r="C39" s="4" t="inlineStr">
        <is>
          <t>A tenodesis adds no tibial tunnel, which is a geometric advantage in revision.</t>
        </is>
      </c>
    </row>
    <row r="40">
      <c r="A40" s="4" t="inlineStr">
        <is>
          <t>3.11.8</t>
        </is>
      </c>
      <c r="B40" s="4" t="inlineStr">
        <is>
          <t>Combined ACL and ALL Reconstruction</t>
        </is>
      </c>
      <c r="C40" s="4" t="inlineStr">
        <is>
          <t>Sequencing and tunnel geometry decide what is possible in one sitting.</t>
        </is>
      </c>
    </row>
    <row r="41">
      <c r="A41" s="4" t="inlineStr">
        <is>
          <t>3.11.8</t>
        </is>
      </c>
      <c r="B41" s="4" t="inlineStr">
        <is>
          <t>Combined ACL and ALL Reconstruction</t>
        </is>
      </c>
      <c r="C41" s="4" t="inlineStr">
        <is>
          <t>No measurement establishes the optimal sequence.</t>
        </is>
      </c>
    </row>
    <row r="42">
      <c r="A42" s="4" t="inlineStr">
        <is>
          <t>3.11.9</t>
        </is>
      </c>
      <c r="B42" s="4" t="inlineStr">
        <is>
          <t>Contemporary Controversies</t>
        </is>
      </c>
      <c r="C42" s="4" t="inlineStr">
        <is>
          <t>Augmentation adds restraint; slope correction reduces demand.</t>
        </is>
      </c>
    </row>
    <row r="43">
      <c r="A43" s="4" t="inlineStr">
        <is>
          <t>3.11.9</t>
        </is>
      </c>
      <c r="B43" s="4" t="inlineStr">
        <is>
          <t>Contemporary Controversies</t>
        </is>
      </c>
      <c r="C43" s="4" t="inlineStr">
        <is>
          <t>That is the difference between a stronger rope and a lighter load.</t>
        </is>
      </c>
    </row>
    <row r="44">
      <c r="A44" s="4" t="inlineStr">
        <is>
          <t>3.11.9</t>
        </is>
      </c>
      <c r="B44" s="4" t="inlineStr">
        <is>
          <t>Contemporary Controversies</t>
        </is>
      </c>
      <c r="C44" s="4" t="inlineStr">
        <is>
          <t>They are not equivalent and no trial compares them directly.</t>
        </is>
      </c>
    </row>
    <row r="45">
      <c r="A45" s="4" t="inlineStr">
        <is>
          <t>3.11.9</t>
        </is>
      </c>
      <c r="B45" s="4" t="inlineStr">
        <is>
          <t>Contemporary Controversies</t>
        </is>
      </c>
      <c r="C45" s="4" t="inlineStr">
        <is>
          <t>Previous failure raises the threshold for doing less.</t>
        </is>
      </c>
    </row>
    <row r="46">
      <c r="A46" s="4" t="inlineStr">
        <is>
          <t>3.11.9</t>
        </is>
      </c>
      <c r="B46" s="4" t="inlineStr">
        <is>
          <t>Contemporary Controversies</t>
        </is>
      </c>
      <c r="C46" s="4" t="inlineStr">
        <is>
          <t>Both may be needed in the knee that failed once.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0"/>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86" customWidth="1" min="4" max="4"/>
    <col width="16" customWidth="1" min="5" max="5"/>
    <col width="22" customWidth="1" min="6" max="6"/>
    <col width="50" customWidth="1" min="7" max="7"/>
  </cols>
  <sheetData>
    <row r="1">
      <c r="A1" s="5" t="inlineStr">
        <is>
          <t>Ref</t>
        </is>
      </c>
      <c r="B1" s="5" t="inlineStr">
        <is>
          <t>Page</t>
        </is>
      </c>
      <c r="C1" s="5" t="inlineStr">
        <is>
          <t>Tier</t>
        </is>
      </c>
      <c r="D1" s="5" t="inlineStr">
        <is>
          <t>Sentence</t>
        </is>
      </c>
      <c r="E1" s="5" t="inlineStr">
        <is>
          <t>Decision</t>
        </is>
      </c>
      <c r="F1" s="5" t="inlineStr">
        <is>
          <t>Reviewer</t>
        </is>
      </c>
      <c r="G1" s="5" t="inlineStr">
        <is>
          <t>Note</t>
        </is>
      </c>
    </row>
    <row r="2">
      <c r="A2" s="7" t="inlineStr">
        <is>
          <t>EXAMPLE</t>
        </is>
      </c>
      <c r="B2" s="7" t="inlineStr">
        <is>
          <t>0.0.0</t>
        </is>
      </c>
      <c r="C2" s="7" t="inlineStr">
        <is>
          <t>mrcs</t>
        </is>
      </c>
      <c r="D2" s="7" t="inlineStr">
        <is>
          <t>This row shows the expected format and is ignored when the pack is read back.</t>
        </is>
      </c>
      <c r="E2" s="7" t="inlineStr">
        <is>
          <t>CONFIRMED</t>
        </is>
      </c>
      <c r="F2" s="7" t="inlineStr">
        <is>
          <t>Miss A Surgeon</t>
        </is>
      </c>
      <c r="G2" s="7" t="inlineStr">
        <is>
          <t>Leave the Note column empty unless amending.</t>
        </is>
      </c>
    </row>
    <row r="3">
      <c r="A3" s="4" t="inlineStr">
        <is>
          <t>3.11.1-P1</t>
        </is>
      </c>
      <c r="B3" s="4" t="inlineStr">
        <is>
          <t>3.11.1</t>
        </is>
      </c>
      <c r="C3" s="4" t="inlineStr">
        <is>
          <t>mrcs</t>
        </is>
      </c>
      <c r="D3" s="4" t="inlineStr">
        <is>
          <t>Expect its varus contribution to rise with flexion as the collateral slackens.</t>
        </is>
      </c>
      <c r="E3" s="4" t="inlineStr"/>
      <c r="F3" s="4" t="inlineStr"/>
      <c r="G3" s="4" t="inlineStr"/>
    </row>
    <row r="4">
      <c r="A4" s="4" t="inlineStr">
        <is>
          <t>3.11.1-P2</t>
        </is>
      </c>
      <c r="B4" s="4" t="inlineStr">
        <is>
          <t>3.11.1</t>
        </is>
      </c>
      <c r="C4" s="4" t="inlineStr">
        <is>
          <t>frcs</t>
        </is>
      </c>
      <c r="D4" s="4" t="inlineStr">
        <is>
          <t>Treat the band as the tissue a tenodesis uses and the deep fibres as the structure a tenodesis is trying to reproduce, which are two different statements that get conflated.</t>
        </is>
      </c>
      <c r="E4" s="4" t="inlineStr"/>
      <c r="F4" s="4" t="inlineStr"/>
      <c r="G4" s="4" t="inlineStr"/>
    </row>
    <row r="5">
      <c r="A5" s="4" t="inlineStr">
        <is>
          <t>3.11.1-P3</t>
        </is>
      </c>
      <c r="B5" s="4" t="inlineStr">
        <is>
          <t>3.11.1</t>
        </is>
      </c>
      <c r="C5" s="4" t="inlineStr">
        <is>
          <t>frcs</t>
        </is>
      </c>
      <c r="D5" s="4" t="inlineStr">
        <is>
          <t>Expect no measurable varus deficit from a strip harvest.</t>
        </is>
      </c>
      <c r="E5" s="4" t="inlineStr"/>
      <c r="F5" s="4" t="inlineStr"/>
      <c r="G5" s="4" t="inlineStr"/>
    </row>
    <row r="6">
      <c r="A6" s="4" t="inlineStr">
        <is>
          <t>3.11.1-P4</t>
        </is>
      </c>
      <c r="B6" s="4" t="inlineStr">
        <is>
          <t>3.11.1</t>
        </is>
      </c>
      <c r="C6" s="4" t="inlineStr">
        <is>
          <t>frcs</t>
        </is>
      </c>
      <c r="D6" s="4" t="inlineStr">
        <is>
          <t>Keep the tissue used and the structure reproduced as separate statements.</t>
        </is>
      </c>
      <c r="E6" s="4" t="inlineStr"/>
      <c r="F6" s="4" t="inlineStr"/>
      <c r="G6" s="4" t="inlineStr"/>
    </row>
    <row r="7">
      <c r="A7" s="4" t="inlineStr">
        <is>
          <t>3.11.2-P1</t>
        </is>
      </c>
      <c r="B7" s="4" t="inlineStr">
        <is>
          <t>3.11.2</t>
        </is>
      </c>
      <c r="C7" s="4" t="inlineStr">
        <is>
          <t>mrcs</t>
        </is>
      </c>
      <c r="D7" s="4" t="inlineStr">
        <is>
          <t>Expect a femoral anchor to be necessary for any anterolateral rotational restraint.</t>
        </is>
      </c>
      <c r="E7" s="4" t="inlineStr"/>
      <c r="F7" s="4" t="inlineStr"/>
      <c r="G7" s="4" t="inlineStr"/>
    </row>
    <row r="8">
      <c r="A8" s="4" t="inlineStr">
        <is>
          <t>3.11.2-P2</t>
        </is>
      </c>
      <c r="B8" s="4" t="inlineStr">
        <is>
          <t>3.11.2</t>
        </is>
      </c>
      <c r="C8" s="4" t="inlineStr">
        <is>
          <t>mrcs</t>
        </is>
      </c>
      <c r="D8" s="4" t="inlineStr">
        <is>
          <t>Read their consistency in dissection as the point distinguishing them from the anterolateral ligament.</t>
        </is>
      </c>
      <c r="E8" s="4" t="inlineStr"/>
      <c r="F8" s="4" t="inlineStr"/>
      <c r="G8" s="4" t="inlineStr"/>
    </row>
    <row r="9">
      <c r="A9" s="4" t="inlineStr">
        <is>
          <t>3.11.2-P3</t>
        </is>
      </c>
      <c r="B9" s="4" t="inlineStr">
        <is>
          <t>3.11.2</t>
        </is>
      </c>
      <c r="C9" s="4" t="inlineStr">
        <is>
          <t>frcs</t>
        </is>
      </c>
      <c r="D9" s="4" t="inlineStr">
        <is>
          <t>Treat the Kaplan fibres as the structure that makes the tenodesis a reconstruction rather than an improvisation.</t>
        </is>
      </c>
      <c r="E9" s="4" t="inlineStr"/>
      <c r="F9" s="4" t="inlineStr"/>
      <c r="G9" s="4" t="inlineStr"/>
    </row>
    <row r="10">
      <c r="A10" s="4" t="inlineStr">
        <is>
          <t>3.11.2-P4</t>
        </is>
      </c>
      <c r="B10" s="4" t="inlineStr">
        <is>
          <t>3.11.2</t>
        </is>
      </c>
      <c r="C10" s="4" t="inlineStr">
        <is>
          <t>frcs</t>
        </is>
      </c>
      <c r="D10" s="4" t="inlineStr">
        <is>
          <t>Treat the complex rather than a single structure as the target.</t>
        </is>
      </c>
      <c r="E10" s="4" t="inlineStr"/>
      <c r="F10" s="4" t="inlineStr"/>
      <c r="G10" s="4" t="inlineStr"/>
    </row>
    <row r="11">
      <c r="A11" s="4" t="inlineStr">
        <is>
          <t>3.11.2-P5</t>
        </is>
      </c>
      <c r="B11" s="4" t="inlineStr">
        <is>
          <t>3.11.2</t>
        </is>
      </c>
      <c r="C11" s="4" t="inlineStr">
        <is>
          <t>frcs</t>
        </is>
      </c>
      <c r="D11" s="4" t="inlineStr">
        <is>
          <t>Expect no measurement to confirm which structure a construct reproduces.</t>
        </is>
      </c>
      <c r="E11" s="4" t="inlineStr"/>
      <c r="F11" s="4" t="inlineStr"/>
      <c r="G11" s="4" t="inlineStr"/>
    </row>
    <row r="12">
      <c r="A12" s="4" t="inlineStr">
        <is>
          <t>3.11.2-P6</t>
        </is>
      </c>
      <c r="B12" s="4" t="inlineStr">
        <is>
          <t>3.11.2</t>
        </is>
      </c>
      <c r="C12" s="4" t="inlineStr">
        <is>
          <t>fellowship</t>
        </is>
      </c>
      <c r="D12" s="4" t="inlineStr">
        <is>
          <t>Plan distal lateral femoral fixation positions together when several are needed.</t>
        </is>
      </c>
      <c r="E12" s="4" t="inlineStr"/>
      <c r="F12" s="4" t="inlineStr"/>
      <c r="G12" s="4" t="inlineStr"/>
    </row>
    <row r="13">
      <c r="A13" s="4" t="inlineStr">
        <is>
          <t>3.11.2-P7</t>
        </is>
      </c>
      <c r="B13" s="4" t="inlineStr">
        <is>
          <t>3.11.2</t>
        </is>
      </c>
      <c r="C13" s="4" t="inlineStr">
        <is>
          <t>fellowship</t>
        </is>
      </c>
      <c r="D13" s="4" t="inlineStr">
        <is>
          <t>Accept that the optimal point within the region is not established.</t>
        </is>
      </c>
      <c r="E13" s="4" t="inlineStr"/>
      <c r="F13" s="4" t="inlineStr"/>
      <c r="G13" s="4" t="inlineStr"/>
    </row>
    <row r="14">
      <c r="A14" s="4" t="inlineStr">
        <is>
          <t>3.11.3-P1</t>
        </is>
      </c>
      <c r="B14" s="4" t="inlineStr">
        <is>
          <t>3.11.3</t>
        </is>
      </c>
      <c r="C14" s="4" t="inlineStr">
        <is>
          <t>mrcs</t>
        </is>
      </c>
      <c r="D14" s="4" t="inlineStr">
        <is>
          <t>Use the complex as the term and the region as the unit when discussing function.</t>
        </is>
      </c>
      <c r="E14" s="4" t="inlineStr"/>
      <c r="F14" s="4" t="inlineStr"/>
      <c r="G14" s="4" t="inlineStr"/>
    </row>
    <row r="15">
      <c r="A15" s="4" t="inlineStr">
        <is>
          <t>3.11.3-P2</t>
        </is>
      </c>
      <c r="B15" s="4" t="inlineStr">
        <is>
          <t>3.11.3</t>
        </is>
      </c>
      <c r="C15" s="4" t="inlineStr">
        <is>
          <t>mrcs</t>
        </is>
      </c>
      <c r="D15" s="4" t="inlineStr">
        <is>
          <t>Expect prevalence figures to vary between dissection studies.</t>
        </is>
      </c>
      <c r="E15" s="4" t="inlineStr"/>
      <c r="F15" s="4" t="inlineStr"/>
      <c r="G15" s="4" t="inlineStr"/>
    </row>
    <row r="16">
      <c r="A16" s="4" t="inlineStr">
        <is>
          <t>3.11.3-P3</t>
        </is>
      </c>
      <c r="B16" s="4" t="inlineStr">
        <is>
          <t>3.11.3</t>
        </is>
      </c>
      <c r="C16" s="4" t="inlineStr">
        <is>
          <t>mrcs</t>
        </is>
      </c>
      <c r="D16" s="4" t="inlineStr">
        <is>
          <t>Treat its contribution as clinically relevant in combination with cruciate injury.</t>
        </is>
      </c>
      <c r="E16" s="4" t="inlineStr"/>
      <c r="F16" s="4" t="inlineStr"/>
      <c r="G16" s="4" t="inlineStr"/>
    </row>
    <row r="17">
      <c r="A17" s="4" t="inlineStr">
        <is>
          <t>3.11.3-P4</t>
        </is>
      </c>
      <c r="B17" s="4" t="inlineStr">
        <is>
          <t>3.11.3</t>
        </is>
      </c>
      <c r="C17" s="4" t="inlineStr">
        <is>
          <t>frcs</t>
        </is>
      </c>
      <c r="D17" s="4" t="inlineStr">
        <is>
          <t>Treat the structure as real enough to reconstruct and disputed enough that the reconstruction's rationale should be stated regionally rather than anatomically.</t>
        </is>
      </c>
      <c r="E17" s="4" t="inlineStr"/>
      <c r="F17" s="4" t="inlineStr"/>
      <c r="G17" s="4" t="inlineStr"/>
    </row>
    <row r="18">
      <c r="A18" s="4" t="inlineStr">
        <is>
          <t>3.11.3-P5</t>
        </is>
      </c>
      <c r="B18" s="4" t="inlineStr">
        <is>
          <t>3.11.3</t>
        </is>
      </c>
      <c r="C18" s="4" t="inlineStr">
        <is>
          <t>frcs</t>
        </is>
      </c>
      <c r="D18" s="4" t="inlineStr">
        <is>
          <t>State the rationale regionally rather than anatomically when discussing the structure.</t>
        </is>
      </c>
      <c r="E18" s="4" t="inlineStr"/>
      <c r="F18" s="4" t="inlineStr"/>
      <c r="G18" s="4" t="inlineStr"/>
    </row>
    <row r="19">
      <c r="A19" s="4" t="inlineStr">
        <is>
          <t>3.11.3-P6</t>
        </is>
      </c>
      <c r="B19" s="4" t="inlineStr">
        <is>
          <t>3.11.3</t>
        </is>
      </c>
      <c r="C19" s="4" t="inlineStr">
        <is>
          <t>fellowship</t>
        </is>
      </c>
      <c r="D19" s="4" t="inlineStr">
        <is>
          <t>Prefer a tenodesis where tibial tunnel crowding is a constraint.</t>
        </is>
      </c>
      <c r="E19" s="4" t="inlineStr"/>
      <c r="F19" s="4" t="inlineStr"/>
      <c r="G19" s="4" t="inlineStr"/>
    </row>
    <row r="20">
      <c r="A20" s="4" t="inlineStr">
        <is>
          <t>3.11.3-P7</t>
        </is>
      </c>
      <c r="B20" s="4" t="inlineStr">
        <is>
          <t>3.11.3</t>
        </is>
      </c>
      <c r="C20" s="4" t="inlineStr">
        <is>
          <t>fellowship</t>
        </is>
      </c>
      <c r="D20" s="4" t="inlineStr">
        <is>
          <t>Plan femoral fixation positions together when several are needed.</t>
        </is>
      </c>
      <c r="E20" s="4" t="inlineStr"/>
      <c r="F20" s="4" t="inlineStr"/>
      <c r="G20" s="4" t="inlineStr"/>
    </row>
    <row r="21">
      <c r="A21" s="4" t="inlineStr">
        <is>
          <t>3.11.3-P8</t>
        </is>
      </c>
      <c r="B21" s="4" t="inlineStr">
        <is>
          <t>3.11.3</t>
        </is>
      </c>
      <c r="C21" s="4" t="inlineStr">
        <is>
          <t>fellowship</t>
        </is>
      </c>
      <c r="D21" s="4" t="inlineStr">
        <is>
          <t>Accept that no measurement matches construct to knee.</t>
        </is>
      </c>
      <c r="E21" s="4" t="inlineStr"/>
      <c r="F21" s="4" t="inlineStr"/>
      <c r="G21" s="4" t="inlineStr"/>
    </row>
    <row r="22">
      <c r="A22" s="4" t="inlineStr">
        <is>
          <t>3.11.4-P1</t>
        </is>
      </c>
      <c r="B22" s="4" t="inlineStr">
        <is>
          <t>3.11.4</t>
        </is>
      </c>
      <c r="C22" s="4" t="inlineStr">
        <is>
          <t>mrcs</t>
        </is>
      </c>
      <c r="D22" s="4" t="inlineStr">
        <is>
          <t>Read a high grade as narrowing the possibilities rather than naming a structure.</t>
        </is>
      </c>
      <c r="E22" s="4" t="inlineStr"/>
      <c r="F22" s="4" t="inlineStr"/>
      <c r="G22" s="4" t="inlineStr"/>
    </row>
    <row r="23">
      <c r="A23" s="4" t="inlineStr">
        <is>
          <t>3.11.4-P2</t>
        </is>
      </c>
      <c r="B23" s="4" t="inlineStr">
        <is>
          <t>3.11.4</t>
        </is>
      </c>
      <c r="C23" s="4" t="inlineStr">
        <is>
          <t>mrcs</t>
        </is>
      </c>
      <c r="D23" s="4" t="inlineStr">
        <is>
          <t>Consider lateral meniscal injury as well as anterolateral injury in a high grade.</t>
        </is>
      </c>
      <c r="E23" s="4" t="inlineStr"/>
      <c r="F23" s="4" t="inlineStr"/>
      <c r="G23" s="4" t="inlineStr"/>
    </row>
    <row r="24">
      <c r="A24" s="4" t="inlineStr">
        <is>
          <t>3.11.4-P3</t>
        </is>
      </c>
      <c r="B24" s="4" t="inlineStr">
        <is>
          <t>3.11.4</t>
        </is>
      </c>
      <c r="C24" s="4" t="inlineStr">
        <is>
          <t>mrcs</t>
        </is>
      </c>
      <c r="D24" s="4" t="inlineStr">
        <is>
          <t>Measure slope where the grade exceeds what the injury explains.</t>
        </is>
      </c>
      <c r="E24" s="4" t="inlineStr"/>
      <c r="F24" s="4" t="inlineStr"/>
      <c r="G24" s="4" t="inlineStr"/>
    </row>
    <row r="25">
      <c r="A25" s="4" t="inlineStr">
        <is>
          <t>3.11.4-P4</t>
        </is>
      </c>
      <c r="B25" s="4" t="inlineStr">
        <is>
          <t>3.11.4</t>
        </is>
      </c>
      <c r="C25" s="4" t="inlineStr">
        <is>
          <t>mrcs</t>
        </is>
      </c>
      <c r="D25" s="4" t="inlineStr">
        <is>
          <t>Grade under anaesthetic where the grade will change the operation.</t>
        </is>
      </c>
      <c r="E25" s="4" t="inlineStr"/>
      <c r="F25" s="4" t="inlineStr"/>
      <c r="G25" s="4" t="inlineStr"/>
    </row>
    <row r="26">
      <c r="A26" s="4" t="inlineStr">
        <is>
          <t>3.11.4-P5</t>
        </is>
      </c>
      <c r="B26" s="4" t="inlineStr">
        <is>
          <t>3.11.4</t>
        </is>
      </c>
      <c r="C26" s="4" t="inlineStr">
        <is>
          <t>frcs</t>
        </is>
      </c>
      <c r="D26" s="4" t="inlineStr">
        <is>
          <t>Treat pivot shift control as the outcome a lateral procedure is added to achieve, and the grade as the indication.</t>
        </is>
      </c>
      <c r="E26" s="4" t="inlineStr"/>
      <c r="F26" s="4" t="inlineStr"/>
      <c r="G26" s="4" t="inlineStr"/>
    </row>
    <row r="27">
      <c r="A27" s="4" t="inlineStr">
        <is>
          <t>3.11.4-P6</t>
        </is>
      </c>
      <c r="B27" s="4" t="inlineStr">
        <is>
          <t>3.11.4</t>
        </is>
      </c>
      <c r="C27" s="4" t="inlineStr">
        <is>
          <t>frcs</t>
        </is>
      </c>
      <c r="D27" s="4" t="inlineStr">
        <is>
          <t>Check the pivot shift under anaesthetic after cruciate fixation.</t>
        </is>
      </c>
      <c r="E27" s="4" t="inlineStr"/>
      <c r="F27" s="4" t="inlineStr"/>
      <c r="G27" s="4" t="inlineStr"/>
    </row>
    <row r="28">
      <c r="A28" s="4" t="inlineStr">
        <is>
          <t>3.11.4-P7</t>
        </is>
      </c>
      <c r="B28" s="4" t="inlineStr">
        <is>
          <t>3.11.4</t>
        </is>
      </c>
      <c r="C28" s="4" t="inlineStr">
        <is>
          <t>frcs</t>
        </is>
      </c>
      <c r="D28" s="4" t="inlineStr">
        <is>
          <t>Add a lateral procedure where the grade or the population indicates it.</t>
        </is>
      </c>
      <c r="E28" s="4" t="inlineStr"/>
      <c r="F28" s="4" t="inlineStr"/>
      <c r="G28" s="4" t="inlineStr"/>
    </row>
    <row r="29">
      <c r="A29" s="4" t="inlineStr">
        <is>
          <t>3.11.4-P8</t>
        </is>
      </c>
      <c r="B29" s="4" t="inlineStr">
        <is>
          <t>3.11.4</t>
        </is>
      </c>
      <c r="C29" s="4" t="inlineStr">
        <is>
          <t>frcs</t>
        </is>
      </c>
      <c r="D29" s="4" t="inlineStr">
        <is>
          <t>Repair the lateral posterior horn, which also controls the subluxation.</t>
        </is>
      </c>
      <c r="E29" s="4" t="inlineStr"/>
      <c r="F29" s="4" t="inlineStr"/>
      <c r="G29" s="4" t="inlineStr"/>
    </row>
    <row r="30">
      <c r="A30" s="4" t="inlineStr">
        <is>
          <t>3.11.4-P9</t>
        </is>
      </c>
      <c r="B30" s="4" t="inlineStr">
        <is>
          <t>3.11.4</t>
        </is>
      </c>
      <c r="C30" s="4" t="inlineStr">
        <is>
          <t>frcs</t>
        </is>
      </c>
      <c r="D30" s="4" t="inlineStr">
        <is>
          <t>Measure slope in a high grade shift, particularly before revision.</t>
        </is>
      </c>
      <c r="E30" s="4" t="inlineStr"/>
      <c r="F30" s="4" t="inlineStr"/>
      <c r="G30" s="4" t="inlineStr"/>
    </row>
    <row r="31">
      <c r="A31" s="4" t="inlineStr">
        <is>
          <t>3.11.5-P1</t>
        </is>
      </c>
      <c r="B31" s="4" t="inlineStr">
        <is>
          <t>3.11.5</t>
        </is>
      </c>
      <c r="C31" s="4" t="inlineStr">
        <is>
          <t>mrcs</t>
        </is>
      </c>
      <c r="D31" s="4" t="inlineStr">
        <is>
          <t>Repair the lateral posterior horn, which has a rotational rationale.</t>
        </is>
      </c>
      <c r="E31" s="4" t="inlineStr"/>
      <c r="F31" s="4" t="inlineStr"/>
      <c r="G31" s="4" t="inlineStr"/>
    </row>
    <row r="32">
      <c r="A32" s="4" t="inlineStr">
        <is>
          <t>3.11.5-P2</t>
        </is>
      </c>
      <c r="B32" s="4" t="inlineStr">
        <is>
          <t>3.11.5</t>
        </is>
      </c>
      <c r="C32" s="4" t="inlineStr">
        <is>
          <t>mrcs</t>
        </is>
      </c>
      <c r="D32" s="4" t="inlineStr">
        <is>
          <t>Measure slope where rotation exceeds what the injury explains.</t>
        </is>
      </c>
      <c r="E32" s="4" t="inlineStr"/>
      <c r="F32" s="4" t="inlineStr"/>
      <c r="G32" s="4" t="inlineStr"/>
    </row>
    <row r="33">
      <c r="A33" s="4" t="inlineStr">
        <is>
          <t>3.11.5-P3</t>
        </is>
      </c>
      <c r="B33" s="4" t="inlineStr">
        <is>
          <t>3.11.5</t>
        </is>
      </c>
      <c r="C33" s="4" t="inlineStr">
        <is>
          <t>frcs</t>
        </is>
      </c>
      <c r="D33" s="4" t="inlineStr">
        <is>
          <t>Treat internal rotation control as the quantity the whole anterolateral debate is about, and over-constraint as the cost that makes the debate a real one.</t>
        </is>
      </c>
      <c r="E33" s="4" t="inlineStr"/>
      <c r="F33" s="4" t="inlineStr"/>
      <c r="G33" s="4" t="inlineStr"/>
    </row>
    <row r="34">
      <c r="A34" s="4" t="inlineStr">
        <is>
          <t>3.11.5-P4</t>
        </is>
      </c>
      <c r="B34" s="4" t="inlineStr">
        <is>
          <t>3.11.5</t>
        </is>
      </c>
      <c r="C34" s="4" t="inlineStr">
        <is>
          <t>frcs</t>
        </is>
      </c>
      <c r="D34" s="4" t="inlineStr">
        <is>
          <t>Expect cadaveric over-constraint risk not to have appeared as clinical stiffness in trials.</t>
        </is>
      </c>
      <c r="E34" s="4" t="inlineStr"/>
      <c r="F34" s="4" t="inlineStr"/>
      <c r="G34" s="4" t="inlineStr"/>
    </row>
    <row r="35">
      <c r="A35" s="4" t="inlineStr">
        <is>
          <t>3.11.5-P5</t>
        </is>
      </c>
      <c r="B35" s="4" t="inlineStr">
        <is>
          <t>3.11.5</t>
        </is>
      </c>
      <c r="C35" s="4" t="inlineStr">
        <is>
          <t>frcs</t>
        </is>
      </c>
      <c r="D35" s="4" t="inlineStr">
        <is>
          <t>Plan the two constructs' tunnels together, since they interact.</t>
        </is>
      </c>
      <c r="E35" s="4" t="inlineStr"/>
      <c r="F35" s="4" t="inlineStr"/>
      <c r="G35" s="4" t="inlineStr"/>
    </row>
    <row r="36">
      <c r="A36" s="4" t="inlineStr">
        <is>
          <t>3.11.6-P1</t>
        </is>
      </c>
      <c r="B36" s="4" t="inlineStr">
        <is>
          <t>3.11.6</t>
        </is>
      </c>
      <c r="C36" s="4" t="inlineStr">
        <is>
          <t>medical_student</t>
        </is>
      </c>
      <c r="D36" s="4" t="inlineStr">
        <is>
          <t>Seeing it on a plain radiograph should prompt a search for a cruciate injury rather than treatment of the fragment.</t>
        </is>
      </c>
      <c r="E36" s="4" t="inlineStr"/>
      <c r="F36" s="4" t="inlineStr"/>
      <c r="G36" s="4" t="inlineStr"/>
    </row>
    <row r="37">
      <c r="A37" s="4" t="inlineStr">
        <is>
          <t>3.11.6-P2</t>
        </is>
      </c>
      <c r="B37" s="4" t="inlineStr">
        <is>
          <t>3.11.6</t>
        </is>
      </c>
      <c r="C37" s="4" t="inlineStr">
        <is>
          <t>mrcs</t>
        </is>
      </c>
      <c r="D37" s="4" t="inlineStr">
        <is>
          <t>Read it as indicating anterolateral and cruciate injury rather than as a fracture to treat.</t>
        </is>
      </c>
      <c r="E37" s="4" t="inlineStr"/>
      <c r="F37" s="4" t="inlineStr"/>
      <c r="G37" s="4" t="inlineStr"/>
    </row>
    <row r="38">
      <c r="A38" s="4" t="inlineStr">
        <is>
          <t>3.11.6-P3</t>
        </is>
      </c>
      <c r="B38" s="4" t="inlineStr">
        <is>
          <t>3.11.6</t>
        </is>
      </c>
      <c r="C38" s="4" t="inlineStr">
        <is>
          <t>mrcs</t>
        </is>
      </c>
      <c r="D38" s="4" t="inlineStr">
        <is>
          <t>Expect a higher grade pivot shift where it is present.</t>
        </is>
      </c>
      <c r="E38" s="4" t="inlineStr"/>
      <c r="F38" s="4" t="inlineStr"/>
      <c r="G38" s="4" t="inlineStr"/>
    </row>
    <row r="39">
      <c r="A39" s="4" t="inlineStr">
        <is>
          <t>3.11.6-P4</t>
        </is>
      </c>
      <c r="B39" s="4" t="inlineStr">
        <is>
          <t>3.11.6</t>
        </is>
      </c>
      <c r="C39" s="4" t="inlineStr">
        <is>
          <t>mrcs</t>
        </is>
      </c>
      <c r="D39" s="4" t="inlineStr">
        <is>
          <t>Use it as evidence of an attachment region rather than of a named structure.</t>
        </is>
      </c>
      <c r="E39" s="4" t="inlineStr"/>
      <c r="F39" s="4" t="inlineStr"/>
      <c r="G39" s="4" t="inlineStr"/>
    </row>
    <row r="40">
      <c r="A40" s="4" t="inlineStr">
        <is>
          <t>3.11.6-P5</t>
        </is>
      </c>
      <c r="B40" s="4" t="inlineStr">
        <is>
          <t>3.11.6</t>
        </is>
      </c>
      <c r="C40" s="4" t="inlineStr">
        <is>
          <t>frcs</t>
        </is>
      </c>
      <c r="D40" s="4" t="inlineStr">
        <is>
          <t>Treat the lesion as an indication to consider a lateral procedure, on the ground that it is direct evidence of anterolateral injury in a knee where that is otherwise inferred.</t>
        </is>
      </c>
      <c r="E40" s="4" t="inlineStr"/>
      <c r="F40" s="4" t="inlineStr"/>
      <c r="G40" s="4" t="inlineStr"/>
    </row>
    <row r="41">
      <c r="A41" s="4" t="inlineStr">
        <is>
          <t>3.11.6-P6</t>
        </is>
      </c>
      <c r="B41" s="4" t="inlineStr">
        <is>
          <t>3.11.6</t>
        </is>
      </c>
      <c r="C41" s="4" t="inlineStr">
        <is>
          <t>frcs</t>
        </is>
      </c>
      <c r="D41" s="4" t="inlineStr">
        <is>
          <t>Consider a lateral procedure where the lesion is present.</t>
        </is>
      </c>
      <c r="E41" s="4" t="inlineStr"/>
      <c r="F41" s="4" t="inlineStr"/>
      <c r="G41" s="4" t="inlineStr"/>
    </row>
    <row r="42">
      <c r="A42" s="4" t="inlineStr">
        <is>
          <t>3.11.6-P7</t>
        </is>
      </c>
      <c r="B42" s="4" t="inlineStr">
        <is>
          <t>3.11.6</t>
        </is>
      </c>
      <c r="C42" s="4" t="inlineStr">
        <is>
          <t>frcs</t>
        </is>
      </c>
      <c r="D42" s="4" t="inlineStr">
        <is>
          <t>Leave the fragment unfixed unless it is large and displaced.</t>
        </is>
      </c>
      <c r="E42" s="4" t="inlineStr"/>
      <c r="F42" s="4" t="inlineStr"/>
      <c r="G42" s="4" t="inlineStr"/>
    </row>
    <row r="43">
      <c r="A43" s="4" t="inlineStr">
        <is>
          <t>3.11.6-P8</t>
        </is>
      </c>
      <c r="B43" s="4" t="inlineStr">
        <is>
          <t>3.11.6</t>
        </is>
      </c>
      <c r="C43" s="4" t="inlineStr">
        <is>
          <t>frcs</t>
        </is>
      </c>
      <c r="D43" s="4" t="inlineStr">
        <is>
          <t>Grade the pivot shift under anaesthetic, which the lesion predicts will be higher.</t>
        </is>
      </c>
      <c r="E43" s="4" t="inlineStr"/>
      <c r="F43" s="4" t="inlineStr"/>
      <c r="G43" s="4" t="inlineStr"/>
    </row>
    <row r="44">
      <c r="A44" s="4" t="inlineStr">
        <is>
          <t>3.11.7-P1</t>
        </is>
      </c>
      <c r="B44" s="4" t="inlineStr">
        <is>
          <t>3.11.7</t>
        </is>
      </c>
      <c r="C44" s="4" t="inlineStr">
        <is>
          <t>frcs</t>
        </is>
      </c>
      <c r="D44" s="4" t="inlineStr">
        <is>
          <t>Treat the tenodesis as the augmentation with the strongest clinical evidence and the weakest anatomical rationale, and treat that combination as acceptable.</t>
        </is>
      </c>
      <c r="E44" s="4" t="inlineStr"/>
      <c r="F44" s="4" t="inlineStr"/>
      <c r="G44" s="4" t="inlineStr"/>
    </row>
    <row r="45">
      <c r="A45" s="4" t="inlineStr">
        <is>
          <t>3.11.7-P2</t>
        </is>
      </c>
      <c r="B45" s="4" t="inlineStr">
        <is>
          <t>3.11.7</t>
        </is>
      </c>
      <c r="C45" s="4" t="inlineStr">
        <is>
          <t>frcs</t>
        </is>
      </c>
      <c r="D45" s="4" t="inlineStr">
        <is>
          <t>Add it in the groups the trial evidence covers rather than universally.</t>
        </is>
      </c>
      <c r="E45" s="4" t="inlineStr"/>
      <c r="F45" s="4" t="inlineStr"/>
      <c r="G45" s="4" t="inlineStr"/>
    </row>
    <row r="46">
      <c r="A46" s="4" t="inlineStr">
        <is>
          <t>3.11.7-P3</t>
        </is>
      </c>
      <c r="B46" s="4" t="inlineStr">
        <is>
          <t>3.11.7</t>
        </is>
      </c>
      <c r="C46" s="4" t="inlineStr">
        <is>
          <t>frcs</t>
        </is>
      </c>
      <c r="D46" s="4" t="inlineStr">
        <is>
          <t>State that the stiffness objection has not been borne out at current tensions.</t>
        </is>
      </c>
      <c r="E46" s="4" t="inlineStr"/>
      <c r="F46" s="4" t="inlineStr"/>
      <c r="G46" s="4" t="inlineStr"/>
    </row>
    <row r="47">
      <c r="A47" s="4" t="inlineStr">
        <is>
          <t>3.11.7-P4</t>
        </is>
      </c>
      <c r="B47" s="4" t="inlineStr">
        <is>
          <t>3.11.7</t>
        </is>
      </c>
      <c r="C47" s="4" t="inlineStr">
        <is>
          <t>frcs</t>
        </is>
      </c>
      <c r="D47" s="4" t="inlineStr">
        <is>
          <t>Plan it alongside the cruciate graft rather than as an afterthought.</t>
        </is>
      </c>
      <c r="E47" s="4" t="inlineStr"/>
      <c r="F47" s="4" t="inlineStr"/>
      <c r="G47" s="4" t="inlineStr"/>
    </row>
    <row r="48">
      <c r="A48" s="4" t="inlineStr">
        <is>
          <t>3.11.7-P5</t>
        </is>
      </c>
      <c r="B48" s="4" t="inlineStr">
        <is>
          <t>3.11.7</t>
        </is>
      </c>
      <c r="C48" s="4" t="inlineStr">
        <is>
          <t>fellowship</t>
        </is>
      </c>
      <c r="D48" s="4" t="inlineStr">
        <is>
          <t>Plan femoral fixation alongside the cruciate tunnel.</t>
        </is>
      </c>
      <c r="E48" s="4" t="inlineStr"/>
      <c r="F48" s="4" t="inlineStr"/>
      <c r="G48" s="4" t="inlineStr"/>
    </row>
    <row r="49">
      <c r="A49" s="4" t="inlineStr">
        <is>
          <t>3.11.7-P6</t>
        </is>
      </c>
      <c r="B49" s="4" t="inlineStr">
        <is>
          <t>3.11.7</t>
        </is>
      </c>
      <c r="C49" s="4" t="inlineStr">
        <is>
          <t>fellowship</t>
        </is>
      </c>
      <c r="D49" s="4" t="inlineStr">
        <is>
          <t>Consider slope correction as an alternative or an addition in the right knee.</t>
        </is>
      </c>
      <c r="E49" s="4" t="inlineStr"/>
      <c r="F49" s="4" t="inlineStr"/>
      <c r="G49" s="4" t="inlineStr"/>
    </row>
    <row r="50">
      <c r="A50" s="4" t="inlineStr">
        <is>
          <t>3.11.7-P7</t>
        </is>
      </c>
      <c r="B50" s="4" t="inlineStr">
        <is>
          <t>3.11.7</t>
        </is>
      </c>
      <c r="C50" s="4" t="inlineStr">
        <is>
          <t>fellowship</t>
        </is>
      </c>
      <c r="D50" s="4" t="inlineStr">
        <is>
          <t>State that no measurement identifies the individual who needs one.</t>
        </is>
      </c>
      <c r="E50" s="4" t="inlineStr"/>
      <c r="F50" s="4" t="inlineStr"/>
      <c r="G50" s="4" t="inlineStr"/>
    </row>
    <row r="51">
      <c r="A51" s="4" t="inlineStr">
        <is>
          <t>3.11.8-P1</t>
        </is>
      </c>
      <c r="B51" s="4" t="inlineStr">
        <is>
          <t>3.11.8</t>
        </is>
      </c>
      <c r="C51" s="4" t="inlineStr">
        <is>
          <t>mrcs</t>
        </is>
      </c>
      <c r="D51" s="4" t="inlineStr">
        <is>
          <t>Order of fixation and the rotational position at each.</t>
        </is>
      </c>
      <c r="E51" s="4" t="inlineStr"/>
      <c r="F51" s="4" t="inlineStr"/>
      <c r="G51" s="4" t="inlineStr"/>
    </row>
    <row r="52">
      <c r="A52" s="4" t="inlineStr">
        <is>
          <t>3.11.8-P2</t>
        </is>
      </c>
      <c r="B52" s="4" t="inlineStr">
        <is>
          <t>3.11.8</t>
        </is>
      </c>
      <c r="C52" s="4" t="inlineStr">
        <is>
          <t>mrcs</t>
        </is>
      </c>
      <c r="D52" s="4" t="inlineStr">
        <is>
          <t>Plan both femoral fixations together to avoid convergence.</t>
        </is>
      </c>
      <c r="E52" s="4" t="inlineStr"/>
      <c r="F52" s="4" t="inlineStr"/>
      <c r="G52" s="4" t="inlineStr"/>
    </row>
    <row r="53">
      <c r="A53" s="4" t="inlineStr">
        <is>
          <t>3.11.8-P3</t>
        </is>
      </c>
      <c r="B53" s="4" t="inlineStr">
        <is>
          <t>3.11.8</t>
        </is>
      </c>
      <c r="C53" s="4" t="inlineStr">
        <is>
          <t>mrcs</t>
        </is>
      </c>
      <c r="D53" s="4" t="inlineStr">
        <is>
          <t>Expect the load sharing to be demonstrable in cadavers and not in a patient.</t>
        </is>
      </c>
      <c r="E53" s="4" t="inlineStr"/>
      <c r="F53" s="4" t="inlineStr"/>
      <c r="G53" s="4" t="inlineStr"/>
    </row>
    <row r="54">
      <c r="A54" s="4" t="inlineStr">
        <is>
          <t>3.11.8-P4</t>
        </is>
      </c>
      <c r="B54" s="4" t="inlineStr">
        <is>
          <t>3.11.8</t>
        </is>
      </c>
      <c r="C54" s="4" t="inlineStr">
        <is>
          <t>frcs</t>
        </is>
      </c>
      <c r="D54" s="4" t="inlineStr">
        <is>
          <t>Treat the combination as the current answer for the high risk knee and the indications as the part still being refined.</t>
        </is>
      </c>
      <c r="E54" s="4" t="inlineStr"/>
      <c r="F54" s="4" t="inlineStr"/>
      <c r="G54" s="4" t="inlineStr"/>
    </row>
    <row r="55">
      <c r="A55" s="4" t="inlineStr">
        <is>
          <t>3.11.8-P5</t>
        </is>
      </c>
      <c r="B55" s="4" t="inlineStr">
        <is>
          <t>3.11.8</t>
        </is>
      </c>
      <c r="C55" s="4" t="inlineStr">
        <is>
          <t>frcs</t>
        </is>
      </c>
      <c r="D55" s="4" t="inlineStr">
        <is>
          <t>Add a lateral procedure in the high risk groups the trials cover.</t>
        </is>
      </c>
      <c r="E55" s="4" t="inlineStr"/>
      <c r="F55" s="4" t="inlineStr"/>
      <c r="G55" s="4" t="inlineStr"/>
    </row>
    <row r="56">
      <c r="A56" s="4" t="inlineStr">
        <is>
          <t>3.11.8-P6</t>
        </is>
      </c>
      <c r="B56" s="4" t="inlineStr">
        <is>
          <t>3.11.8</t>
        </is>
      </c>
      <c r="C56" s="4" t="inlineStr">
        <is>
          <t>frcs</t>
        </is>
      </c>
      <c r="D56" s="4" t="inlineStr">
        <is>
          <t>Consider slope correction as an alternative in the right knee.</t>
        </is>
      </c>
      <c r="E56" s="4" t="inlineStr"/>
      <c r="F56" s="4" t="inlineStr"/>
      <c r="G56" s="4" t="inlineStr"/>
    </row>
    <row r="57">
      <c r="A57" s="4" t="inlineStr">
        <is>
          <t>3.11.8-P7</t>
        </is>
      </c>
      <c r="B57" s="4" t="inlineStr">
        <is>
          <t>3.11.8</t>
        </is>
      </c>
      <c r="C57" s="4" t="inlineStr">
        <is>
          <t>frcs</t>
        </is>
      </c>
      <c r="D57" s="4" t="inlineStr">
        <is>
          <t>Plan graft and fixation space for both constructs before theatre.</t>
        </is>
      </c>
      <c r="E57" s="4" t="inlineStr"/>
      <c r="F57" s="4" t="inlineStr"/>
      <c r="G57" s="4" t="inlineStr"/>
    </row>
    <row r="58">
      <c r="A58" s="4" t="inlineStr">
        <is>
          <t>3.11.8-P8</t>
        </is>
      </c>
      <c r="B58" s="4" t="inlineStr">
        <is>
          <t>3.11.8</t>
        </is>
      </c>
      <c r="C58" s="4" t="inlineStr">
        <is>
          <t>frcs</t>
        </is>
      </c>
      <c r="D58" s="4" t="inlineStr">
        <is>
          <t>State that routine against selective use is unsettled.</t>
        </is>
      </c>
      <c r="E58" s="4" t="inlineStr"/>
      <c r="F58" s="4" t="inlineStr"/>
      <c r="G58" s="4" t="inlineStr"/>
    </row>
    <row r="59">
      <c r="A59" s="4" t="inlineStr">
        <is>
          <t>3.11.8-P9</t>
        </is>
      </c>
      <c r="B59" s="4" t="inlineStr">
        <is>
          <t>3.11.8</t>
        </is>
      </c>
      <c r="C59" s="4" t="inlineStr">
        <is>
          <t>fellowship</t>
        </is>
      </c>
      <c r="D59" s="4" t="inlineStr">
        <is>
          <t>Plan tunnel geometry and slope correction together in a revision.</t>
        </is>
      </c>
      <c r="E59" s="4" t="inlineStr"/>
      <c r="F59" s="4" t="inlineStr"/>
      <c r="G59" s="4" t="inlineStr"/>
    </row>
    <row r="60">
      <c r="A60" s="4" t="inlineStr">
        <is>
          <t>3.11.8-P10</t>
        </is>
      </c>
      <c r="B60" s="4" t="inlineStr">
        <is>
          <t>3.11.8</t>
        </is>
      </c>
      <c r="C60" s="4" t="inlineStr">
        <is>
          <t>fellowship</t>
        </is>
      </c>
      <c r="D60" s="4" t="inlineStr">
        <is>
          <t>Prefer a tenodesis, which adds no tibial tunnel.</t>
        </is>
      </c>
      <c r="E60" s="4" t="inlineStr"/>
      <c r="F60" s="4" t="inlineStr"/>
      <c r="G60" s="4" t="inlineStr"/>
    </row>
    <row r="61">
      <c r="A61" s="4" t="inlineStr">
        <is>
          <t>3.11.8-P11</t>
        </is>
      </c>
      <c r="B61" s="4" t="inlineStr">
        <is>
          <t>3.11.8</t>
        </is>
      </c>
      <c r="C61" s="4" t="inlineStr">
        <is>
          <t>fellowship</t>
        </is>
      </c>
      <c r="D61" s="4" t="inlineStr">
        <is>
          <t>Stage where tunnels, graft or soft tissues will not allow one sitting.</t>
        </is>
      </c>
      <c r="E61" s="4" t="inlineStr"/>
      <c r="F61" s="4" t="inlineStr"/>
      <c r="G61" s="4" t="inlineStr"/>
    </row>
    <row r="62">
      <c r="A62" s="4" t="inlineStr">
        <is>
          <t>3.11.9-P1</t>
        </is>
      </c>
      <c r="B62" s="4" t="inlineStr">
        <is>
          <t>3.11.9</t>
        </is>
      </c>
      <c r="C62" s="4" t="inlineStr">
        <is>
          <t>frcs</t>
        </is>
      </c>
      <c r="D62" s="4" t="inlineStr">
        <is>
          <t>Avoid citing a dissection study to settle a clinical question.</t>
        </is>
      </c>
      <c r="E62" s="4" t="inlineStr"/>
      <c r="F62" s="4" t="inlineStr"/>
      <c r="G62" s="4" t="inlineStr"/>
    </row>
    <row r="63">
      <c r="A63" s="4" t="inlineStr">
        <is>
          <t>3.11.9-P2</t>
        </is>
      </c>
      <c r="B63" s="4" t="inlineStr">
        <is>
          <t>3.11.9</t>
        </is>
      </c>
      <c r="C63" s="4" t="inlineStr">
        <is>
          <t>fellowship</t>
        </is>
      </c>
      <c r="D63" s="4" t="inlineStr">
        <is>
          <t>Measure slope before choosing between augmentation and correction.</t>
        </is>
      </c>
      <c r="E63" s="4" t="inlineStr"/>
      <c r="F63" s="4" t="inlineStr"/>
      <c r="G63" s="4" t="inlineStr"/>
    </row>
    <row r="64">
      <c r="A64" s="4" t="inlineStr">
        <is>
          <t>3.11.9-P3</t>
        </is>
      </c>
      <c r="B64" s="4" t="inlineStr">
        <is>
          <t>3.11.9</t>
        </is>
      </c>
      <c r="C64" s="4" t="inlineStr">
        <is>
          <t>fellowship</t>
        </is>
      </c>
      <c r="D64" s="4" t="inlineStr">
        <is>
          <t>Consider both in the knee that has failed a conventional revision.</t>
        </is>
      </c>
      <c r="E64" s="4" t="inlineStr"/>
      <c r="F64" s="4" t="inlineStr"/>
      <c r="G64" s="4" t="inlineStr"/>
    </row>
    <row r="65">
      <c r="A65" s="4" t="inlineStr">
        <is>
          <t>3.11.9-P4</t>
        </is>
      </c>
      <c r="B65" s="4" t="inlineStr">
        <is>
          <t>3.11.9</t>
        </is>
      </c>
      <c r="C65" s="4" t="inlineStr">
        <is>
          <t>fellowship</t>
        </is>
      </c>
      <c r="D65" s="4" t="inlineStr">
        <is>
          <t>State that no trial compares them directly.</t>
        </is>
      </c>
      <c r="E65" s="4" t="inlineStr"/>
      <c r="F65" s="4" t="inlineStr"/>
      <c r="G65" s="4" t="inlineStr"/>
    </row>
    <row r="66">
      <c r="A66" s="4" t="inlineStr">
        <is>
          <t>3.11.9-P5</t>
        </is>
      </c>
      <c r="B66" s="4" t="inlineStr">
        <is>
          <t>3.11.9</t>
        </is>
      </c>
      <c r="C66" s="4" t="inlineStr">
        <is>
          <t>consultant</t>
        </is>
      </c>
      <c r="D66" s="4" t="inlineStr">
        <is>
          <t>Set the question out as a balance and name what sits on each side of it.</t>
        </is>
      </c>
      <c r="E66" s="4" t="inlineStr"/>
      <c r="F66" s="4" t="inlineStr"/>
      <c r="G66" s="4" t="inlineStr"/>
    </row>
    <row r="67">
      <c r="A67" s="4" t="inlineStr">
        <is>
          <t>3.11.9-P6</t>
        </is>
      </c>
      <c r="B67" s="4" t="inlineStr">
        <is>
          <t>3.11.9</t>
        </is>
      </c>
      <c r="C67" s="4" t="inlineStr">
        <is>
          <t>consultant</t>
        </is>
      </c>
      <c r="D67" s="4" t="inlineStr">
        <is>
          <t>Weigh age and pivoting demand first, because the benefit concentrates there.</t>
        </is>
      </c>
      <c r="E67" s="4" t="inlineStr"/>
      <c r="F67" s="4" t="inlineStr"/>
      <c r="G67" s="4" t="inlineStr"/>
    </row>
    <row r="68">
      <c r="A68" s="4" t="inlineStr">
        <is>
          <t>3.11.9-P7</t>
        </is>
      </c>
      <c r="B68" s="4" t="inlineStr">
        <is>
          <t>3.11.9</t>
        </is>
      </c>
      <c r="C68" s="4" t="inlineStr">
        <is>
          <t>consultant</t>
        </is>
      </c>
      <c r="D68" s="4" t="inlineStr">
        <is>
          <t>Measure slope before treating augmentation as the only available lever.</t>
        </is>
      </c>
      <c r="E68" s="4" t="inlineStr"/>
      <c r="F68" s="4" t="inlineStr"/>
      <c r="G68" s="4" t="inlineStr"/>
    </row>
    <row r="69">
      <c r="A69" s="4" t="inlineStr">
        <is>
          <t>3.11.9-P8</t>
        </is>
      </c>
      <c r="B69" s="4" t="inlineStr">
        <is>
          <t>3.11.9</t>
        </is>
      </c>
      <c r="C69" s="4" t="inlineStr">
        <is>
          <t>consultant</t>
        </is>
      </c>
      <c r="D69" s="4" t="inlineStr">
        <is>
          <t>Price a second failure into the revision decision rather than into the primary one.</t>
        </is>
      </c>
      <c r="E69" s="4" t="inlineStr"/>
      <c r="F69" s="4" t="inlineStr"/>
      <c r="G69" s="4" t="inlineStr"/>
    </row>
    <row r="70">
      <c r="A70" s="4" t="inlineStr">
        <is>
          <t>3.11.9-P9</t>
        </is>
      </c>
      <c r="B70" s="4" t="inlineStr">
        <is>
          <t>3.11.9</t>
        </is>
      </c>
      <c r="C70" s="4" t="inlineStr">
        <is>
          <t>consultant</t>
        </is>
      </c>
      <c r="D70" s="4" t="inlineStr">
        <is>
          <t>Accept that the same evidence can be weighed differently without either consultant being wrong.</t>
        </is>
      </c>
      <c r="E70" s="4" t="inlineStr"/>
      <c r="F70" s="4" t="inlineStr"/>
      <c r="G70" s="4" t="inlineStr"/>
    </row>
  </sheetData>
  <dataValidations count="1">
    <dataValidation sqref="E3:E70" showDropDown="0" showInputMessage="0" showErrorMessage="0" allowBlank="1" errorTitle="Not an allowed decision" error="Use one of: CONFIRMED, AMENDED, WITHDRAWN, NOT_CLINICAL" type="list">
      <formula1>"CONFIRMED,AMENDED,WITHDRAWN,NOT_CLINICAL"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10" customWidth="1" min="2" max="2"/>
    <col width="16" customWidth="1" min="3" max="3"/>
    <col width="24" customWidth="1" min="4" max="4"/>
    <col width="80" customWidth="1" min="5" max="5"/>
    <col width="16" customWidth="1" min="6" max="6"/>
    <col width="36" customWidth="1" min="7" max="7"/>
    <col width="36" customWidth="1" min="8" max="8"/>
  </cols>
  <sheetData>
    <row r="1">
      <c r="A1" s="5" t="inlineStr">
        <is>
          <t>Ref</t>
        </is>
      </c>
      <c r="B1" s="5" t="inlineStr">
        <is>
          <t>Page</t>
        </is>
      </c>
      <c r="C1" s="5" t="inlineStr">
        <is>
          <t>Tier</t>
        </is>
      </c>
      <c r="D1" s="5" t="inlineStr">
        <is>
          <t>Figure</t>
        </is>
      </c>
      <c r="E1" s="5" t="inlineStr">
        <is>
          <t>The sentence it supports</t>
        </is>
      </c>
      <c r="F1" s="5" t="inlineStr">
        <is>
          <t>Decision</t>
        </is>
      </c>
      <c r="G1" s="5" t="inlineStr">
        <is>
          <t>Source</t>
        </is>
      </c>
      <c r="H1" s="5" t="inlineStr">
        <is>
          <t>Note</t>
        </is>
      </c>
    </row>
    <row r="2">
      <c r="A2" s="7" t="inlineStr">
        <is>
          <t>EXAMPLE</t>
        </is>
      </c>
      <c r="B2" s="7" t="inlineStr">
        <is>
          <t>0.0.0</t>
        </is>
      </c>
      <c r="C2" s="7" t="inlineStr">
        <is>
          <t>mrcs</t>
        </is>
      </c>
      <c r="D2" s="7" t="inlineStr">
        <is>
          <t>20 to 30 degrees</t>
        </is>
      </c>
      <c r="E2" s="7" t="inlineStr">
        <is>
          <t>This row shows the expected format and is ignored when the pack is read back.</t>
        </is>
      </c>
      <c r="F2" s="7" t="inlineStr">
        <is>
          <t>VERIFIED</t>
        </is>
      </c>
      <c r="G2" s="7" t="inlineStr">
        <is>
          <t>Author, title, edition, chapter</t>
        </is>
      </c>
      <c r="H2" s="7" t="inlineStr"/>
    </row>
    <row r="3">
      <c r="A3" s="4" t="inlineStr">
        <is>
          <t>3.11.1-F1</t>
        </is>
      </c>
      <c r="B3" s="4" t="inlineStr">
        <is>
          <t>3.11.1</t>
        </is>
      </c>
      <c r="C3" s="4" t="inlineStr">
        <is>
          <t>medical_student</t>
        </is>
      </c>
      <c r="D3" s="4" t="inlineStr">
        <is>
          <t>20 to 30 degrees</t>
        </is>
      </c>
      <c r="E3" s="4" t="inlineStr">
        <is>
          <t>Its line of action passes anterior to the flexion axis near extension and posterior to it in flexion, so it reverses at around 20 to 30 degrees.</t>
        </is>
      </c>
      <c r="F3" s="4" t="inlineStr"/>
      <c r="G3" s="4" t="inlineStr"/>
      <c r="H3" s="4" t="inlineStr"/>
    </row>
  </sheetData>
  <dataValidations count="1">
    <dataValidation sqref="F3" showDropDown="0" showInputMessage="0" showErrorMessage="0" allowBlank="1" errorTitle="Not an allowed decision" error="Use one of: VERIFIED, CORRECTED, REMOVED" type="list">
      <formula1>"VERIFIED,CORRECTED,REMOVED"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11"/>
  <sheetViews>
    <sheetView workbookViewId="0">
      <pane ySplit="1" topLeftCell="A2" activePane="bottomLeft" state="frozen"/>
      <selection pane="bottomLeft" activeCell="A1" sqref="A1"/>
    </sheetView>
  </sheetViews>
  <sheetFormatPr baseColWidth="8" defaultRowHeight="15"/>
  <cols>
    <col width="26" customWidth="1" min="1" max="1"/>
    <col width="18" customWidth="1" min="2" max="2"/>
    <col width="18" customWidth="1" min="3" max="3"/>
  </cols>
  <sheetData>
    <row r="1">
      <c r="A1" s="5" t="inlineStr"/>
      <c r="B1" s="5" t="inlineStr">
        <is>
          <t>Recommendations</t>
        </is>
      </c>
      <c r="C1" s="5" t="inlineStr">
        <is>
          <t>Measurements</t>
        </is>
      </c>
    </row>
    <row r="2">
      <c r="A2" s="2" t="inlineStr">
        <is>
          <t>Rows to decide</t>
        </is>
      </c>
      <c r="B2" s="3">
        <f>68</f>
        <v/>
      </c>
      <c r="C2" s="3">
        <f>1</f>
        <v/>
      </c>
    </row>
    <row r="3">
      <c r="A3" s="2" t="inlineStr">
        <is>
          <t>Decided</t>
        </is>
      </c>
      <c r="B3" s="3">
        <f>COUNTIF(Recommendations!E3:E70,"&lt;&gt;")</f>
        <v/>
      </c>
      <c r="C3" s="3">
        <f>COUNTIF(Measurements!F3:F3,"&lt;&gt;")</f>
        <v/>
      </c>
    </row>
    <row r="4">
      <c r="A4" s="2" t="inlineStr">
        <is>
          <t>Still blank</t>
        </is>
      </c>
      <c r="B4" s="3">
        <f>B2-B3</f>
        <v/>
      </c>
      <c r="C4" s="3">
        <f>C2-C3</f>
        <v/>
      </c>
    </row>
    <row r="5">
      <c r="A5" s="2" t="inlineStr">
        <is>
          <t>CONFIRMED</t>
        </is>
      </c>
      <c r="B5" s="3">
        <f>COUNTIF(Recommendations!E3:E70,"CONFIRMED")</f>
        <v/>
      </c>
      <c r="C5" s="3" t="inlineStr"/>
    </row>
    <row r="6">
      <c r="A6" s="2" t="inlineStr">
        <is>
          <t>AMENDED</t>
        </is>
      </c>
      <c r="B6" s="3">
        <f>COUNTIF(Recommendations!E3:E70,"AMENDED")</f>
        <v/>
      </c>
      <c r="C6" s="3" t="inlineStr"/>
    </row>
    <row r="7">
      <c r="A7" s="2" t="inlineStr">
        <is>
          <t>WITHDRAWN</t>
        </is>
      </c>
      <c r="B7" s="3">
        <f>COUNTIF(Recommendations!E3:E70,"WITHDRAWN")</f>
        <v/>
      </c>
      <c r="C7" s="3" t="inlineStr"/>
    </row>
    <row r="8">
      <c r="A8" s="2" t="inlineStr">
        <is>
          <t>NOT_CLINICAL</t>
        </is>
      </c>
      <c r="B8" s="3">
        <f>COUNTIF(Recommendations!E3:E70,"NOT_CLINICAL")</f>
        <v/>
      </c>
      <c r="C8" s="3" t="inlineStr"/>
    </row>
    <row r="9">
      <c r="A9" s="2" t="inlineStr">
        <is>
          <t>VERIFIED</t>
        </is>
      </c>
      <c r="B9" s="3" t="inlineStr"/>
      <c r="C9" s="3">
        <f>COUNTIF(Measurements!F3:F3,"VERIFIED")</f>
        <v/>
      </c>
    </row>
    <row r="10">
      <c r="A10" s="2" t="inlineStr">
        <is>
          <t>CORRECTED</t>
        </is>
      </c>
      <c r="B10" s="3" t="inlineStr"/>
      <c r="C10" s="3">
        <f>COUNTIF(Measurements!F3:F3,"CORRECTED")</f>
        <v/>
      </c>
    </row>
    <row r="11">
      <c r="A11" s="2" t="inlineStr">
        <is>
          <t>REMOVED</t>
        </is>
      </c>
      <c r="B11" s="3" t="inlineStr"/>
      <c r="C11" s="3">
        <f>COUNTIF(Measurements!F3:F3,"REMOVED")</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2026-10-10T12:20:01Z</dcterms:created>
  <dcterms:modified xmlns:dcterms="http://purl.org/dc/terms/" xmlns:xsi="http://www.w3.org/2001/XMLSchema-instance" xsi:type="dcterms:W3CDTF">2026-10-10T12:20:02Z</dcterms:modified>
</cp:coreProperties>
</file>