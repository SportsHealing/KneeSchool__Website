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3.11 Anterolateral Complex Biomechanics</t>
        </is>
      </c>
    </row>
    <row r="3">
      <c r="A3" s="2" t="inlineStr">
        <is>
          <t>Section</t>
        </is>
      </c>
      <c r="B3" s="3" t="inlineStr">
        <is>
          <t>3</t>
        </is>
      </c>
    </row>
    <row r="4">
      <c r="A4" s="2" t="inlineStr">
        <is>
          <t>Chapter</t>
        </is>
      </c>
      <c r="B4" s="3" t="inlineStr">
        <is>
          <t>3.11 Anterolateral Complex Biomechanics</t>
        </is>
      </c>
    </row>
    <row r="5">
      <c r="A5" s="2" t="inlineStr">
        <is>
          <t>Pages</t>
        </is>
      </c>
      <c r="B5" s="3" t="n">
        <v>9</v>
      </c>
    </row>
    <row r="6">
      <c r="A6" s="2" t="inlineStr">
        <is>
          <t>Page type</t>
        </is>
      </c>
      <c r="B6" s="3" t="inlineStr">
        <is>
          <t>biomechanics</t>
        </is>
      </c>
    </row>
    <row r="7">
      <c r="A7" s="2" t="inlineStr">
        <is>
          <t>Tiers</t>
        </is>
      </c>
      <c r="B7" s="3" t="inlineStr">
        <is>
          <t>medical student, mrcs, frcs, fellowship, consultant</t>
        </is>
      </c>
    </row>
    <row r="8">
      <c r="A8" s="2" t="inlineStr">
        <is>
          <t>Words</t>
        </is>
      </c>
      <c r="B8" s="3" t="inlineStr">
        <is>
          <t>10,869</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1</v>
      </c>
    </row>
    <row r="12">
      <c r="A12" s="2" t="inlineStr">
        <is>
          <t>Recommendations to sign</t>
        </is>
      </c>
      <c r="B12" s="3" t="n">
        <v>70</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3.11.1</t>
        </is>
      </c>
      <c r="B2" s="6" t="inlineStr">
        <is>
          <t>Iliotibial Band Function</t>
        </is>
      </c>
      <c r="C2" s="6" t="n">
        <v>3</v>
      </c>
      <c r="D2" s="6" t="n">
        <v>1169</v>
      </c>
      <c r="E2" s="6" t="inlineStr">
        <is>
          <t>biomechanics/iliotibial-band-function.html</t>
        </is>
      </c>
    </row>
    <row r="3">
      <c r="A3" s="6" t="inlineStr">
        <is>
          <t>3.11.2</t>
        </is>
      </c>
      <c r="B3" s="6" t="inlineStr">
        <is>
          <t>Kaplan Fibre Function</t>
        </is>
      </c>
      <c r="C3" s="6" t="n">
        <v>4</v>
      </c>
      <c r="D3" s="6" t="n">
        <v>1313</v>
      </c>
      <c r="E3" s="6" t="inlineStr">
        <is>
          <t>biomechanics/kaplan-fibre-function.html</t>
        </is>
      </c>
    </row>
    <row r="4">
      <c r="A4" s="6" t="inlineStr">
        <is>
          <t>3.11.3</t>
        </is>
      </c>
      <c r="B4" s="6" t="inlineStr">
        <is>
          <t>Anterolateral Ligament Function</t>
        </is>
      </c>
      <c r="C4" s="6" t="n">
        <v>4</v>
      </c>
      <c r="D4" s="6" t="n">
        <v>1351</v>
      </c>
      <c r="E4" s="6" t="inlineStr">
        <is>
          <t>biomechanics/anterolateral-ligament-function.html</t>
        </is>
      </c>
    </row>
    <row r="5">
      <c r="A5" s="6" t="inlineStr">
        <is>
          <t>3.11.4</t>
        </is>
      </c>
      <c r="B5" s="6" t="inlineStr">
        <is>
          <t>Pivot Shift Control</t>
        </is>
      </c>
      <c r="C5" s="6" t="n">
        <v>3</v>
      </c>
      <c r="D5" s="6" t="n">
        <v>1024</v>
      </c>
      <c r="E5" s="6" t="inlineStr">
        <is>
          <t>biomechanics/pivot-shift-control.html</t>
        </is>
      </c>
    </row>
    <row r="6">
      <c r="A6" s="6" t="inlineStr">
        <is>
          <t>3.11.5</t>
        </is>
      </c>
      <c r="B6" s="6" t="inlineStr">
        <is>
          <t>Internal Rotation Control</t>
        </is>
      </c>
      <c r="C6" s="6" t="n">
        <v>3</v>
      </c>
      <c r="D6" s="6" t="n">
        <v>1023</v>
      </c>
      <c r="E6" s="6" t="inlineStr">
        <is>
          <t>biomechanics/internal-rotation-control.html</t>
        </is>
      </c>
    </row>
    <row r="7">
      <c r="A7" s="6" t="inlineStr">
        <is>
          <t>3.11.6</t>
        </is>
      </c>
      <c r="B7" s="6" t="inlineStr">
        <is>
          <t>Segond Lesion Mechanics</t>
        </is>
      </c>
      <c r="C7" s="6" t="n">
        <v>3</v>
      </c>
      <c r="D7" s="6" t="n">
        <v>1053</v>
      </c>
      <c r="E7" s="6" t="inlineStr">
        <is>
          <t>biomechanics/segond-lesion-mechanics.html</t>
        </is>
      </c>
    </row>
    <row r="8">
      <c r="A8" s="6" t="inlineStr">
        <is>
          <t>3.11.7</t>
        </is>
      </c>
      <c r="B8" s="6" t="inlineStr">
        <is>
          <t>Lateral Extra-articular Tenodesis</t>
        </is>
      </c>
      <c r="C8" s="6" t="n">
        <v>4</v>
      </c>
      <c r="D8" s="6" t="n">
        <v>1308</v>
      </c>
      <c r="E8" s="6" t="inlineStr">
        <is>
          <t>biomechanics/lateral-extra-articular-tenodesis.html</t>
        </is>
      </c>
    </row>
    <row r="9">
      <c r="A9" s="6" t="inlineStr">
        <is>
          <t>3.11.8</t>
        </is>
      </c>
      <c r="B9" s="6" t="inlineStr">
        <is>
          <t>Combined ACL and ALL Reconstruction</t>
        </is>
      </c>
      <c r="C9" s="6" t="n">
        <v>4</v>
      </c>
      <c r="D9" s="6" t="n">
        <v>1300</v>
      </c>
      <c r="E9" s="6" t="inlineStr">
        <is>
          <t>biomechanics/combined-acl-and-all-reconstruction.html</t>
        </is>
      </c>
    </row>
    <row r="10">
      <c r="A10" s="6" t="inlineStr">
        <is>
          <t>3.11.9</t>
        </is>
      </c>
      <c r="B10" s="6" t="inlineStr">
        <is>
          <t>Contemporary Controversies</t>
        </is>
      </c>
      <c r="C10" s="6" t="n">
        <v>3</v>
      </c>
      <c r="D10" s="6" t="n">
        <v>1328</v>
      </c>
      <c r="E10" s="6" t="inlineStr">
        <is>
          <t>biomechanics/anterolateral-complex-controversies.html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3.11.1</t>
        </is>
      </c>
      <c r="B2" s="4" t="inlineStr">
        <is>
          <t>Iliotibial Band Function</t>
        </is>
      </c>
      <c r="C2" s="4" t="inlineStr">
        <is>
          <t>The tissue a tenodesis uses and the structure it reproduces are different statements.</t>
        </is>
      </c>
    </row>
    <row r="3">
      <c r="A3" s="4" t="inlineStr">
        <is>
          <t>3.11.1</t>
        </is>
      </c>
      <c r="B3" s="4" t="inlineStr">
        <is>
          <t>Iliotibial Band Function</t>
        </is>
      </c>
      <c r="C3" s="4" t="inlineStr">
        <is>
          <t>The restraint depends on the femoral fixation rather than on the tissue used.</t>
        </is>
      </c>
    </row>
    <row r="4">
      <c r="A4" s="4" t="inlineStr">
        <is>
          <t>3.11.1</t>
        </is>
      </c>
      <c r="B4" s="4" t="inlineStr">
        <is>
          <t>Iliotibial Band Function</t>
        </is>
      </c>
      <c r="C4" s="4" t="inlineStr">
        <is>
          <t>Routing deep to the lateral collateral sets the line of action.</t>
        </is>
      </c>
    </row>
    <row r="5">
      <c r="A5" s="4" t="inlineStr">
        <is>
          <t>3.11.1</t>
        </is>
      </c>
      <c r="B5" s="4" t="inlineStr">
        <is>
          <t>Iliotibial Band Function</t>
        </is>
      </c>
      <c r="C5" s="4" t="inlineStr">
        <is>
          <t>A strip harvest does not produce a measurable varus deficit in reported series.</t>
        </is>
      </c>
    </row>
    <row r="6">
      <c r="A6" s="4" t="inlineStr">
        <is>
          <t>3.11.1</t>
        </is>
      </c>
      <c r="B6" s="4" t="inlineStr">
        <is>
          <t>Iliotibial Band Function</t>
        </is>
      </c>
      <c r="C6" s="4" t="inlineStr">
        <is>
          <t>Femoral fixation is what makes a tenodesis a joint restraint.</t>
        </is>
      </c>
    </row>
    <row r="7">
      <c r="A7" s="4" t="inlineStr">
        <is>
          <t>3.11.2</t>
        </is>
      </c>
      <c r="B7" s="4" t="inlineStr">
        <is>
          <t>Kaplan Fibre Function</t>
        </is>
      </c>
      <c r="C7" s="4" t="inlineStr">
        <is>
          <t>The distinction changes the fixation point a little and the rationale a lot.</t>
        </is>
      </c>
    </row>
    <row r="8">
      <c r="A8" s="4" t="inlineStr">
        <is>
          <t>3.11.2</t>
        </is>
      </c>
      <c r="B8" s="4" t="inlineStr">
        <is>
          <t>Kaplan Fibre Function</t>
        </is>
      </c>
      <c r="C8" s="4" t="inlineStr">
        <is>
          <t>Cruciate tunnel, tenodesis fixation and corner reconstruction compete for the distal lateral femur.</t>
        </is>
      </c>
    </row>
    <row r="9">
      <c r="A9" s="4" t="inlineStr">
        <is>
          <t>3.11.2</t>
        </is>
      </c>
      <c r="B9" s="4" t="inlineStr">
        <is>
          <t>Kaplan Fibre Function</t>
        </is>
      </c>
      <c r="C9" s="4" t="inlineStr">
        <is>
          <t>Knowing the footprints is how convergence is avoided.</t>
        </is>
      </c>
    </row>
    <row r="10">
      <c r="A10" s="4" t="inlineStr">
        <is>
          <t>3.11.2</t>
        </is>
      </c>
      <c r="B10" s="4" t="inlineStr">
        <is>
          <t>Kaplan Fibre Function</t>
        </is>
      </c>
      <c r="C10" s="4" t="inlineStr">
        <is>
          <t>Route deep to the collateral and fix proximal and posterior to its origin.</t>
        </is>
      </c>
    </row>
    <row r="11">
      <c r="A11" s="4" t="inlineStr">
        <is>
          <t>3.11.2</t>
        </is>
      </c>
      <c r="B11" s="4" t="inlineStr">
        <is>
          <t>Kaplan Fibre Function</t>
        </is>
      </c>
      <c r="C11" s="4" t="inlineStr">
        <is>
          <t>The optimal point within the region is not established.</t>
        </is>
      </c>
    </row>
    <row r="12">
      <c r="A12" s="4" t="inlineStr">
        <is>
          <t>3.11.3</t>
        </is>
      </c>
      <c r="B12" s="4" t="inlineStr">
        <is>
          <t>Anterolateral Ligament Function</t>
        </is>
      </c>
      <c r="C12" s="4" t="inlineStr">
        <is>
          <t>The variables are over-constraint risk, tunnel competition and graft quantity.</t>
        </is>
      </c>
    </row>
    <row r="13">
      <c r="A13" s="4" t="inlineStr">
        <is>
          <t>3.11.3</t>
        </is>
      </c>
      <c r="B13" s="4" t="inlineStr">
        <is>
          <t>Anterolateral Ligament Function</t>
        </is>
      </c>
      <c r="C13" s="4" t="inlineStr">
        <is>
          <t>An anatomic reconstruction adds a tibial tunnel; a tenodesis does not.</t>
        </is>
      </c>
    </row>
    <row r="14">
      <c r="A14" s="4" t="inlineStr">
        <is>
          <t>3.11.3</t>
        </is>
      </c>
      <c r="B14" s="4" t="inlineStr">
        <is>
          <t>Anterolateral Ligament Function</t>
        </is>
      </c>
      <c r="C14" s="4" t="inlineStr">
        <is>
          <t>That is a geometric argument favouring the tenodesis in a crowded knee.</t>
        </is>
      </c>
    </row>
    <row r="15">
      <c r="A15" s="4" t="inlineStr">
        <is>
          <t>3.11.3</t>
        </is>
      </c>
      <c r="B15" s="4" t="inlineStr">
        <is>
          <t>Anterolateral Ligament Function</t>
        </is>
      </c>
      <c r="C15" s="4" t="inlineStr">
        <is>
          <t>It is independent of the evidence argument.</t>
        </is>
      </c>
    </row>
    <row r="16">
      <c r="A16" s="4" t="inlineStr">
        <is>
          <t>3.11.3</t>
        </is>
      </c>
      <c r="B16" s="4" t="inlineStr">
        <is>
          <t>Anterolateral Ligament Function</t>
        </is>
      </c>
      <c r="C16" s="4" t="inlineStr">
        <is>
          <t>No measurement establishes which construct suits a given knee.</t>
        </is>
      </c>
    </row>
    <row r="17">
      <c r="A17" s="4" t="inlineStr">
        <is>
          <t>3.11.4</t>
        </is>
      </c>
      <c r="B17" s="4" t="inlineStr">
        <is>
          <t>Pivot Shift Control</t>
        </is>
      </c>
      <c r="C17" s="4" t="inlineStr">
        <is>
          <t>Pivot shift control is the outcome a lateral procedure is added to achieve.</t>
        </is>
      </c>
    </row>
    <row r="18">
      <c r="A18" s="4" t="inlineStr">
        <is>
          <t>3.11.4</t>
        </is>
      </c>
      <c r="B18" s="4" t="inlineStr">
        <is>
          <t>Pivot Shift Control</t>
        </is>
      </c>
      <c r="C18" s="4" t="inlineStr">
        <is>
          <t>The grade is the indication.</t>
        </is>
      </c>
    </row>
    <row r="19">
      <c r="A19" s="4" t="inlineStr">
        <is>
          <t>3.11.4</t>
        </is>
      </c>
      <c r="B19" s="4" t="inlineStr">
        <is>
          <t>Pivot Shift Control</t>
        </is>
      </c>
      <c r="C19" s="4" t="inlineStr">
        <is>
          <t>The cruciate graft restores its share; the anterolateral share is not restored by it.</t>
        </is>
      </c>
    </row>
    <row r="20">
      <c r="A20" s="4" t="inlineStr">
        <is>
          <t>3.11.4</t>
        </is>
      </c>
      <c r="B20" s="4" t="inlineStr">
        <is>
          <t>Pivot Shift Control</t>
        </is>
      </c>
      <c r="C20" s="4" t="inlineStr">
        <is>
          <t>Residual shift is associated with poorer outcome and graft failure.</t>
        </is>
      </c>
    </row>
    <row r="21">
      <c r="A21" s="4" t="inlineStr">
        <is>
          <t>3.11.4</t>
        </is>
      </c>
      <c r="B21" s="4" t="inlineStr">
        <is>
          <t>Pivot Shift Control</t>
        </is>
      </c>
      <c r="C21" s="4" t="inlineStr">
        <is>
          <t>No threshold defines an acceptable residual shift.</t>
        </is>
      </c>
    </row>
    <row r="22">
      <c r="A22" s="4" t="inlineStr">
        <is>
          <t>3.11.5</t>
        </is>
      </c>
      <c r="B22" s="4" t="inlineStr">
        <is>
          <t>Internal Rotation Control</t>
        </is>
      </c>
      <c r="C22" s="4" t="inlineStr">
        <is>
          <t>Internal rotation control is what the anterolateral debate is about.</t>
        </is>
      </c>
    </row>
    <row r="23">
      <c r="A23" s="4" t="inlineStr">
        <is>
          <t>3.11.5</t>
        </is>
      </c>
      <c r="B23" s="4" t="inlineStr">
        <is>
          <t>Internal Rotation Control</t>
        </is>
      </c>
      <c r="C23" s="4" t="inlineStr">
        <is>
          <t>Over-constraint is the cost that makes it a real debate.</t>
        </is>
      </c>
    </row>
    <row r="24">
      <c r="A24" s="4" t="inlineStr">
        <is>
          <t>3.11.5</t>
        </is>
      </c>
      <c r="B24" s="4" t="inlineStr">
        <is>
          <t>Internal Rotation Control</t>
        </is>
      </c>
      <c r="C24" s="4" t="inlineStr">
        <is>
          <t>Excessive tension or external rotation at fixation restricts internal rotation.</t>
        </is>
      </c>
    </row>
    <row r="25">
      <c r="A25" s="4" t="inlineStr">
        <is>
          <t>3.11.5</t>
        </is>
      </c>
      <c r="B25" s="4" t="inlineStr">
        <is>
          <t>Internal Rotation Control</t>
        </is>
      </c>
      <c r="C25" s="4" t="inlineStr">
        <is>
          <t>Trials have not shown an excess of stiffness or lateral compartment problems.</t>
        </is>
      </c>
    </row>
    <row r="26">
      <c r="A26" s="4" t="inlineStr">
        <is>
          <t>3.11.5</t>
        </is>
      </c>
      <c r="B26" s="4" t="inlineStr">
        <is>
          <t>Internal Rotation Control</t>
        </is>
      </c>
      <c r="C26" s="4" t="inlineStr">
        <is>
          <t>No clinical measurement detects over-constraint before it is symptomatic.</t>
        </is>
      </c>
    </row>
    <row r="27">
      <c r="A27" s="4" t="inlineStr">
        <is>
          <t>3.11.6</t>
        </is>
      </c>
      <c r="B27" s="4" t="inlineStr">
        <is>
          <t>Segond Lesion Mechanics</t>
        </is>
      </c>
      <c r="C27" s="4" t="inlineStr">
        <is>
          <t>The lesion is direct evidence of anterolateral injury, usually only inferred.</t>
        </is>
      </c>
    </row>
    <row r="28">
      <c r="A28" s="4" t="inlineStr">
        <is>
          <t>3.11.6</t>
        </is>
      </c>
      <c r="B28" s="4" t="inlineStr">
        <is>
          <t>Segond Lesion Mechanics</t>
        </is>
      </c>
      <c r="C28" s="4" t="inlineStr">
        <is>
          <t>The fragment is not fixed unless it is large and displaced.</t>
        </is>
      </c>
    </row>
    <row r="29">
      <c r="A29" s="4" t="inlineStr">
        <is>
          <t>3.11.6</t>
        </is>
      </c>
      <c r="B29" s="4" t="inlineStr">
        <is>
          <t>Segond Lesion Mechanics</t>
        </is>
      </c>
      <c r="C29" s="4" t="inlineStr">
        <is>
          <t>Its value is diagnostic and prognostic rather than therapeutic.</t>
        </is>
      </c>
    </row>
    <row r="30">
      <c r="A30" s="4" t="inlineStr">
        <is>
          <t>3.11.6</t>
        </is>
      </c>
      <c r="B30" s="4" t="inlineStr">
        <is>
          <t>Segond Lesion Mechanics</t>
        </is>
      </c>
      <c r="C30" s="4" t="inlineStr">
        <is>
          <t>That is an unusual position for a fracture and worth stating.</t>
        </is>
      </c>
    </row>
    <row r="31">
      <c r="A31" s="4" t="inlineStr">
        <is>
          <t>3.11.6</t>
        </is>
      </c>
      <c r="B31" s="4" t="inlineStr">
        <is>
          <t>Segond Lesion Mechanics</t>
        </is>
      </c>
      <c r="C31" s="4" t="inlineStr">
        <is>
          <t>No evidence establishes that fixing it changes the result.</t>
        </is>
      </c>
    </row>
    <row r="32">
      <c r="A32" s="4" t="inlineStr">
        <is>
          <t>3.11.7</t>
        </is>
      </c>
      <c r="B32" s="4" t="inlineStr">
        <is>
          <t>Lateral Extra-articular Tenodesis</t>
        </is>
      </c>
      <c r="C32" s="4" t="inlineStr">
        <is>
          <t>The indications are a list rather than a principle.</t>
        </is>
      </c>
    </row>
    <row r="33">
      <c r="A33" s="4" t="inlineStr">
        <is>
          <t>3.11.7</t>
        </is>
      </c>
      <c r="B33" s="4" t="inlineStr">
        <is>
          <t>Lateral Extra-articular Tenodesis</t>
        </is>
      </c>
      <c r="C33" s="4" t="inlineStr">
        <is>
          <t>Each item is a statement about rotational demand or restraint.</t>
        </is>
      </c>
    </row>
    <row r="34">
      <c r="A34" s="4" t="inlineStr">
        <is>
          <t>3.11.7</t>
        </is>
      </c>
      <c r="B34" s="4" t="inlineStr">
        <is>
          <t>Lateral Extra-articular Tenodesis</t>
        </is>
      </c>
      <c r="C34" s="4" t="inlineStr">
        <is>
          <t>That is the principle the list is a proxy for.</t>
        </is>
      </c>
    </row>
    <row r="35">
      <c r="A35" s="4" t="inlineStr">
        <is>
          <t>3.11.7</t>
        </is>
      </c>
      <c r="B35" s="4" t="inlineStr">
        <is>
          <t>Lateral Extra-articular Tenodesis</t>
        </is>
      </c>
      <c r="C35" s="4" t="inlineStr">
        <is>
          <t>Femoral fixation crowding and cruciate tunnel interaction are the practical constraints.</t>
        </is>
      </c>
    </row>
    <row r="36">
      <c r="A36" s="4" t="inlineStr">
        <is>
          <t>3.11.7</t>
        </is>
      </c>
      <c r="B36" s="4" t="inlineStr">
        <is>
          <t>Lateral Extra-articular Tenodesis</t>
        </is>
      </c>
      <c r="C36" s="4" t="inlineStr">
        <is>
          <t>No measurement identifies the individual who needs one.</t>
        </is>
      </c>
    </row>
    <row r="37">
      <c r="A37" s="4" t="inlineStr">
        <is>
          <t>3.11.8</t>
        </is>
      </c>
      <c r="B37" s="4" t="inlineStr">
        <is>
          <t>Combined ACL and ALL Reconstruction</t>
        </is>
      </c>
      <c r="C37" s="4" t="inlineStr">
        <is>
          <t>The revision knee may need graft, lateral construct and slope correction together.</t>
        </is>
      </c>
    </row>
    <row r="38">
      <c r="A38" s="4" t="inlineStr">
        <is>
          <t>3.11.8</t>
        </is>
      </c>
      <c r="B38" s="4" t="inlineStr">
        <is>
          <t>Combined ACL and ALL Reconstruction</t>
        </is>
      </c>
      <c r="C38" s="4" t="inlineStr">
        <is>
          <t>A slope correcting osteotomy changes the anatomy a cruciate tunnel will use.</t>
        </is>
      </c>
    </row>
    <row r="39">
      <c r="A39" s="4" t="inlineStr">
        <is>
          <t>3.11.8</t>
        </is>
      </c>
      <c r="B39" s="4" t="inlineStr">
        <is>
          <t>Combined ACL and ALL Reconstruction</t>
        </is>
      </c>
      <c r="C39" s="4" t="inlineStr">
        <is>
          <t>A tenodesis adds no tibial tunnel, which is a geometric advantage in revision.</t>
        </is>
      </c>
    </row>
    <row r="40">
      <c r="A40" s="4" t="inlineStr">
        <is>
          <t>3.11.8</t>
        </is>
      </c>
      <c r="B40" s="4" t="inlineStr">
        <is>
          <t>Combined ACL and ALL Reconstruction</t>
        </is>
      </c>
      <c r="C40" s="4" t="inlineStr">
        <is>
          <t>Sequencing and tunnel geometry decide what is possible in one sitting.</t>
        </is>
      </c>
    </row>
    <row r="41">
      <c r="A41" s="4" t="inlineStr">
        <is>
          <t>3.11.8</t>
        </is>
      </c>
      <c r="B41" s="4" t="inlineStr">
        <is>
          <t>Combined ACL and ALL Reconstruction</t>
        </is>
      </c>
      <c r="C41" s="4" t="inlineStr">
        <is>
          <t>No measurement establishes the optimal sequence.</t>
        </is>
      </c>
    </row>
    <row r="42">
      <c r="A42" s="4" t="inlineStr">
        <is>
          <t>3.11.9</t>
        </is>
      </c>
      <c r="B42" s="4" t="inlineStr">
        <is>
          <t>Contemporary Controversies</t>
        </is>
      </c>
      <c r="C42" s="4" t="inlineStr">
        <is>
          <t>Augmentation adds restraint; slope correction reduces demand.</t>
        </is>
      </c>
    </row>
    <row r="43">
      <c r="A43" s="4" t="inlineStr">
        <is>
          <t>3.11.9</t>
        </is>
      </c>
      <c r="B43" s="4" t="inlineStr">
        <is>
          <t>Contemporary Controversies</t>
        </is>
      </c>
      <c r="C43" s="4" t="inlineStr">
        <is>
          <t>That is the difference between a stronger rope and a lighter load.</t>
        </is>
      </c>
    </row>
    <row r="44">
      <c r="A44" s="4" t="inlineStr">
        <is>
          <t>3.11.9</t>
        </is>
      </c>
      <c r="B44" s="4" t="inlineStr">
        <is>
          <t>Contemporary Controversies</t>
        </is>
      </c>
      <c r="C44" s="4" t="inlineStr">
        <is>
          <t>They are not equivalent and no trial compares them directly.</t>
        </is>
      </c>
    </row>
    <row r="45">
      <c r="A45" s="4" t="inlineStr">
        <is>
          <t>3.11.9</t>
        </is>
      </c>
      <c r="B45" s="4" t="inlineStr">
        <is>
          <t>Contemporary Controversies</t>
        </is>
      </c>
      <c r="C45" s="4" t="inlineStr">
        <is>
          <t>Previous failure raises the threshold for doing less.</t>
        </is>
      </c>
    </row>
    <row r="46">
      <c r="A46" s="4" t="inlineStr">
        <is>
          <t>3.11.9</t>
        </is>
      </c>
      <c r="B46" s="4" t="inlineStr">
        <is>
          <t>Contemporary Controversies</t>
        </is>
      </c>
      <c r="C46" s="4" t="inlineStr">
        <is>
          <t>Both may be needed in the knee that failed once.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3.11.1-P1</t>
        </is>
      </c>
      <c r="B3" s="4" t="inlineStr">
        <is>
          <t>3.11.1</t>
        </is>
      </c>
      <c r="C3" s="4" t="inlineStr">
        <is>
          <t>mrcs</t>
        </is>
      </c>
      <c r="D3" s="4" t="inlineStr">
        <is>
          <t>Expect its varus contribution to rise with flexion as the collateral slackens.</t>
        </is>
      </c>
      <c r="E3" s="4" t="inlineStr"/>
      <c r="F3" s="4" t="inlineStr"/>
      <c r="G3" s="4" t="inlineStr"/>
    </row>
    <row r="4">
      <c r="A4" s="4" t="inlineStr">
        <is>
          <t>3.11.1-P2</t>
        </is>
      </c>
      <c r="B4" s="4" t="inlineStr">
        <is>
          <t>3.11.1</t>
        </is>
      </c>
      <c r="C4" s="4" t="inlineStr">
        <is>
          <t>frcs</t>
        </is>
      </c>
      <c r="D4" s="4" t="inlineStr">
        <is>
          <t>Treat the band as the tissue a tenodesis uses and the deep fibres as the structure a tenodesis is trying to reproduce, which are two different statements that get conflated.</t>
        </is>
      </c>
      <c r="E4" s="4" t="inlineStr"/>
      <c r="F4" s="4" t="inlineStr"/>
      <c r="G4" s="4" t="inlineStr"/>
    </row>
    <row r="5">
      <c r="A5" s="4" t="inlineStr">
        <is>
          <t>3.11.1-P3</t>
        </is>
      </c>
      <c r="B5" s="4" t="inlineStr">
        <is>
          <t>3.11.1</t>
        </is>
      </c>
      <c r="C5" s="4" t="inlineStr">
        <is>
          <t>frcs</t>
        </is>
      </c>
      <c r="D5" s="4" t="inlineStr">
        <is>
          <t>Expect no measurable varus deficit from a strip harvest.</t>
        </is>
      </c>
      <c r="E5" s="4" t="inlineStr"/>
      <c r="F5" s="4" t="inlineStr"/>
      <c r="G5" s="4" t="inlineStr"/>
    </row>
    <row r="6">
      <c r="A6" s="4" t="inlineStr">
        <is>
          <t>3.11.1-P4</t>
        </is>
      </c>
      <c r="B6" s="4" t="inlineStr">
        <is>
          <t>3.11.1</t>
        </is>
      </c>
      <c r="C6" s="4" t="inlineStr">
        <is>
          <t>frcs</t>
        </is>
      </c>
      <c r="D6" s="4" t="inlineStr">
        <is>
          <t>Keep the tissue used and the structure reproduced as separate statements.</t>
        </is>
      </c>
      <c r="E6" s="4" t="inlineStr"/>
      <c r="F6" s="4" t="inlineStr"/>
      <c r="G6" s="4" t="inlineStr"/>
    </row>
    <row r="7">
      <c r="A7" s="4" t="inlineStr">
        <is>
          <t>3.11.2-P1</t>
        </is>
      </c>
      <c r="B7" s="4" t="inlineStr">
        <is>
          <t>3.11.2</t>
        </is>
      </c>
      <c r="C7" s="4" t="inlineStr">
        <is>
          <t>mrcs</t>
        </is>
      </c>
      <c r="D7" s="4" t="inlineStr">
        <is>
          <t>Expect a femoral anchor to be necessary for any anterolateral rotational restraint.</t>
        </is>
      </c>
      <c r="E7" s="4" t="inlineStr"/>
      <c r="F7" s="4" t="inlineStr"/>
      <c r="G7" s="4" t="inlineStr"/>
    </row>
    <row r="8">
      <c r="A8" s="4" t="inlineStr">
        <is>
          <t>3.11.2-P2</t>
        </is>
      </c>
      <c r="B8" s="4" t="inlineStr">
        <is>
          <t>3.11.2</t>
        </is>
      </c>
      <c r="C8" s="4" t="inlineStr">
        <is>
          <t>mrcs</t>
        </is>
      </c>
      <c r="D8" s="4" t="inlineStr">
        <is>
          <t>Read their consistency in dissection as the point distinguishing them from the anterolateral ligament.</t>
        </is>
      </c>
      <c r="E8" s="4" t="inlineStr"/>
      <c r="F8" s="4" t="inlineStr"/>
      <c r="G8" s="4" t="inlineStr"/>
    </row>
    <row r="9">
      <c r="A9" s="4" t="inlineStr">
        <is>
          <t>3.11.2-P3</t>
        </is>
      </c>
      <c r="B9" s="4" t="inlineStr">
        <is>
          <t>3.11.2</t>
        </is>
      </c>
      <c r="C9" s="4" t="inlineStr">
        <is>
          <t>frcs</t>
        </is>
      </c>
      <c r="D9" s="4" t="inlineStr">
        <is>
          <t>Treat the Kaplan fibres as the structure that makes the tenodesis a reconstruction rather than an improvisation.</t>
        </is>
      </c>
      <c r="E9" s="4" t="inlineStr"/>
      <c r="F9" s="4" t="inlineStr"/>
      <c r="G9" s="4" t="inlineStr"/>
    </row>
    <row r="10">
      <c r="A10" s="4" t="inlineStr">
        <is>
          <t>3.11.2-P4</t>
        </is>
      </c>
      <c r="B10" s="4" t="inlineStr">
        <is>
          <t>3.11.2</t>
        </is>
      </c>
      <c r="C10" s="4" t="inlineStr">
        <is>
          <t>frcs</t>
        </is>
      </c>
      <c r="D10" s="4" t="inlineStr">
        <is>
          <t>Treat the complex rather than a single structure as the target.</t>
        </is>
      </c>
      <c r="E10" s="4" t="inlineStr"/>
      <c r="F10" s="4" t="inlineStr"/>
      <c r="G10" s="4" t="inlineStr"/>
    </row>
    <row r="11">
      <c r="A11" s="4" t="inlineStr">
        <is>
          <t>3.11.2-P5</t>
        </is>
      </c>
      <c r="B11" s="4" t="inlineStr">
        <is>
          <t>3.11.2</t>
        </is>
      </c>
      <c r="C11" s="4" t="inlineStr">
        <is>
          <t>frcs</t>
        </is>
      </c>
      <c r="D11" s="4" t="inlineStr">
        <is>
          <t>Expect no measurement to confirm which structure a construct reproduces.</t>
        </is>
      </c>
      <c r="E11" s="4" t="inlineStr"/>
      <c r="F11" s="4" t="inlineStr"/>
      <c r="G11" s="4" t="inlineStr"/>
    </row>
    <row r="12">
      <c r="A12" s="4" t="inlineStr">
        <is>
          <t>3.11.2-P6</t>
        </is>
      </c>
      <c r="B12" s="4" t="inlineStr">
        <is>
          <t>3.11.2</t>
        </is>
      </c>
      <c r="C12" s="4" t="inlineStr">
        <is>
          <t>fellowship</t>
        </is>
      </c>
      <c r="D12" s="4" t="inlineStr">
        <is>
          <t>Plan distal lateral femoral fixation positions together when several are needed.</t>
        </is>
      </c>
      <c r="E12" s="4" t="inlineStr"/>
      <c r="F12" s="4" t="inlineStr"/>
      <c r="G12" s="4" t="inlineStr"/>
    </row>
    <row r="13">
      <c r="A13" s="4" t="inlineStr">
        <is>
          <t>3.11.2-P7</t>
        </is>
      </c>
      <c r="B13" s="4" t="inlineStr">
        <is>
          <t>3.11.2</t>
        </is>
      </c>
      <c r="C13" s="4" t="inlineStr">
        <is>
          <t>fellowship</t>
        </is>
      </c>
      <c r="D13" s="4" t="inlineStr">
        <is>
          <t>Accept that the optimal point within the region is not established.</t>
        </is>
      </c>
      <c r="E13" s="4" t="inlineStr"/>
      <c r="F13" s="4" t="inlineStr"/>
      <c r="G13" s="4" t="inlineStr"/>
    </row>
    <row r="14">
      <c r="A14" s="4" t="inlineStr">
        <is>
          <t>3.11.3-P1</t>
        </is>
      </c>
      <c r="B14" s="4" t="inlineStr">
        <is>
          <t>3.11.3</t>
        </is>
      </c>
      <c r="C14" s="4" t="inlineStr">
        <is>
          <t>mrcs</t>
        </is>
      </c>
      <c r="D14" s="4" t="inlineStr">
        <is>
          <t>Use the complex as the term and the region as the unit when discussing function.</t>
        </is>
      </c>
      <c r="E14" s="4" t="inlineStr"/>
      <c r="F14" s="4" t="inlineStr"/>
      <c r="G14" s="4" t="inlineStr"/>
    </row>
    <row r="15">
      <c r="A15" s="4" t="inlineStr">
        <is>
          <t>3.11.3-P2</t>
        </is>
      </c>
      <c r="B15" s="4" t="inlineStr">
        <is>
          <t>3.11.3</t>
        </is>
      </c>
      <c r="C15" s="4" t="inlineStr">
        <is>
          <t>mrcs</t>
        </is>
      </c>
      <c r="D15" s="4" t="inlineStr">
        <is>
          <t>Expect prevalence figures to vary between dissection studies.</t>
        </is>
      </c>
      <c r="E15" s="4" t="inlineStr"/>
      <c r="F15" s="4" t="inlineStr"/>
      <c r="G15" s="4" t="inlineStr"/>
    </row>
    <row r="16">
      <c r="A16" s="4" t="inlineStr">
        <is>
          <t>3.11.3-P3</t>
        </is>
      </c>
      <c r="B16" s="4" t="inlineStr">
        <is>
          <t>3.11.3</t>
        </is>
      </c>
      <c r="C16" s="4" t="inlineStr">
        <is>
          <t>mrcs</t>
        </is>
      </c>
      <c r="D16" s="4" t="inlineStr">
        <is>
          <t>Treat its contribution as clinically relevant in combination with cruciate injury.</t>
        </is>
      </c>
      <c r="E16" s="4" t="inlineStr"/>
      <c r="F16" s="4" t="inlineStr"/>
      <c r="G16" s="4" t="inlineStr"/>
    </row>
    <row r="17">
      <c r="A17" s="4" t="inlineStr">
        <is>
          <t>3.11.3-P4</t>
        </is>
      </c>
      <c r="B17" s="4" t="inlineStr">
        <is>
          <t>3.11.3</t>
        </is>
      </c>
      <c r="C17" s="4" t="inlineStr">
        <is>
          <t>frcs</t>
        </is>
      </c>
      <c r="D17" s="4" t="inlineStr">
        <is>
          <t>Treat the structure as real enough to reconstruct and disputed enough that the reconstruction's rationale should be stated regionally rather than anatomically.</t>
        </is>
      </c>
      <c r="E17" s="4" t="inlineStr"/>
      <c r="F17" s="4" t="inlineStr"/>
      <c r="G17" s="4" t="inlineStr"/>
    </row>
    <row r="18">
      <c r="A18" s="4" t="inlineStr">
        <is>
          <t>3.11.3-P5</t>
        </is>
      </c>
      <c r="B18" s="4" t="inlineStr">
        <is>
          <t>3.11.3</t>
        </is>
      </c>
      <c r="C18" s="4" t="inlineStr">
        <is>
          <t>frcs</t>
        </is>
      </c>
      <c r="D18" s="4" t="inlineStr">
        <is>
          <t>State the rationale regionally rather than anatomically when discussing the structure.</t>
        </is>
      </c>
      <c r="E18" s="4" t="inlineStr"/>
      <c r="F18" s="4" t="inlineStr"/>
      <c r="G18" s="4" t="inlineStr"/>
    </row>
    <row r="19">
      <c r="A19" s="4" t="inlineStr">
        <is>
          <t>3.11.3-P6</t>
        </is>
      </c>
      <c r="B19" s="4" t="inlineStr">
        <is>
          <t>3.11.3</t>
        </is>
      </c>
      <c r="C19" s="4" t="inlineStr">
        <is>
          <t>fellowship</t>
        </is>
      </c>
      <c r="D19" s="4" t="inlineStr">
        <is>
          <t>Prefer a tenodesis where tibial tunnel crowding is a constraint.</t>
        </is>
      </c>
      <c r="E19" s="4" t="inlineStr"/>
      <c r="F19" s="4" t="inlineStr"/>
      <c r="G19" s="4" t="inlineStr"/>
    </row>
    <row r="20">
      <c r="A20" s="4" t="inlineStr">
        <is>
          <t>3.11.3-P7</t>
        </is>
      </c>
      <c r="B20" s="4" t="inlineStr">
        <is>
          <t>3.11.3</t>
        </is>
      </c>
      <c r="C20" s="4" t="inlineStr">
        <is>
          <t>fellowship</t>
        </is>
      </c>
      <c r="D20" s="4" t="inlineStr">
        <is>
          <t>Plan femoral fixation positions together when several are needed.</t>
        </is>
      </c>
      <c r="E20" s="4" t="inlineStr"/>
      <c r="F20" s="4" t="inlineStr"/>
      <c r="G20" s="4" t="inlineStr"/>
    </row>
    <row r="21">
      <c r="A21" s="4" t="inlineStr">
        <is>
          <t>3.11.3-P8</t>
        </is>
      </c>
      <c r="B21" s="4" t="inlineStr">
        <is>
          <t>3.11.3</t>
        </is>
      </c>
      <c r="C21" s="4" t="inlineStr">
        <is>
          <t>fellowship</t>
        </is>
      </c>
      <c r="D21" s="4" t="inlineStr">
        <is>
          <t>Accept that no measurement matches construct to knee.</t>
        </is>
      </c>
      <c r="E21" s="4" t="inlineStr"/>
      <c r="F21" s="4" t="inlineStr"/>
      <c r="G21" s="4" t="inlineStr"/>
    </row>
    <row r="22">
      <c r="A22" s="4" t="inlineStr">
        <is>
          <t>3.11.4-P1</t>
        </is>
      </c>
      <c r="B22" s="4" t="inlineStr">
        <is>
          <t>3.11.4</t>
        </is>
      </c>
      <c r="C22" s="4" t="inlineStr">
        <is>
          <t>mrcs</t>
        </is>
      </c>
      <c r="D22" s="4" t="inlineStr">
        <is>
          <t>Read a high grade as narrowing the possibilities rather than naming a structure.</t>
        </is>
      </c>
      <c r="E22" s="4" t="inlineStr"/>
      <c r="F22" s="4" t="inlineStr"/>
      <c r="G22" s="4" t="inlineStr"/>
    </row>
    <row r="23">
      <c r="A23" s="4" t="inlineStr">
        <is>
          <t>3.11.4-P2</t>
        </is>
      </c>
      <c r="B23" s="4" t="inlineStr">
        <is>
          <t>3.11.4</t>
        </is>
      </c>
      <c r="C23" s="4" t="inlineStr">
        <is>
          <t>mrcs</t>
        </is>
      </c>
      <c r="D23" s="4" t="inlineStr">
        <is>
          <t>Consider lateral meniscal injury as well as anterolateral injury in a high grade.</t>
        </is>
      </c>
      <c r="E23" s="4" t="inlineStr"/>
      <c r="F23" s="4" t="inlineStr"/>
      <c r="G23" s="4" t="inlineStr"/>
    </row>
    <row r="24">
      <c r="A24" s="4" t="inlineStr">
        <is>
          <t>3.11.4-P3</t>
        </is>
      </c>
      <c r="B24" s="4" t="inlineStr">
        <is>
          <t>3.11.4</t>
        </is>
      </c>
      <c r="C24" s="4" t="inlineStr">
        <is>
          <t>mrcs</t>
        </is>
      </c>
      <c r="D24" s="4" t="inlineStr">
        <is>
          <t>Measure slope where the grade exceeds what the injury explains.</t>
        </is>
      </c>
      <c r="E24" s="4" t="inlineStr"/>
      <c r="F24" s="4" t="inlineStr"/>
      <c r="G24" s="4" t="inlineStr"/>
    </row>
    <row r="25">
      <c r="A25" s="4" t="inlineStr">
        <is>
          <t>3.11.4-P4</t>
        </is>
      </c>
      <c r="B25" s="4" t="inlineStr">
        <is>
          <t>3.11.4</t>
        </is>
      </c>
      <c r="C25" s="4" t="inlineStr">
        <is>
          <t>mrcs</t>
        </is>
      </c>
      <c r="D25" s="4" t="inlineStr">
        <is>
          <t>Grade under anaesthetic where the grade will change the operation.</t>
        </is>
      </c>
      <c r="E25" s="4" t="inlineStr"/>
      <c r="F25" s="4" t="inlineStr"/>
      <c r="G25" s="4" t="inlineStr"/>
    </row>
    <row r="26">
      <c r="A26" s="4" t="inlineStr">
        <is>
          <t>3.11.4-P5</t>
        </is>
      </c>
      <c r="B26" s="4" t="inlineStr">
        <is>
          <t>3.11.4</t>
        </is>
      </c>
      <c r="C26" s="4" t="inlineStr">
        <is>
          <t>frcs</t>
        </is>
      </c>
      <c r="D26" s="4" t="inlineStr">
        <is>
          <t>Treat pivot shift control as the outcome a lateral procedure is added to achieve, and the grade as the indication.</t>
        </is>
      </c>
      <c r="E26" s="4" t="inlineStr"/>
      <c r="F26" s="4" t="inlineStr"/>
      <c r="G26" s="4" t="inlineStr"/>
    </row>
    <row r="27">
      <c r="A27" s="4" t="inlineStr">
        <is>
          <t>3.11.4-P6</t>
        </is>
      </c>
      <c r="B27" s="4" t="inlineStr">
        <is>
          <t>3.11.4</t>
        </is>
      </c>
      <c r="C27" s="4" t="inlineStr">
        <is>
          <t>frcs</t>
        </is>
      </c>
      <c r="D27" s="4" t="inlineStr">
        <is>
          <t>Check the pivot shift under anaesthetic after cruciate fixation.</t>
        </is>
      </c>
      <c r="E27" s="4" t="inlineStr"/>
      <c r="F27" s="4" t="inlineStr"/>
      <c r="G27" s="4" t="inlineStr"/>
    </row>
    <row r="28">
      <c r="A28" s="4" t="inlineStr">
        <is>
          <t>3.11.4-P7</t>
        </is>
      </c>
      <c r="B28" s="4" t="inlineStr">
        <is>
          <t>3.11.4</t>
        </is>
      </c>
      <c r="C28" s="4" t="inlineStr">
        <is>
          <t>frcs</t>
        </is>
      </c>
      <c r="D28" s="4" t="inlineStr">
        <is>
          <t>Add a lateral procedure where the grade or the population indicates it.</t>
        </is>
      </c>
      <c r="E28" s="4" t="inlineStr"/>
      <c r="F28" s="4" t="inlineStr"/>
      <c r="G28" s="4" t="inlineStr"/>
    </row>
    <row r="29">
      <c r="A29" s="4" t="inlineStr">
        <is>
          <t>3.11.4-P8</t>
        </is>
      </c>
      <c r="B29" s="4" t="inlineStr">
        <is>
          <t>3.11.4</t>
        </is>
      </c>
      <c r="C29" s="4" t="inlineStr">
        <is>
          <t>frcs</t>
        </is>
      </c>
      <c r="D29" s="4" t="inlineStr">
        <is>
          <t>Repair the lateral posterior horn, which also controls the subluxation.</t>
        </is>
      </c>
      <c r="E29" s="4" t="inlineStr"/>
      <c r="F29" s="4" t="inlineStr"/>
      <c r="G29" s="4" t="inlineStr"/>
    </row>
    <row r="30">
      <c r="A30" s="4" t="inlineStr">
        <is>
          <t>3.11.4-P9</t>
        </is>
      </c>
      <c r="B30" s="4" t="inlineStr">
        <is>
          <t>3.11.4</t>
        </is>
      </c>
      <c r="C30" s="4" t="inlineStr">
        <is>
          <t>frcs</t>
        </is>
      </c>
      <c r="D30" s="4" t="inlineStr">
        <is>
          <t>Measure slope in a high grade shift, particularly before revision.</t>
        </is>
      </c>
      <c r="E30" s="4" t="inlineStr"/>
      <c r="F30" s="4" t="inlineStr"/>
      <c r="G30" s="4" t="inlineStr"/>
    </row>
    <row r="31">
      <c r="A31" s="4" t="inlineStr">
        <is>
          <t>3.11.5-P1</t>
        </is>
      </c>
      <c r="B31" s="4" t="inlineStr">
        <is>
          <t>3.11.5</t>
        </is>
      </c>
      <c r="C31" s="4" t="inlineStr">
        <is>
          <t>mrcs</t>
        </is>
      </c>
      <c r="D31" s="4" t="inlineStr">
        <is>
          <t>Repair the lateral posterior horn, which has a rotational rationale.</t>
        </is>
      </c>
      <c r="E31" s="4" t="inlineStr"/>
      <c r="F31" s="4" t="inlineStr"/>
      <c r="G31" s="4" t="inlineStr"/>
    </row>
    <row r="32">
      <c r="A32" s="4" t="inlineStr">
        <is>
          <t>3.11.5-P2</t>
        </is>
      </c>
      <c r="B32" s="4" t="inlineStr">
        <is>
          <t>3.11.5</t>
        </is>
      </c>
      <c r="C32" s="4" t="inlineStr">
        <is>
          <t>mrcs</t>
        </is>
      </c>
      <c r="D32" s="4" t="inlineStr">
        <is>
          <t>Measure slope where rotation exceeds what the injury explains.</t>
        </is>
      </c>
      <c r="E32" s="4" t="inlineStr"/>
      <c r="F32" s="4" t="inlineStr"/>
      <c r="G32" s="4" t="inlineStr"/>
    </row>
    <row r="33">
      <c r="A33" s="4" t="inlineStr">
        <is>
          <t>3.11.5-P3</t>
        </is>
      </c>
      <c r="B33" s="4" t="inlineStr">
        <is>
          <t>3.11.5</t>
        </is>
      </c>
      <c r="C33" s="4" t="inlineStr">
        <is>
          <t>frcs</t>
        </is>
      </c>
      <c r="D33" s="4" t="inlineStr">
        <is>
          <t>Treat internal rotation control as the quantity the whole anterolateral debate is about, and over-constraint as the cost that makes the debate a real one.</t>
        </is>
      </c>
      <c r="E33" s="4" t="inlineStr"/>
      <c r="F33" s="4" t="inlineStr"/>
      <c r="G33" s="4" t="inlineStr"/>
    </row>
    <row r="34">
      <c r="A34" s="4" t="inlineStr">
        <is>
          <t>3.11.5-P4</t>
        </is>
      </c>
      <c r="B34" s="4" t="inlineStr">
        <is>
          <t>3.11.5</t>
        </is>
      </c>
      <c r="C34" s="4" t="inlineStr">
        <is>
          <t>frcs</t>
        </is>
      </c>
      <c r="D34" s="4" t="inlineStr">
        <is>
          <t>Expect cadaveric over-constraint risk not to have appeared as clinical stiffness in trials.</t>
        </is>
      </c>
      <c r="E34" s="4" t="inlineStr"/>
      <c r="F34" s="4" t="inlineStr"/>
      <c r="G34" s="4" t="inlineStr"/>
    </row>
    <row r="35">
      <c r="A35" s="4" t="inlineStr">
        <is>
          <t>3.11.5-P5</t>
        </is>
      </c>
      <c r="B35" s="4" t="inlineStr">
        <is>
          <t>3.11.5</t>
        </is>
      </c>
      <c r="C35" s="4" t="inlineStr">
        <is>
          <t>frcs</t>
        </is>
      </c>
      <c r="D35" s="4" t="inlineStr">
        <is>
          <t>Plan the two constructs' tunnels together, since they interact.</t>
        </is>
      </c>
      <c r="E35" s="4" t="inlineStr"/>
      <c r="F35" s="4" t="inlineStr"/>
      <c r="G35" s="4" t="inlineStr"/>
    </row>
    <row r="36">
      <c r="A36" s="4" t="inlineStr">
        <is>
          <t>3.11.6-P1</t>
        </is>
      </c>
      <c r="B36" s="4" t="inlineStr">
        <is>
          <t>3.11.6</t>
        </is>
      </c>
      <c r="C36" s="4" t="inlineStr">
        <is>
          <t>medical_student</t>
        </is>
      </c>
      <c r="D36" s="4" t="inlineStr">
        <is>
          <t>Seeing it on a plain radiograph should prompt a search for a cruciate injury rather than treatment of the fragment.</t>
        </is>
      </c>
      <c r="E36" s="4" t="inlineStr"/>
      <c r="F36" s="4" t="inlineStr"/>
      <c r="G36" s="4" t="inlineStr"/>
    </row>
    <row r="37">
      <c r="A37" s="4" t="inlineStr">
        <is>
          <t>3.11.6-P2</t>
        </is>
      </c>
      <c r="B37" s="4" t="inlineStr">
        <is>
          <t>3.11.6</t>
        </is>
      </c>
      <c r="C37" s="4" t="inlineStr">
        <is>
          <t>mrcs</t>
        </is>
      </c>
      <c r="D37" s="4" t="inlineStr">
        <is>
          <t>Read it as indicating anterolateral and cruciate injury rather than as a fracture to treat.</t>
        </is>
      </c>
      <c r="E37" s="4" t="inlineStr"/>
      <c r="F37" s="4" t="inlineStr"/>
      <c r="G37" s="4" t="inlineStr"/>
    </row>
    <row r="38">
      <c r="A38" s="4" t="inlineStr">
        <is>
          <t>3.11.6-P3</t>
        </is>
      </c>
      <c r="B38" s="4" t="inlineStr">
        <is>
          <t>3.11.6</t>
        </is>
      </c>
      <c r="C38" s="4" t="inlineStr">
        <is>
          <t>mrcs</t>
        </is>
      </c>
      <c r="D38" s="4" t="inlineStr">
        <is>
          <t>Expect a higher grade pivot shift where it is present.</t>
        </is>
      </c>
      <c r="E38" s="4" t="inlineStr"/>
      <c r="F38" s="4" t="inlineStr"/>
      <c r="G38" s="4" t="inlineStr"/>
    </row>
    <row r="39">
      <c r="A39" s="4" t="inlineStr">
        <is>
          <t>3.11.6-P4</t>
        </is>
      </c>
      <c r="B39" s="4" t="inlineStr">
        <is>
          <t>3.11.6</t>
        </is>
      </c>
      <c r="C39" s="4" t="inlineStr">
        <is>
          <t>mrcs</t>
        </is>
      </c>
      <c r="D39" s="4" t="inlineStr">
        <is>
          <t>Use it as evidence of an attachment region rather than of a named structure.</t>
        </is>
      </c>
      <c r="E39" s="4" t="inlineStr"/>
      <c r="F39" s="4" t="inlineStr"/>
      <c r="G39" s="4" t="inlineStr"/>
    </row>
    <row r="40">
      <c r="A40" s="4" t="inlineStr">
        <is>
          <t>3.11.6-P5</t>
        </is>
      </c>
      <c r="B40" s="4" t="inlineStr">
        <is>
          <t>3.11.6</t>
        </is>
      </c>
      <c r="C40" s="4" t="inlineStr">
        <is>
          <t>frcs</t>
        </is>
      </c>
      <c r="D40" s="4" t="inlineStr">
        <is>
          <t>Treat the lesion as an indication to consider a lateral procedure, on the ground that it is direct evidence of anterolateral injury in a knee where that is otherwise inferred.</t>
        </is>
      </c>
      <c r="E40" s="4" t="inlineStr"/>
      <c r="F40" s="4" t="inlineStr"/>
      <c r="G40" s="4" t="inlineStr"/>
    </row>
    <row r="41">
      <c r="A41" s="4" t="inlineStr">
        <is>
          <t>3.11.6-P6</t>
        </is>
      </c>
      <c r="B41" s="4" t="inlineStr">
        <is>
          <t>3.11.6</t>
        </is>
      </c>
      <c r="C41" s="4" t="inlineStr">
        <is>
          <t>frcs</t>
        </is>
      </c>
      <c r="D41" s="4" t="inlineStr">
        <is>
          <t>Consider a lateral procedure where the lesion is present.</t>
        </is>
      </c>
      <c r="E41" s="4" t="inlineStr"/>
      <c r="F41" s="4" t="inlineStr"/>
      <c r="G41" s="4" t="inlineStr"/>
    </row>
    <row r="42">
      <c r="A42" s="4" t="inlineStr">
        <is>
          <t>3.11.6-P7</t>
        </is>
      </c>
      <c r="B42" s="4" t="inlineStr">
        <is>
          <t>3.11.6</t>
        </is>
      </c>
      <c r="C42" s="4" t="inlineStr">
        <is>
          <t>frcs</t>
        </is>
      </c>
      <c r="D42" s="4" t="inlineStr">
        <is>
          <t>Leave the fragment unfixed unless it is large and displaced.</t>
        </is>
      </c>
      <c r="E42" s="4" t="inlineStr"/>
      <c r="F42" s="4" t="inlineStr"/>
      <c r="G42" s="4" t="inlineStr"/>
    </row>
    <row r="43">
      <c r="A43" s="4" t="inlineStr">
        <is>
          <t>3.11.6-P8</t>
        </is>
      </c>
      <c r="B43" s="4" t="inlineStr">
        <is>
          <t>3.11.6</t>
        </is>
      </c>
      <c r="C43" s="4" t="inlineStr">
        <is>
          <t>frcs</t>
        </is>
      </c>
      <c r="D43" s="4" t="inlineStr">
        <is>
          <t>Grade the pivot shift under anaesthetic, which the lesion predicts will be higher.</t>
        </is>
      </c>
      <c r="E43" s="4" t="inlineStr"/>
      <c r="F43" s="4" t="inlineStr"/>
      <c r="G43" s="4" t="inlineStr"/>
    </row>
    <row r="44">
      <c r="A44" s="4" t="inlineStr">
        <is>
          <t>3.11.7-P1</t>
        </is>
      </c>
      <c r="B44" s="4" t="inlineStr">
        <is>
          <t>3.11.7</t>
        </is>
      </c>
      <c r="C44" s="4" t="inlineStr">
        <is>
          <t>frcs</t>
        </is>
      </c>
      <c r="D44" s="4" t="inlineStr">
        <is>
          <t>Treat the tenodesis as the augmentation with the strongest clinical evidence and the weakest anatomical rationale, and treat that combination as acceptable.</t>
        </is>
      </c>
      <c r="E44" s="4" t="inlineStr"/>
      <c r="F44" s="4" t="inlineStr"/>
      <c r="G44" s="4" t="inlineStr"/>
    </row>
    <row r="45">
      <c r="A45" s="4" t="inlineStr">
        <is>
          <t>3.11.7-P2</t>
        </is>
      </c>
      <c r="B45" s="4" t="inlineStr">
        <is>
          <t>3.11.7</t>
        </is>
      </c>
      <c r="C45" s="4" t="inlineStr">
        <is>
          <t>frcs</t>
        </is>
      </c>
      <c r="D45" s="4" t="inlineStr">
        <is>
          <t>Add it in the groups the trial evidence covers rather than universally.</t>
        </is>
      </c>
      <c r="E45" s="4" t="inlineStr"/>
      <c r="F45" s="4" t="inlineStr"/>
      <c r="G45" s="4" t="inlineStr"/>
    </row>
    <row r="46">
      <c r="A46" s="4" t="inlineStr">
        <is>
          <t>3.11.7-P3</t>
        </is>
      </c>
      <c r="B46" s="4" t="inlineStr">
        <is>
          <t>3.11.7</t>
        </is>
      </c>
      <c r="C46" s="4" t="inlineStr">
        <is>
          <t>frcs</t>
        </is>
      </c>
      <c r="D46" s="4" t="inlineStr">
        <is>
          <t>State that the stiffness objection has not been borne out at current tensions.</t>
        </is>
      </c>
      <c r="E46" s="4" t="inlineStr"/>
      <c r="F46" s="4" t="inlineStr"/>
      <c r="G46" s="4" t="inlineStr"/>
    </row>
    <row r="47">
      <c r="A47" s="4" t="inlineStr">
        <is>
          <t>3.11.7-P4</t>
        </is>
      </c>
      <c r="B47" s="4" t="inlineStr">
        <is>
          <t>3.11.7</t>
        </is>
      </c>
      <c r="C47" s="4" t="inlineStr">
        <is>
          <t>frcs</t>
        </is>
      </c>
      <c r="D47" s="4" t="inlineStr">
        <is>
          <t>Plan it alongside the cruciate graft rather than as an afterthought.</t>
        </is>
      </c>
      <c r="E47" s="4" t="inlineStr"/>
      <c r="F47" s="4" t="inlineStr"/>
      <c r="G47" s="4" t="inlineStr"/>
    </row>
    <row r="48">
      <c r="A48" s="4" t="inlineStr">
        <is>
          <t>3.11.7-P5</t>
        </is>
      </c>
      <c r="B48" s="4" t="inlineStr">
        <is>
          <t>3.11.7</t>
        </is>
      </c>
      <c r="C48" s="4" t="inlineStr">
        <is>
          <t>fellowship</t>
        </is>
      </c>
      <c r="D48" s="4" t="inlineStr">
        <is>
          <t>Plan femoral fixation alongside the cruciate tunnel.</t>
        </is>
      </c>
      <c r="E48" s="4" t="inlineStr"/>
      <c r="F48" s="4" t="inlineStr"/>
      <c r="G48" s="4" t="inlineStr"/>
    </row>
    <row r="49">
      <c r="A49" s="4" t="inlineStr">
        <is>
          <t>3.11.7-P6</t>
        </is>
      </c>
      <c r="B49" s="4" t="inlineStr">
        <is>
          <t>3.11.7</t>
        </is>
      </c>
      <c r="C49" s="4" t="inlineStr">
        <is>
          <t>fellowship</t>
        </is>
      </c>
      <c r="D49" s="4" t="inlineStr">
        <is>
          <t>Consider slope correction as an alternative or an addition in the right knee.</t>
        </is>
      </c>
      <c r="E49" s="4" t="inlineStr"/>
      <c r="F49" s="4" t="inlineStr"/>
      <c r="G49" s="4" t="inlineStr"/>
    </row>
    <row r="50">
      <c r="A50" s="4" t="inlineStr">
        <is>
          <t>3.11.7-P7</t>
        </is>
      </c>
      <c r="B50" s="4" t="inlineStr">
        <is>
          <t>3.11.7</t>
        </is>
      </c>
      <c r="C50" s="4" t="inlineStr">
        <is>
          <t>fellowship</t>
        </is>
      </c>
      <c r="D50" s="4" t="inlineStr">
        <is>
          <t>State that no measurement identifies the individual who needs one.</t>
        </is>
      </c>
      <c r="E50" s="4" t="inlineStr"/>
      <c r="F50" s="4" t="inlineStr"/>
      <c r="G50" s="4" t="inlineStr"/>
    </row>
    <row r="51">
      <c r="A51" s="4" t="inlineStr">
        <is>
          <t>3.11.8-P1</t>
        </is>
      </c>
      <c r="B51" s="4" t="inlineStr">
        <is>
          <t>3.11.8</t>
        </is>
      </c>
      <c r="C51" s="4" t="inlineStr">
        <is>
          <t>mrcs</t>
        </is>
      </c>
      <c r="D51" s="4" t="inlineStr">
        <is>
          <t>Order of fixation and the rotational position at each.</t>
        </is>
      </c>
      <c r="E51" s="4" t="inlineStr"/>
      <c r="F51" s="4" t="inlineStr"/>
      <c r="G51" s="4" t="inlineStr"/>
    </row>
    <row r="52">
      <c r="A52" s="4" t="inlineStr">
        <is>
          <t>3.11.8-P2</t>
        </is>
      </c>
      <c r="B52" s="4" t="inlineStr">
        <is>
          <t>3.11.8</t>
        </is>
      </c>
      <c r="C52" s="4" t="inlineStr">
        <is>
          <t>mrcs</t>
        </is>
      </c>
      <c r="D52" s="4" t="inlineStr">
        <is>
          <t>Plan both femoral fixations together to avoid convergence.</t>
        </is>
      </c>
      <c r="E52" s="4" t="inlineStr"/>
      <c r="F52" s="4" t="inlineStr"/>
      <c r="G52" s="4" t="inlineStr"/>
    </row>
    <row r="53">
      <c r="A53" s="4" t="inlineStr">
        <is>
          <t>3.11.8-P3</t>
        </is>
      </c>
      <c r="B53" s="4" t="inlineStr">
        <is>
          <t>3.11.8</t>
        </is>
      </c>
      <c r="C53" s="4" t="inlineStr">
        <is>
          <t>mrcs</t>
        </is>
      </c>
      <c r="D53" s="4" t="inlineStr">
        <is>
          <t>Expect the load sharing to be demonstrable in cadavers and not in a patient.</t>
        </is>
      </c>
      <c r="E53" s="4" t="inlineStr"/>
      <c r="F53" s="4" t="inlineStr"/>
      <c r="G53" s="4" t="inlineStr"/>
    </row>
    <row r="54">
      <c r="A54" s="4" t="inlineStr">
        <is>
          <t>3.11.8-P4</t>
        </is>
      </c>
      <c r="B54" s="4" t="inlineStr">
        <is>
          <t>3.11.8</t>
        </is>
      </c>
      <c r="C54" s="4" t="inlineStr">
        <is>
          <t>frcs</t>
        </is>
      </c>
      <c r="D54" s="4" t="inlineStr">
        <is>
          <t>Treat the combination as the current answer for the high risk knee and the indications as the part still being refined.</t>
        </is>
      </c>
      <c r="E54" s="4" t="inlineStr"/>
      <c r="F54" s="4" t="inlineStr"/>
      <c r="G54" s="4" t="inlineStr"/>
    </row>
    <row r="55">
      <c r="A55" s="4" t="inlineStr">
        <is>
          <t>3.11.8-P5</t>
        </is>
      </c>
      <c r="B55" s="4" t="inlineStr">
        <is>
          <t>3.11.8</t>
        </is>
      </c>
      <c r="C55" s="4" t="inlineStr">
        <is>
          <t>frcs</t>
        </is>
      </c>
      <c r="D55" s="4" t="inlineStr">
        <is>
          <t>Add a lateral procedure in the high risk groups the trials cover.</t>
        </is>
      </c>
      <c r="E55" s="4" t="inlineStr"/>
      <c r="F55" s="4" t="inlineStr"/>
      <c r="G55" s="4" t="inlineStr"/>
    </row>
    <row r="56">
      <c r="A56" s="4" t="inlineStr">
        <is>
          <t>3.11.8-P6</t>
        </is>
      </c>
      <c r="B56" s="4" t="inlineStr">
        <is>
          <t>3.11.8</t>
        </is>
      </c>
      <c r="C56" s="4" t="inlineStr">
        <is>
          <t>frcs</t>
        </is>
      </c>
      <c r="D56" s="4" t="inlineStr">
        <is>
          <t>Consider slope correction as an alternative in the right knee.</t>
        </is>
      </c>
      <c r="E56" s="4" t="inlineStr"/>
      <c r="F56" s="4" t="inlineStr"/>
      <c r="G56" s="4" t="inlineStr"/>
    </row>
    <row r="57">
      <c r="A57" s="4" t="inlineStr">
        <is>
          <t>3.11.8-P7</t>
        </is>
      </c>
      <c r="B57" s="4" t="inlineStr">
        <is>
          <t>3.11.8</t>
        </is>
      </c>
      <c r="C57" s="4" t="inlineStr">
        <is>
          <t>frcs</t>
        </is>
      </c>
      <c r="D57" s="4" t="inlineStr">
        <is>
          <t>Plan graft and fixation space for both constructs before theatre.</t>
        </is>
      </c>
      <c r="E57" s="4" t="inlineStr"/>
      <c r="F57" s="4" t="inlineStr"/>
      <c r="G57" s="4" t="inlineStr"/>
    </row>
    <row r="58">
      <c r="A58" s="4" t="inlineStr">
        <is>
          <t>3.11.8-P8</t>
        </is>
      </c>
      <c r="B58" s="4" t="inlineStr">
        <is>
          <t>3.11.8</t>
        </is>
      </c>
      <c r="C58" s="4" t="inlineStr">
        <is>
          <t>frcs</t>
        </is>
      </c>
      <c r="D58" s="4" t="inlineStr">
        <is>
          <t>State that routine against selective use is unsettled.</t>
        </is>
      </c>
      <c r="E58" s="4" t="inlineStr"/>
      <c r="F58" s="4" t="inlineStr"/>
      <c r="G58" s="4" t="inlineStr"/>
    </row>
    <row r="59">
      <c r="A59" s="4" t="inlineStr">
        <is>
          <t>3.11.8-P9</t>
        </is>
      </c>
      <c r="B59" s="4" t="inlineStr">
        <is>
          <t>3.11.8</t>
        </is>
      </c>
      <c r="C59" s="4" t="inlineStr">
        <is>
          <t>fellowship</t>
        </is>
      </c>
      <c r="D59" s="4" t="inlineStr">
        <is>
          <t>Plan tunnel geometry and slope correction together in a revision.</t>
        </is>
      </c>
      <c r="E59" s="4" t="inlineStr"/>
      <c r="F59" s="4" t="inlineStr"/>
      <c r="G59" s="4" t="inlineStr"/>
    </row>
    <row r="60">
      <c r="A60" s="4" t="inlineStr">
        <is>
          <t>3.11.8-P10</t>
        </is>
      </c>
      <c r="B60" s="4" t="inlineStr">
        <is>
          <t>3.11.8</t>
        </is>
      </c>
      <c r="C60" s="4" t="inlineStr">
        <is>
          <t>fellowship</t>
        </is>
      </c>
      <c r="D60" s="4" t="inlineStr">
        <is>
          <t>Prefer a tenodesis, which adds no tibial tunnel.</t>
        </is>
      </c>
      <c r="E60" s="4" t="inlineStr"/>
      <c r="F60" s="4" t="inlineStr"/>
      <c r="G60" s="4" t="inlineStr"/>
    </row>
    <row r="61">
      <c r="A61" s="4" t="inlineStr">
        <is>
          <t>3.11.8-P11</t>
        </is>
      </c>
      <c r="B61" s="4" t="inlineStr">
        <is>
          <t>3.11.8</t>
        </is>
      </c>
      <c r="C61" s="4" t="inlineStr">
        <is>
          <t>fellowship</t>
        </is>
      </c>
      <c r="D61" s="4" t="inlineStr">
        <is>
          <t>Stage where tunnels, graft or soft tissues will not allow one sitting.</t>
        </is>
      </c>
      <c r="E61" s="4" t="inlineStr"/>
      <c r="F61" s="4" t="inlineStr"/>
      <c r="G61" s="4" t="inlineStr"/>
    </row>
    <row r="62">
      <c r="A62" s="4" t="inlineStr">
        <is>
          <t>3.11.8-P12</t>
        </is>
      </c>
      <c r="B62" s="4" t="inlineStr">
        <is>
          <t>3.11.8</t>
        </is>
      </c>
      <c r="C62" s="4" t="inlineStr">
        <is>
          <t>fellowship</t>
        </is>
      </c>
      <c r="D62" s="4" t="inlineStr">
        <is>
          <t>Counsel that revision outcomes are worse than primary.</t>
        </is>
      </c>
      <c r="E62" s="4" t="inlineStr"/>
      <c r="F62" s="4" t="inlineStr"/>
      <c r="G62" s="4" t="inlineStr"/>
    </row>
    <row r="63">
      <c r="A63" s="4" t="inlineStr">
        <is>
          <t>3.11.9-P1</t>
        </is>
      </c>
      <c r="B63" s="4" t="inlineStr">
        <is>
          <t>3.11.9</t>
        </is>
      </c>
      <c r="C63" s="4" t="inlineStr">
        <is>
          <t>frcs</t>
        </is>
      </c>
      <c r="D63" s="4" t="inlineStr">
        <is>
          <t>Avoid citing a dissection study to settle a clinical question.</t>
        </is>
      </c>
      <c r="E63" s="4" t="inlineStr"/>
      <c r="F63" s="4" t="inlineStr"/>
      <c r="G63" s="4" t="inlineStr"/>
    </row>
    <row r="64">
      <c r="A64" s="4" t="inlineStr">
        <is>
          <t>3.11.9-P2</t>
        </is>
      </c>
      <c r="B64" s="4" t="inlineStr">
        <is>
          <t>3.11.9</t>
        </is>
      </c>
      <c r="C64" s="4" t="inlineStr">
        <is>
          <t>fellowship</t>
        </is>
      </c>
      <c r="D64" s="4" t="inlineStr">
        <is>
          <t>Measure slope before choosing between augmentation and correction.</t>
        </is>
      </c>
      <c r="E64" s="4" t="inlineStr"/>
      <c r="F64" s="4" t="inlineStr"/>
      <c r="G64" s="4" t="inlineStr"/>
    </row>
    <row r="65">
      <c r="A65" s="4" t="inlineStr">
        <is>
          <t>3.11.9-P3</t>
        </is>
      </c>
      <c r="B65" s="4" t="inlineStr">
        <is>
          <t>3.11.9</t>
        </is>
      </c>
      <c r="C65" s="4" t="inlineStr">
        <is>
          <t>fellowship</t>
        </is>
      </c>
      <c r="D65" s="4" t="inlineStr">
        <is>
          <t>Consider both in the knee that has failed a conventional revision.</t>
        </is>
      </c>
      <c r="E65" s="4" t="inlineStr"/>
      <c r="F65" s="4" t="inlineStr"/>
      <c r="G65" s="4" t="inlineStr"/>
    </row>
    <row r="66">
      <c r="A66" s="4" t="inlineStr">
        <is>
          <t>3.11.9-P4</t>
        </is>
      </c>
      <c r="B66" s="4" t="inlineStr">
        <is>
          <t>3.11.9</t>
        </is>
      </c>
      <c r="C66" s="4" t="inlineStr">
        <is>
          <t>fellowship</t>
        </is>
      </c>
      <c r="D66" s="4" t="inlineStr">
        <is>
          <t>State that no trial compares them directly.</t>
        </is>
      </c>
      <c r="E66" s="4" t="inlineStr"/>
      <c r="F66" s="4" t="inlineStr"/>
      <c r="G66" s="4" t="inlineStr"/>
    </row>
    <row r="67">
      <c r="A67" s="4" t="inlineStr">
        <is>
          <t>3.11.9-P5</t>
        </is>
      </c>
      <c r="B67" s="4" t="inlineStr">
        <is>
          <t>3.11.9</t>
        </is>
      </c>
      <c r="C67" s="4" t="inlineStr">
        <is>
          <t>consultant</t>
        </is>
      </c>
      <c r="D67" s="4" t="inlineStr">
        <is>
          <t>Set the question out as a balance and name what sits on each side of it.</t>
        </is>
      </c>
      <c r="E67" s="4" t="inlineStr"/>
      <c r="F67" s="4" t="inlineStr"/>
      <c r="G67" s="4" t="inlineStr"/>
    </row>
    <row r="68">
      <c r="A68" s="4" t="inlineStr">
        <is>
          <t>3.11.9-P6</t>
        </is>
      </c>
      <c r="B68" s="4" t="inlineStr">
        <is>
          <t>3.11.9</t>
        </is>
      </c>
      <c r="C68" s="4" t="inlineStr">
        <is>
          <t>consultant</t>
        </is>
      </c>
      <c r="D68" s="4" t="inlineStr">
        <is>
          <t>Weigh age and pivoting demand first, because the benefit concentrates there.</t>
        </is>
      </c>
      <c r="E68" s="4" t="inlineStr"/>
      <c r="F68" s="4" t="inlineStr"/>
      <c r="G68" s="4" t="inlineStr"/>
    </row>
    <row r="69">
      <c r="A69" s="4" t="inlineStr">
        <is>
          <t>3.11.9-P7</t>
        </is>
      </c>
      <c r="B69" s="4" t="inlineStr">
        <is>
          <t>3.11.9</t>
        </is>
      </c>
      <c r="C69" s="4" t="inlineStr">
        <is>
          <t>consultant</t>
        </is>
      </c>
      <c r="D69" s="4" t="inlineStr">
        <is>
          <t>Measure slope before treating augmentation as the only available lever.</t>
        </is>
      </c>
      <c r="E69" s="4" t="inlineStr"/>
      <c r="F69" s="4" t="inlineStr"/>
      <c r="G69" s="4" t="inlineStr"/>
    </row>
    <row r="70">
      <c r="A70" s="4" t="inlineStr">
        <is>
          <t>3.11.9-P8</t>
        </is>
      </c>
      <c r="B70" s="4" t="inlineStr">
        <is>
          <t>3.11.9</t>
        </is>
      </c>
      <c r="C70" s="4" t="inlineStr">
        <is>
          <t>consultant</t>
        </is>
      </c>
      <c r="D70" s="4" t="inlineStr">
        <is>
          <t>Price a second failure into the revision decision rather than into the primary one.</t>
        </is>
      </c>
      <c r="E70" s="4" t="inlineStr"/>
      <c r="F70" s="4" t="inlineStr"/>
      <c r="G70" s="4" t="inlineStr"/>
    </row>
    <row r="71">
      <c r="A71" s="4" t="inlineStr">
        <is>
          <t>3.11.9-P9</t>
        </is>
      </c>
      <c r="B71" s="4" t="inlineStr">
        <is>
          <t>3.11.9</t>
        </is>
      </c>
      <c r="C71" s="4" t="inlineStr">
        <is>
          <t>consultant</t>
        </is>
      </c>
      <c r="D71" s="4" t="inlineStr">
        <is>
          <t>Take age and physiology, comorbidities, knee demand, psychological state and the patient's own ideas, concerns and expectations into the decision explicitly, because a trial population carries none of them.</t>
        </is>
      </c>
      <c r="E71" s="4" t="inlineStr"/>
      <c r="F71" s="4" t="inlineStr"/>
      <c r="G71" s="4" t="inlineStr"/>
    </row>
    <row r="72">
      <c r="A72" s="4" t="inlineStr">
        <is>
          <t>3.11.9-P10</t>
        </is>
      </c>
      <c r="B72" s="4" t="inlineStr">
        <is>
          <t>3.11.9</t>
        </is>
      </c>
      <c r="C72" s="4" t="inlineStr">
        <is>
          <t>consultant</t>
        </is>
      </c>
      <c r="D72" s="4" t="inlineStr">
        <is>
          <t>Accept that the same evidence can be weighed differently without either consultant being wrong.</t>
        </is>
      </c>
      <c r="E72" s="4" t="inlineStr"/>
      <c r="F72" s="4" t="inlineStr"/>
      <c r="G72" s="4" t="inlineStr"/>
    </row>
  </sheetData>
  <dataValidations count="1">
    <dataValidation sqref="E3:E72"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row r="3">
      <c r="A3" s="4" t="inlineStr">
        <is>
          <t>3.11.1-F1</t>
        </is>
      </c>
      <c r="B3" s="4" t="inlineStr">
        <is>
          <t>3.11.1</t>
        </is>
      </c>
      <c r="C3" s="4" t="inlineStr">
        <is>
          <t>medical_student</t>
        </is>
      </c>
      <c r="D3" s="4" t="inlineStr">
        <is>
          <t>20 to 30 degrees</t>
        </is>
      </c>
      <c r="E3" s="4" t="inlineStr">
        <is>
          <t>Its line of action passes anterior to the flexion axis near extension and posterior to it in flexion, so it reverses at around 20 to 30 degrees.</t>
        </is>
      </c>
      <c r="F3" s="4" t="inlineStr"/>
      <c r="G3" s="4" t="inlineStr"/>
      <c r="H3" s="4" t="inlineStr"/>
    </row>
  </sheetData>
  <dataValidations count="1">
    <dataValidation sqref="F3" showDropDown="0" showInputMessage="0" showErrorMessage="0" allowBlank="1" errorTitle="Not an allowed decision" error="Use one of: VERIFIED, CORRECTED, REMOVED" type="list">
      <formula1>"VERIFIED,CORRECTED,REMOVED"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70</f>
        <v/>
      </c>
      <c r="C2" s="3">
        <f>1</f>
        <v/>
      </c>
    </row>
    <row r="3">
      <c r="A3" s="2" t="inlineStr">
        <is>
          <t>Decided</t>
        </is>
      </c>
      <c r="B3" s="3">
        <f>COUNTIF(Recommendations!E3:E72,"&lt;&gt;")</f>
        <v/>
      </c>
      <c r="C3" s="3">
        <f>COUNTIF(Measurements!F3:F3,"&lt;&gt;")</f>
        <v/>
      </c>
    </row>
    <row r="4">
      <c r="A4" s="2" t="inlineStr">
        <is>
          <t>Still blank</t>
        </is>
      </c>
      <c r="B4" s="3">
        <f>B2-B3</f>
        <v/>
      </c>
      <c r="C4" s="3">
        <f>C2-C3</f>
        <v/>
      </c>
    </row>
    <row r="5">
      <c r="A5" s="2" t="inlineStr">
        <is>
          <t>CONFIRMED</t>
        </is>
      </c>
      <c r="B5" s="3">
        <f>COUNTIF(Recommendations!E3:E72,"CONFIRMED")</f>
        <v/>
      </c>
      <c r="C5" s="3" t="inlineStr"/>
    </row>
    <row r="6">
      <c r="A6" s="2" t="inlineStr">
        <is>
          <t>AMENDED</t>
        </is>
      </c>
      <c r="B6" s="3">
        <f>COUNTIF(Recommendations!E3:E72,"AMENDED")</f>
        <v/>
      </c>
      <c r="C6" s="3" t="inlineStr"/>
    </row>
    <row r="7">
      <c r="A7" s="2" t="inlineStr">
        <is>
          <t>WITHDRAWN</t>
        </is>
      </c>
      <c r="B7" s="3">
        <f>COUNTIF(Recommendations!E3:E72,"WITHDRAWN")</f>
        <v/>
      </c>
      <c r="C7" s="3" t="inlineStr"/>
    </row>
    <row r="8">
      <c r="A8" s="2" t="inlineStr">
        <is>
          <t>NOT_CLINICAL</t>
        </is>
      </c>
      <c r="B8" s="3">
        <f>COUNTIF(Recommendations!E3:E72,"NOT_CLINICAL")</f>
        <v/>
      </c>
      <c r="C8" s="3" t="inlineStr"/>
    </row>
    <row r="9">
      <c r="A9" s="2" t="inlineStr">
        <is>
          <t>VERIFIED</t>
        </is>
      </c>
      <c r="B9" s="3" t="inlineStr"/>
      <c r="C9" s="3">
        <f>COUNTIF(Measurements!F3:F3,"VERIFIED")</f>
        <v/>
      </c>
    </row>
    <row r="10">
      <c r="A10" s="2" t="inlineStr">
        <is>
          <t>CORRECTED</t>
        </is>
      </c>
      <c r="B10" s="3" t="inlineStr"/>
      <c r="C10" s="3">
        <f>COUNTIF(Measurements!F3:F3,"CORRECTED")</f>
        <v/>
      </c>
    </row>
    <row r="11">
      <c r="A11" s="2" t="inlineStr">
        <is>
          <t>REMOVED</t>
        </is>
      </c>
      <c r="B11" s="3" t="inlineStr"/>
      <c r="C11" s="3">
        <f>COUNTIF(Measurements!F3:F3,"REMOVED")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2026-10-10T12:34:10Z</dcterms:created>
  <dcterms:modified xmlns:dcterms="http://purl.org/dc/terms/" xmlns:xsi="http://www.w3.org/2001/XMLSchema-instance" xsi:type="dcterms:W3CDTF">2026-10-10T12:34:10Z</dcterms:modified>
</cp:coreProperties>
</file>