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3.1 Introduction to Knee Biomechanics</t>
        </is>
      </c>
    </row>
    <row r="3">
      <c r="A3" s="2" t="inlineStr">
        <is>
          <t>Section</t>
        </is>
      </c>
      <c r="B3" s="3" t="inlineStr">
        <is>
          <t>3</t>
        </is>
      </c>
    </row>
    <row r="4">
      <c r="A4" s="2" t="inlineStr">
        <is>
          <t>Chapter</t>
        </is>
      </c>
      <c r="B4" s="3" t="inlineStr">
        <is>
          <t>3.1 Introduction to Knee Biomechanics</t>
        </is>
      </c>
    </row>
    <row r="5">
      <c r="A5" s="2" t="inlineStr">
        <is>
          <t>Pages</t>
        </is>
      </c>
      <c r="B5" s="3" t="n">
        <v>8</v>
      </c>
    </row>
    <row r="6">
      <c r="A6" s="2" t="inlineStr">
        <is>
          <t>Page type</t>
        </is>
      </c>
      <c r="B6" s="3" t="inlineStr">
        <is>
          <t>biomechanics, landmark_papers</t>
        </is>
      </c>
    </row>
    <row r="7">
      <c r="A7" s="2" t="inlineStr">
        <is>
          <t>Tiers</t>
        </is>
      </c>
      <c r="B7" s="3" t="inlineStr">
        <is>
          <t>junior, patient, medical student, mrcs, frcs, fellowship, consultant</t>
        </is>
      </c>
    </row>
    <row r="8">
      <c r="A8" s="2" t="inlineStr">
        <is>
          <t>Words</t>
        </is>
      </c>
      <c r="B8" s="3" t="inlineStr">
        <is>
          <t>12,382</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3</v>
      </c>
    </row>
    <row r="12">
      <c r="A12" s="2" t="inlineStr">
        <is>
          <t>Recommendations to sign</t>
        </is>
      </c>
      <c r="B12" s="3" t="n">
        <v>59</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3.1.1</t>
        </is>
      </c>
      <c r="B2" s="6" t="inlineStr">
        <is>
          <t>What Is Biomechanics?</t>
        </is>
      </c>
      <c r="C2" s="6" t="n">
        <v>4</v>
      </c>
      <c r="D2" s="6" t="n">
        <v>2032</v>
      </c>
      <c r="E2" s="6" t="inlineStr">
        <is>
          <t>biomechanics/what-is-biomechanics.html</t>
        </is>
      </c>
    </row>
    <row r="3">
      <c r="A3" s="6" t="inlineStr">
        <is>
          <t>3.1.2</t>
        </is>
      </c>
      <c r="B3" s="6" t="inlineStr">
        <is>
          <t>Why Biomechanics Matters</t>
        </is>
      </c>
      <c r="C3" s="6" t="n">
        <v>4</v>
      </c>
      <c r="D3" s="6" t="n">
        <v>1744</v>
      </c>
      <c r="E3" s="6" t="inlineStr">
        <is>
          <t>biomechanics/why-biomechanics-matters.html</t>
        </is>
      </c>
    </row>
    <row r="4">
      <c r="A4" s="6" t="inlineStr">
        <is>
          <t>3.1.3</t>
        </is>
      </c>
      <c r="B4" s="6" t="inlineStr">
        <is>
          <t>Biomechanics in Everyday Life</t>
        </is>
      </c>
      <c r="C4" s="6" t="n">
        <v>4</v>
      </c>
      <c r="D4" s="6" t="n">
        <v>1679</v>
      </c>
      <c r="E4" s="6" t="inlineStr">
        <is>
          <t>biomechanics/biomechanics-in-everyday-life.html</t>
        </is>
      </c>
    </row>
    <row r="5">
      <c r="A5" s="6" t="inlineStr">
        <is>
          <t>3.1.4</t>
        </is>
      </c>
      <c r="B5" s="6" t="inlineStr">
        <is>
          <t>Biomechanics in Sport</t>
        </is>
      </c>
      <c r="C5" s="6" t="n">
        <v>4</v>
      </c>
      <c r="D5" s="6" t="n">
        <v>1565</v>
      </c>
      <c r="E5" s="6" t="inlineStr">
        <is>
          <t>biomechanics/biomechanics-in-sport.html</t>
        </is>
      </c>
    </row>
    <row r="6">
      <c r="A6" s="6" t="inlineStr">
        <is>
          <t>3.1.5</t>
        </is>
      </c>
      <c r="B6" s="6" t="inlineStr">
        <is>
          <t>Biomechanics and Injury Prevention</t>
        </is>
      </c>
      <c r="C6" s="6" t="n">
        <v>4</v>
      </c>
      <c r="D6" s="6" t="n">
        <v>1446</v>
      </c>
      <c r="E6" s="6" t="inlineStr">
        <is>
          <t>biomechanics/biomechanics-and-injury-prevention.html</t>
        </is>
      </c>
    </row>
    <row r="7">
      <c r="A7" s="6" t="inlineStr">
        <is>
          <t>3.1.6</t>
        </is>
      </c>
      <c r="B7" s="6" t="inlineStr">
        <is>
          <t>Biomechanics and Surgical Reconstruction</t>
        </is>
      </c>
      <c r="C7" s="6" t="n">
        <v>3</v>
      </c>
      <c r="D7" s="6" t="n">
        <v>1290</v>
      </c>
      <c r="E7" s="6" t="inlineStr">
        <is>
          <t>biomechanics/biomechanics-and-surgical-reconstruction.html</t>
        </is>
      </c>
    </row>
    <row r="8">
      <c r="A8" s="6" t="inlineStr">
        <is>
          <t>3.1.7</t>
        </is>
      </c>
      <c r="B8" s="6" t="inlineStr">
        <is>
          <t>Historical Development of Knee Biomechanics</t>
        </is>
      </c>
      <c r="C8" s="6" t="n">
        <v>3</v>
      </c>
      <c r="D8" s="6" t="n">
        <v>1009</v>
      </c>
      <c r="E8" s="6" t="inlineStr">
        <is>
          <t>biomechanics/historical-development-of-knee-biomechanics.html</t>
        </is>
      </c>
    </row>
    <row r="9">
      <c r="A9" s="6" t="inlineStr">
        <is>
          <t>3.1.8</t>
        </is>
      </c>
      <c r="B9" s="6" t="inlineStr">
        <is>
          <t>Landmark Biomechanical Studies</t>
        </is>
      </c>
      <c r="C9" s="6" t="n">
        <v>3</v>
      </c>
      <c r="D9" s="6" t="n">
        <v>1617</v>
      </c>
      <c r="E9" s="6" t="inlineStr">
        <is>
          <t>biomechanics/landmark-biomechanical-studies.html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3.1.1</t>
        </is>
      </c>
      <c r="B2" s="4" t="inlineStr">
        <is>
          <t>What Is Biomechanics?</t>
        </is>
      </c>
      <c r="C2" s="4" t="inlineStr">
        <is>
          <t>Kinematics is motion without force; kinetics is force and its effects.</t>
        </is>
      </c>
    </row>
    <row r="3">
      <c r="A3" s="4" t="inlineStr">
        <is>
          <t>3.1.1</t>
        </is>
      </c>
      <c r="B3" s="4" t="inlineStr">
        <is>
          <t>What Is Biomechanics?</t>
        </is>
      </c>
      <c r="C3" s="4" t="inlineStr">
        <is>
          <t>Viscoelasticity gives creep, stress relaxation and rate dependence.</t>
        </is>
      </c>
    </row>
    <row r="4">
      <c r="A4" s="4" t="inlineStr">
        <is>
          <t>3.1.1</t>
        </is>
      </c>
      <c r="B4" s="4" t="inlineStr">
        <is>
          <t>What Is Biomechanics?</t>
        </is>
      </c>
      <c r="C4" s="4" t="inlineStr">
        <is>
          <t>Conventional teaching puts tibiofemoral joint reaction force at about three times body weight in walking.</t>
        </is>
      </c>
    </row>
    <row r="5">
      <c r="A5" s="4" t="inlineStr">
        <is>
          <t>3.1.1</t>
        </is>
      </c>
      <c r="B5" s="4" t="inlineStr">
        <is>
          <t>What Is Biomechanics?</t>
        </is>
      </c>
      <c r="C5" s="4" t="inlineStr">
        <is>
          <t>The instant centre of rotation moves through flexion, which is why the knee is not a hinge.</t>
        </is>
      </c>
    </row>
    <row r="6">
      <c r="A6" s="4" t="inlineStr">
        <is>
          <t>3.1.1</t>
        </is>
      </c>
      <c r="B6" s="4" t="inlineStr">
        <is>
          <t>What Is Biomechanics?</t>
        </is>
      </c>
      <c r="C6" s="4" t="inlineStr">
        <is>
          <t>A cadaver figure, a laboratory figure and an in vivo figure are three different kinds of number.</t>
        </is>
      </c>
    </row>
    <row r="7">
      <c r="A7" s="4" t="inlineStr">
        <is>
          <t>3.1.2</t>
        </is>
      </c>
      <c r="B7" s="4" t="inlineStr">
        <is>
          <t>Why Biomechanics Matters</t>
        </is>
      </c>
      <c r="C7" s="4" t="inlineStr">
        <is>
          <t>Mechanism applies load, load produces stress, stress exceeds strength, pattern identifies mechanism.</t>
        </is>
      </c>
    </row>
    <row r="8">
      <c r="A8" s="4" t="inlineStr">
        <is>
          <t>3.1.2</t>
        </is>
      </c>
      <c r="B8" s="4" t="inlineStr">
        <is>
          <t>Why Biomechanics Matters</t>
        </is>
      </c>
      <c r="C8" s="4" t="inlineStr">
        <is>
          <t>Conventional teaching gives anterior cruciate ultimate load of the order of 2,000 newtons.</t>
        </is>
      </c>
    </row>
    <row r="9">
      <c r="A9" s="4" t="inlineStr">
        <is>
          <t>3.1.2</t>
        </is>
      </c>
      <c r="B9" s="4" t="inlineStr">
        <is>
          <t>Why Biomechanics Matters</t>
        </is>
      </c>
      <c r="C9" s="4" t="inlineStr">
        <is>
          <t>The margin between pivoting load and ultimate load is small, which is why the injury is common.</t>
        </is>
      </c>
    </row>
    <row r="10">
      <c r="A10" s="4" t="inlineStr">
        <is>
          <t>3.1.2</t>
        </is>
      </c>
      <c r="B10" s="4" t="inlineStr">
        <is>
          <t>Why Biomechanics Matters</t>
        </is>
      </c>
      <c r="C10" s="4" t="inlineStr">
        <is>
          <t>Mechanism studies and intervention studies answer different questions.</t>
        </is>
      </c>
    </row>
    <row r="11">
      <c r="A11" s="4" t="inlineStr">
        <is>
          <t>3.1.2</t>
        </is>
      </c>
      <c r="B11" s="4" t="inlineStr">
        <is>
          <t>Why Biomechanics Matters</t>
        </is>
      </c>
      <c r="C11" s="4" t="inlineStr">
        <is>
          <t>Surgery moves a variable from unreachable to reachable.</t>
        </is>
      </c>
    </row>
    <row r="12">
      <c r="A12" s="4" t="inlineStr">
        <is>
          <t>3.1.3</t>
        </is>
      </c>
      <c r="B12" s="4" t="inlineStr">
        <is>
          <t>Biomechanics in Everyday Life</t>
        </is>
      </c>
      <c r="C12" s="4" t="inlineStr">
        <is>
          <t>Joint reaction force is the vector sum of external load and muscle force, so it exceeds both.</t>
        </is>
      </c>
    </row>
    <row r="13">
      <c r="A13" s="4" t="inlineStr">
        <is>
          <t>3.1.3</t>
        </is>
      </c>
      <c r="B13" s="4" t="inlineStr">
        <is>
          <t>Biomechanics in Everyday Life</t>
        </is>
      </c>
      <c r="C13" s="4" t="inlineStr">
        <is>
          <t>Pressure is force over area, and area changes through the range, so the two do not track.</t>
        </is>
      </c>
    </row>
    <row r="14">
      <c r="A14" s="4" t="inlineStr">
        <is>
          <t>3.1.3</t>
        </is>
      </c>
      <c r="B14" s="4" t="inlineStr">
        <is>
          <t>Biomechanics in Everyday Life</t>
        </is>
      </c>
      <c r="C14" s="4" t="inlineStr">
        <is>
          <t>Contact area rising with flexion partly offsets rising patellofemoral force.</t>
        </is>
      </c>
    </row>
    <row r="15">
      <c r="A15" s="4" t="inlineStr">
        <is>
          <t>3.1.3</t>
        </is>
      </c>
      <c r="B15" s="4" t="inlineStr">
        <is>
          <t>Biomechanics in Everyday Life</t>
        </is>
      </c>
      <c r="C15" s="4" t="inlineStr">
        <is>
          <t>Co-contraction improves stability at a mechanical cost.</t>
        </is>
      </c>
    </row>
    <row r="16">
      <c r="A16" s="4" t="inlineStr">
        <is>
          <t>3.1.3</t>
        </is>
      </c>
      <c r="B16" s="4" t="inlineStr">
        <is>
          <t>Biomechanics in Everyday Life</t>
        </is>
      </c>
      <c r="C16" s="4" t="inlineStr">
        <is>
          <t>A figure without its activity and method attached is not usable.</t>
        </is>
      </c>
    </row>
    <row r="17">
      <c r="A17" s="4" t="inlineStr">
        <is>
          <t>3.1.4</t>
        </is>
      </c>
      <c r="B17" s="4" t="inlineStr">
        <is>
          <t>Biomechanics in Sport</t>
        </is>
      </c>
      <c r="C17" s="4" t="inlineStr">
        <is>
          <t>Load arrives faster than a reflex can modify it, so protection happens before contact.</t>
        </is>
      </c>
    </row>
    <row r="18">
      <c r="A18" s="4" t="inlineStr">
        <is>
          <t>3.1.4</t>
        </is>
      </c>
      <c r="B18" s="4" t="inlineStr">
        <is>
          <t>Biomechanics in Sport</t>
        </is>
      </c>
      <c r="C18" s="4" t="inlineStr">
        <is>
          <t>The mechanism is deceleration, near extension, valgus collapse with internal rotation.</t>
        </is>
      </c>
    </row>
    <row r="19">
      <c r="A19" s="4" t="inlineStr">
        <is>
          <t>3.1.4</t>
        </is>
      </c>
      <c r="B19" s="4" t="inlineStr">
        <is>
          <t>Biomechanics in Sport</t>
        </is>
      </c>
      <c r="C19" s="4" t="inlineStr">
        <is>
          <t>Anterolateral structures and the lateral meniscus load in the same event.</t>
        </is>
      </c>
    </row>
    <row r="20">
      <c r="A20" s="4" t="inlineStr">
        <is>
          <t>3.1.4</t>
        </is>
      </c>
      <c r="B20" s="4" t="inlineStr">
        <is>
          <t>Biomechanics in Sport</t>
        </is>
      </c>
      <c r="C20" s="4" t="inlineStr">
        <is>
          <t>Prospective designs link mechanics to injury; cross sectional ones cannot.</t>
        </is>
      </c>
    </row>
    <row r="21">
      <c r="A21" s="4" t="inlineStr">
        <is>
          <t>3.1.4</t>
        </is>
      </c>
      <c r="B21" s="4" t="inlineStr">
        <is>
          <t>Biomechanics in Sport</t>
        </is>
      </c>
      <c r="C21" s="4" t="inlineStr">
        <is>
          <t>Reinjury risk is the highest risk a returning athlete carries.</t>
        </is>
      </c>
    </row>
    <row r="22">
      <c r="A22" s="4" t="inlineStr">
        <is>
          <t>3.1.5</t>
        </is>
      </c>
      <c r="B22" s="4" t="inlineStr">
        <is>
          <t>Biomechanics and Injury Prevention</t>
        </is>
      </c>
      <c r="C22" s="4" t="inlineStr">
        <is>
          <t>The causal chain assumes training changes movement, movement changes loading, loading changes injury.</t>
        </is>
      </c>
    </row>
    <row r="23">
      <c r="A23" s="4" t="inlineStr">
        <is>
          <t>3.1.5</t>
        </is>
      </c>
      <c r="B23" s="4" t="inlineStr">
        <is>
          <t>Biomechanics and Injury Prevention</t>
        </is>
      </c>
      <c r="C23" s="4" t="inlineStr">
        <is>
          <t>Conventional teaching reports a third to a half relative risk reduction with good adherence.</t>
        </is>
      </c>
    </row>
    <row r="24">
      <c r="A24" s="4" t="inlineStr">
        <is>
          <t>3.1.5</t>
        </is>
      </c>
      <c r="B24" s="4" t="inlineStr">
        <is>
          <t>Biomechanics and Injury Prevention</t>
        </is>
      </c>
      <c r="C24" s="4" t="inlineStr">
        <is>
          <t>Adherence is the dominant moderator and falls over a season.</t>
        </is>
      </c>
    </row>
    <row r="25">
      <c r="A25" s="4" t="inlineStr">
        <is>
          <t>3.1.5</t>
        </is>
      </c>
      <c r="B25" s="4" t="inlineStr">
        <is>
          <t>Biomechanics and Injury Prevention</t>
        </is>
      </c>
      <c r="C25" s="4" t="inlineStr">
        <is>
          <t>Injury definitions vary between studies more than readers notice.</t>
        </is>
      </c>
    </row>
    <row r="26">
      <c r="A26" s="4" t="inlineStr">
        <is>
          <t>3.1.5</t>
        </is>
      </c>
      <c r="B26" s="4" t="inlineStr">
        <is>
          <t>Biomechanics and Injury Prevention</t>
        </is>
      </c>
      <c r="C26" s="4" t="inlineStr">
        <is>
          <t>Individual screening does not perform as well as the group association suggests.</t>
        </is>
      </c>
    </row>
    <row r="27">
      <c r="A27" s="4" t="inlineStr">
        <is>
          <t>3.1.6</t>
        </is>
      </c>
      <c r="B27" s="4" t="inlineStr">
        <is>
          <t>Biomechanics and Surgical Reconstruction</t>
        </is>
      </c>
      <c r="C27" s="4" t="inlineStr">
        <is>
          <t>A reconstruction alters one term in a system of restraints that varies with flexion.</t>
        </is>
      </c>
    </row>
    <row r="28">
      <c r="A28" s="4" t="inlineStr">
        <is>
          <t>3.1.6</t>
        </is>
      </c>
      <c r="B28" s="4" t="inlineStr">
        <is>
          <t>Biomechanics and Surgical Reconstruction</t>
        </is>
      </c>
      <c r="C28" s="4" t="inlineStr">
        <is>
          <t>Nothing restores the native pattern; claiming otherwise misdescribes the operation.</t>
        </is>
      </c>
    </row>
    <row r="29">
      <c r="A29" s="4" t="inlineStr">
        <is>
          <t>3.1.6</t>
        </is>
      </c>
      <c r="B29" s="4" t="inlineStr">
        <is>
          <t>Biomechanics and Surgical Reconstruction</t>
        </is>
      </c>
      <c r="C29" s="4" t="inlineStr">
        <is>
          <t>Alignment has the largest effect per step and is most often left uncorrected.</t>
        </is>
      </c>
    </row>
    <row r="30">
      <c r="A30" s="4" t="inlineStr">
        <is>
          <t>3.1.6</t>
        </is>
      </c>
      <c r="B30" s="4" t="inlineStr">
        <is>
          <t>Biomechanics and Surgical Reconstruction</t>
        </is>
      </c>
      <c r="C30" s="4" t="inlineStr">
        <is>
          <t>Tibial slope is now part of the revision conversation.</t>
        </is>
      </c>
    </row>
    <row r="31">
      <c r="A31" s="4" t="inlineStr">
        <is>
          <t>3.1.6</t>
        </is>
      </c>
      <c r="B31" s="4" t="inlineStr">
        <is>
          <t>Biomechanics and Surgical Reconstruction</t>
        </is>
      </c>
      <c r="C31" s="4" t="inlineStr">
        <is>
          <t>A construct can restore laxity measurements and leave a patient unsatisfied.</t>
        </is>
      </c>
    </row>
    <row r="32">
      <c r="A32" s="4" t="inlineStr">
        <is>
          <t>3.1.7</t>
        </is>
      </c>
      <c r="B32" s="4" t="inlineStr">
        <is>
          <t>Historical Development of Knee Biomechanics</t>
        </is>
      </c>
      <c r="C32" s="4" t="inlineStr">
        <is>
          <t>The field moves when a method arrives, not when a question is asked.</t>
        </is>
      </c>
    </row>
    <row r="33">
      <c r="A33" s="4" t="inlineStr">
        <is>
          <t>3.1.7</t>
        </is>
      </c>
      <c r="B33" s="4" t="inlineStr">
        <is>
          <t>Historical Development of Knee Biomechanics</t>
        </is>
      </c>
      <c r="C33" s="4" t="inlineStr">
        <is>
          <t>Questions answered by inference are where the next correction will come from.</t>
        </is>
      </c>
    </row>
    <row r="34">
      <c r="A34" s="4" t="inlineStr">
        <is>
          <t>3.1.7</t>
        </is>
      </c>
      <c r="B34" s="4" t="inlineStr">
        <is>
          <t>Historical Development of Knee Biomechanics</t>
        </is>
      </c>
      <c r="C34" s="4" t="inlineStr">
        <is>
          <t>Simple memorable figures outlive the methods that produced them.</t>
        </is>
      </c>
    </row>
    <row r="35">
      <c r="A35" s="4" t="inlineStr">
        <is>
          <t>3.1.7</t>
        </is>
      </c>
      <c r="B35" s="4" t="inlineStr">
        <is>
          <t>Historical Development of Knee Biomechanics</t>
        </is>
      </c>
      <c r="C35" s="4" t="inlineStr">
        <is>
          <t>Sectioning apportionment depends on cutting order, so read several studies.</t>
        </is>
      </c>
    </row>
    <row r="36">
      <c r="A36" s="4" t="inlineStr">
        <is>
          <t>3.1.7</t>
        </is>
      </c>
      <c r="B36" s="4" t="inlineStr">
        <is>
          <t>Historical Development of Knee Biomechanics</t>
        </is>
      </c>
      <c r="C36" s="4" t="inlineStr">
        <is>
          <t>A figure with no method attached is unusable however often it is repeated.</t>
        </is>
      </c>
    </row>
    <row r="37">
      <c r="A37" s="4" t="inlineStr">
        <is>
          <t>3.1.8</t>
        </is>
      </c>
      <c r="B37" s="4" t="inlineStr">
        <is>
          <t>Landmark Biomechanical Studies</t>
        </is>
      </c>
      <c r="C37" s="4" t="inlineStr">
        <is>
          <t>How much weight a landmark study carries for a patient in front of you is a balance, not a rule.</t>
        </is>
      </c>
    </row>
    <row r="38">
      <c r="A38" s="4" t="inlineStr">
        <is>
          <t>3.1.8</t>
        </is>
      </c>
      <c r="B38" s="4" t="inlineStr">
        <is>
          <t>Landmark Biomechanical Studies</t>
        </is>
      </c>
      <c r="C38" s="4" t="inlineStr">
        <is>
          <t>Let the study decide what is mechanically possible and the patient decide what is appropriate.</t>
        </is>
      </c>
    </row>
    <row r="39">
      <c r="A39" s="4" t="inlineStr">
        <is>
          <t>3.1.8</t>
        </is>
      </c>
      <c r="B39" s="4" t="inlineStr">
        <is>
          <t>Landmark Biomechanical Studies</t>
        </is>
      </c>
      <c r="C39" s="4" t="inlineStr">
        <is>
          <t>The five patient factors supply what this literature cannot, which is anything about this person.</t>
        </is>
      </c>
    </row>
    <row r="40">
      <c r="A40" s="4" t="inlineStr">
        <is>
          <t>3.1.8</t>
        </is>
      </c>
      <c r="B40" s="4" t="inlineStr">
        <is>
          <t>Landmark Biomechanical Studies</t>
        </is>
      </c>
      <c r="C40" s="4" t="inlineStr">
        <is>
          <t>Teach the designs before the studies, because designs generalise and study lists do not.</t>
        </is>
      </c>
    </row>
    <row r="41">
      <c r="A41" s="4" t="inlineStr">
        <is>
          <t>3.1.8</t>
        </is>
      </c>
      <c r="B41" s="4" t="inlineStr">
        <is>
          <t>Landmark Biomechanical Studies</t>
        </is>
      </c>
      <c r="C41" s="4" t="inlineStr">
        <is>
          <t>The field's best evidence comes from specimens with no muscle, no healing and no pain, and trainees should hear that early.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3.1.1-P1</t>
        </is>
      </c>
      <c r="B3" s="4" t="inlineStr">
        <is>
          <t>3.1.1</t>
        </is>
      </c>
      <c r="C3" s="4" t="inlineStr">
        <is>
          <t>mrcs</t>
        </is>
      </c>
      <c r="D3" s="4" t="inlineStr">
        <is>
          <t>Read every examination test as a mechanical experiment: a named force, in a named direction, at a named flexion angle.</t>
        </is>
      </c>
      <c r="E3" s="4" t="inlineStr"/>
      <c r="F3" s="4" t="inlineStr"/>
      <c r="G3" s="4" t="inlineStr"/>
    </row>
    <row r="4">
      <c r="A4" s="4" t="inlineStr">
        <is>
          <t>3.1.1-P2</t>
        </is>
      </c>
      <c r="B4" s="4" t="inlineStr">
        <is>
          <t>3.1.1</t>
        </is>
      </c>
      <c r="C4" s="4" t="inlineStr">
        <is>
          <t>mrcs</t>
        </is>
      </c>
      <c r="D4" s="4" t="inlineStr">
        <is>
          <t>Expect a mechanical explanation for an injury pattern and be suspicious of one that has none.</t>
        </is>
      </c>
      <c r="E4" s="4" t="inlineStr"/>
      <c r="F4" s="4" t="inlineStr"/>
      <c r="G4" s="4" t="inlineStr"/>
    </row>
    <row r="5">
      <c r="A5" s="4" t="inlineStr">
        <is>
          <t>3.1.1-P3</t>
        </is>
      </c>
      <c r="B5" s="4" t="inlineStr">
        <is>
          <t>3.1.1</t>
        </is>
      </c>
      <c r="C5" s="4" t="inlineStr">
        <is>
          <t>mrcs</t>
        </is>
      </c>
      <c r="D5" s="4" t="inlineStr">
        <is>
          <t>Avoid quoting a laboratory figure as though it were a clinical one.</t>
        </is>
      </c>
      <c r="E5" s="4" t="inlineStr"/>
      <c r="F5" s="4" t="inlineStr"/>
      <c r="G5" s="4" t="inlineStr"/>
    </row>
    <row r="6">
      <c r="A6" s="4" t="inlineStr">
        <is>
          <t>3.1.2-P1</t>
        </is>
      </c>
      <c r="B6" s="4" t="inlineStr">
        <is>
          <t>3.1.2</t>
        </is>
      </c>
      <c r="C6" s="4" t="inlineStr">
        <is>
          <t>mrcs</t>
        </is>
      </c>
      <c r="D6" s="4" t="inlineStr">
        <is>
          <t>Identify the mechanism before planning a repair, because the mechanism predicts whether the repair will be loaded the same way again.</t>
        </is>
      </c>
      <c r="E6" s="4" t="inlineStr"/>
      <c r="F6" s="4" t="inlineStr"/>
      <c r="G6" s="4" t="inlineStr"/>
    </row>
    <row r="7">
      <c r="A7" s="4" t="inlineStr">
        <is>
          <t>3.1.2-P2</t>
        </is>
      </c>
      <c r="B7" s="4" t="inlineStr">
        <is>
          <t>3.1.2</t>
        </is>
      </c>
      <c r="C7" s="4" t="inlineStr">
        <is>
          <t>mrcs</t>
        </is>
      </c>
      <c r="D7" s="4" t="inlineStr">
        <is>
          <t>Assess alignment in any knee with compartment specific symptoms, since alignment is the mechanical variable with the largest effect per step.</t>
        </is>
      </c>
      <c r="E7" s="4" t="inlineStr"/>
      <c r="F7" s="4" t="inlineStr"/>
      <c r="G7" s="4" t="inlineStr"/>
    </row>
    <row r="8">
      <c r="A8" s="4" t="inlineStr">
        <is>
          <t>3.1.2-P3</t>
        </is>
      </c>
      <c r="B8" s="4" t="inlineStr">
        <is>
          <t>3.1.2</t>
        </is>
      </c>
      <c r="C8" s="4" t="inlineStr">
        <is>
          <t>mrcs</t>
        </is>
      </c>
      <c r="D8" s="4" t="inlineStr">
        <is>
          <t>Avoid quoting an ultimate load figure as though it predicted an individual injury.</t>
        </is>
      </c>
      <c r="E8" s="4" t="inlineStr"/>
      <c r="F8" s="4" t="inlineStr"/>
      <c r="G8" s="4" t="inlineStr"/>
    </row>
    <row r="9">
      <c r="A9" s="4" t="inlineStr">
        <is>
          <t>3.1.3-P1</t>
        </is>
      </c>
      <c r="B9" s="4" t="inlineStr">
        <is>
          <t>3.1.3</t>
        </is>
      </c>
      <c r="C9" s="4" t="inlineStr">
        <is>
          <t>medical_student</t>
        </is>
      </c>
      <c r="D9" s="4" t="inlineStr">
        <is>
          <t>Because the quadriceps has a short lever arm relative to the external moment arm, it must generate a force several times larger than the load it balances.</t>
        </is>
      </c>
      <c r="E9" s="4" t="inlineStr"/>
      <c r="F9" s="4" t="inlineStr"/>
      <c r="G9" s="4" t="inlineStr"/>
    </row>
    <row r="10">
      <c r="A10" s="4" t="inlineStr">
        <is>
          <t>3.1.3-P2</t>
        </is>
      </c>
      <c r="B10" s="4" t="inlineStr">
        <is>
          <t>3.1.3</t>
        </is>
      </c>
      <c r="C10" s="4" t="inlineStr">
        <is>
          <t>medical_student</t>
        </is>
      </c>
      <c r="D10" s="4" t="inlineStr">
        <is>
          <t>Advise on technique as a mechanical intervention.</t>
        </is>
      </c>
      <c r="E10" s="4" t="inlineStr"/>
      <c r="F10" s="4" t="inlineStr"/>
      <c r="G10" s="4" t="inlineStr"/>
    </row>
    <row r="11">
      <c r="A11" s="4" t="inlineStr">
        <is>
          <t>3.1.3-P3</t>
        </is>
      </c>
      <c r="B11" s="4" t="inlineStr">
        <is>
          <t>3.1.3</t>
        </is>
      </c>
      <c r="C11" s="4" t="inlineStr">
        <is>
          <t>medical_student</t>
        </is>
      </c>
      <c r="D11" s="4" t="inlineStr">
        <is>
          <t>Expect patellofemoral symptoms to present on stairs, slopes and after prolonged sitting, and tibiofemoral symptoms with walking distance and standing.</t>
        </is>
      </c>
      <c r="E11" s="4" t="inlineStr"/>
      <c r="F11" s="4" t="inlineStr"/>
      <c r="G11" s="4" t="inlineStr"/>
    </row>
    <row r="12">
      <c r="A12" s="4" t="inlineStr">
        <is>
          <t>3.1.3-P4</t>
        </is>
      </c>
      <c r="B12" s="4" t="inlineStr">
        <is>
          <t>3.1.3</t>
        </is>
      </c>
      <c r="C12" s="4" t="inlineStr">
        <is>
          <t>mrcs</t>
        </is>
      </c>
      <c r="D12" s="4" t="inlineStr">
        <is>
          <t>Keep the distinction between joint reaction force and contact pressure.</t>
        </is>
      </c>
      <c r="E12" s="4" t="inlineStr"/>
      <c r="F12" s="4" t="inlineStr"/>
      <c r="G12" s="4" t="inlineStr"/>
    </row>
    <row r="13">
      <c r="A13" s="4" t="inlineStr">
        <is>
          <t>3.1.3-P5</t>
        </is>
      </c>
      <c r="B13" s="4" t="inlineStr">
        <is>
          <t>3.1.3</t>
        </is>
      </c>
      <c r="C13" s="4" t="inlineStr">
        <is>
          <t>mrcs</t>
        </is>
      </c>
      <c r="D13" s="4" t="inlineStr">
        <is>
          <t>Localise symptoms by activity before imaging, because the mechanical pattern narrows the compartment more cheaply than a scan.</t>
        </is>
      </c>
      <c r="E13" s="4" t="inlineStr"/>
      <c r="F13" s="4" t="inlineStr"/>
      <c r="G13" s="4" t="inlineStr"/>
    </row>
    <row r="14">
      <c r="A14" s="4" t="inlineStr">
        <is>
          <t>3.1.3-P6</t>
        </is>
      </c>
      <c r="B14" s="4" t="inlineStr">
        <is>
          <t>3.1.3</t>
        </is>
      </c>
      <c r="C14" s="4" t="inlineStr">
        <is>
          <t>mrcs</t>
        </is>
      </c>
      <c r="D14" s="4" t="inlineStr">
        <is>
          <t>Discuss activity modification as a load intervention with a size, rather than as general advice.</t>
        </is>
      </c>
      <c r="E14" s="4" t="inlineStr"/>
      <c r="F14" s="4" t="inlineStr"/>
      <c r="G14" s="4" t="inlineStr"/>
    </row>
    <row r="15">
      <c r="A15" s="4" t="inlineStr">
        <is>
          <t>3.1.3-P7</t>
        </is>
      </c>
      <c r="B15" s="4" t="inlineStr">
        <is>
          <t>3.1.3</t>
        </is>
      </c>
      <c r="C15" s="4" t="inlineStr">
        <is>
          <t>mrcs</t>
        </is>
      </c>
      <c r="D15" s="4" t="inlineStr">
        <is>
          <t>Assess alignment in any patient whose symptoms are compartment specific and activity related.</t>
        </is>
      </c>
      <c r="E15" s="4" t="inlineStr"/>
      <c r="F15" s="4" t="inlineStr"/>
      <c r="G15" s="4" t="inlineStr"/>
    </row>
    <row r="16">
      <c r="A16" s="4" t="inlineStr">
        <is>
          <t>3.1.3-P8</t>
        </is>
      </c>
      <c r="B16" s="4" t="inlineStr">
        <is>
          <t>3.1.3</t>
        </is>
      </c>
      <c r="C16" s="4" t="inlineStr">
        <is>
          <t>mrcs</t>
        </is>
      </c>
      <c r="D16" s="4" t="inlineStr">
        <is>
          <t>Avoid quoting a single joint load figure without the activity and the method attached.</t>
        </is>
      </c>
      <c r="E16" s="4" t="inlineStr"/>
      <c r="F16" s="4" t="inlineStr"/>
      <c r="G16" s="4" t="inlineStr"/>
    </row>
    <row r="17">
      <c r="A17" s="4" t="inlineStr">
        <is>
          <t>3.1.4-P1</t>
        </is>
      </c>
      <c r="B17" s="4" t="inlineStr">
        <is>
          <t>3.1.4</t>
        </is>
      </c>
      <c r="C17" s="4" t="inlineStr">
        <is>
          <t>medical_student</t>
        </is>
      </c>
      <c r="D17" s="4" t="inlineStr">
        <is>
          <t>Take a mechanism history in a sporting injury, because the described mechanism predicts the structures involved.</t>
        </is>
      </c>
      <c r="E17" s="4" t="inlineStr"/>
      <c r="F17" s="4" t="inlineStr"/>
      <c r="G17" s="4" t="inlineStr"/>
    </row>
    <row r="18">
      <c r="A18" s="4" t="inlineStr">
        <is>
          <t>3.1.4-P2</t>
        </is>
      </c>
      <c r="B18" s="4" t="inlineStr">
        <is>
          <t>3.1.4</t>
        </is>
      </c>
      <c r="C18" s="4" t="inlineStr">
        <is>
          <t>medical_student</t>
        </is>
      </c>
      <c r="D18" s="4" t="inlineStr">
        <is>
          <t>Expect combined injuries from pivoting mechanisms.</t>
        </is>
      </c>
      <c r="E18" s="4" t="inlineStr"/>
      <c r="F18" s="4" t="inlineStr"/>
      <c r="G18" s="4" t="inlineStr"/>
    </row>
    <row r="19">
      <c r="A19" s="4" t="inlineStr">
        <is>
          <t>3.1.4-P3</t>
        </is>
      </c>
      <c r="B19" s="4" t="inlineStr">
        <is>
          <t>3.1.4</t>
        </is>
      </c>
      <c r="C19" s="4" t="inlineStr">
        <is>
          <t>mrcs</t>
        </is>
      </c>
      <c r="D19" s="4" t="inlineStr">
        <is>
          <t>Keep that distinction when quoting a risk factor, because many quoted factors come from the weaker design.</t>
        </is>
      </c>
      <c r="E19" s="4" t="inlineStr"/>
      <c r="F19" s="4" t="inlineStr"/>
      <c r="G19" s="4" t="inlineStr"/>
    </row>
    <row r="20">
      <c r="A20" s="4" t="inlineStr">
        <is>
          <t>3.1.4-P4</t>
        </is>
      </c>
      <c r="B20" s="4" t="inlineStr">
        <is>
          <t>3.1.4</t>
        </is>
      </c>
      <c r="C20" s="4" t="inlineStr">
        <is>
          <t>mrcs</t>
        </is>
      </c>
      <c r="D20" s="4" t="inlineStr">
        <is>
          <t>Document the mechanism in the notes in mechanical terms, since it predicts the injury pattern and informs the imaging request.</t>
        </is>
      </c>
      <c r="E20" s="4" t="inlineStr"/>
      <c r="F20" s="4" t="inlineStr"/>
      <c r="G20" s="4" t="inlineStr"/>
    </row>
    <row r="21">
      <c r="A21" s="4" t="inlineStr">
        <is>
          <t>3.1.4-P5</t>
        </is>
      </c>
      <c r="B21" s="4" t="inlineStr">
        <is>
          <t>3.1.4</t>
        </is>
      </c>
      <c r="C21" s="4" t="inlineStr">
        <is>
          <t>mrcs</t>
        </is>
      </c>
      <c r="D21" s="4" t="inlineStr">
        <is>
          <t>Expect anterolateral and meniscal involvement with a pivoting mechanism and look for them.</t>
        </is>
      </c>
      <c r="E21" s="4" t="inlineStr"/>
      <c r="F21" s="4" t="inlineStr"/>
      <c r="G21" s="4" t="inlineStr"/>
    </row>
    <row r="22">
      <c r="A22" s="4" t="inlineStr">
        <is>
          <t>3.1.4-P6</t>
        </is>
      </c>
      <c r="B22" s="4" t="inlineStr">
        <is>
          <t>3.1.4</t>
        </is>
      </c>
      <c r="C22" s="4" t="inlineStr">
        <is>
          <t>mrcs</t>
        </is>
      </c>
      <c r="D22" s="4" t="inlineStr">
        <is>
          <t>Discuss prevention programmes with athletes returning to sport, because reinjury risk is the highest risk they carry.</t>
        </is>
      </c>
      <c r="E22" s="4" t="inlineStr"/>
      <c r="F22" s="4" t="inlineStr"/>
      <c r="G22" s="4" t="inlineStr"/>
    </row>
    <row r="23">
      <c r="A23" s="4" t="inlineStr">
        <is>
          <t>3.1.4-P7</t>
        </is>
      </c>
      <c r="B23" s="4" t="inlineStr">
        <is>
          <t>3.1.4</t>
        </is>
      </c>
      <c r="C23" s="4" t="inlineStr">
        <is>
          <t>mrcs</t>
        </is>
      </c>
      <c r="D23" s="4" t="inlineStr">
        <is>
          <t>Avoid quoting a cross sectional risk factor as a cause.</t>
        </is>
      </c>
      <c r="E23" s="4" t="inlineStr"/>
      <c r="F23" s="4" t="inlineStr"/>
      <c r="G23" s="4" t="inlineStr"/>
    </row>
    <row r="24">
      <c r="A24" s="4" t="inlineStr">
        <is>
          <t>3.1.5-P1</t>
        </is>
      </c>
      <c r="B24" s="4" t="inlineStr">
        <is>
          <t>3.1.5</t>
        </is>
      </c>
      <c r="C24" s="4" t="inlineStr">
        <is>
          <t>medical_student</t>
        </is>
      </c>
      <c r="D24" s="4" t="inlineStr">
        <is>
          <t>Expect the group effect rather than individual prediction, and say so, because screening an individual does not perform as well as the group data suggests.</t>
        </is>
      </c>
      <c r="E24" s="4" t="inlineStr"/>
      <c r="F24" s="4" t="inlineStr"/>
      <c r="G24" s="4" t="inlineStr"/>
    </row>
    <row r="25">
      <c r="A25" s="4" t="inlineStr">
        <is>
          <t>3.1.5-P2</t>
        </is>
      </c>
      <c r="B25" s="4" t="inlineStr">
        <is>
          <t>3.1.5</t>
        </is>
      </c>
      <c r="C25" s="4" t="inlineStr">
        <is>
          <t>medical_student</t>
        </is>
      </c>
      <c r="D25" s="4" t="inlineStr">
        <is>
          <t>Address hip and trunk control alongside the knee, since the position being targeted is produced above the joint as well as at it.</t>
        </is>
      </c>
      <c r="E25" s="4" t="inlineStr"/>
      <c r="F25" s="4" t="inlineStr"/>
      <c r="G25" s="4" t="inlineStr"/>
    </row>
    <row r="26">
      <c r="A26" s="4" t="inlineStr">
        <is>
          <t>3.1.5-P3</t>
        </is>
      </c>
      <c r="B26" s="4" t="inlineStr">
        <is>
          <t>3.1.5</t>
        </is>
      </c>
      <c r="C26" s="4" t="inlineStr">
        <is>
          <t>mrcs</t>
        </is>
      </c>
      <c r="D26" s="4" t="inlineStr">
        <is>
          <t>State the causal chain being assumed: training changes movement, changed movement changes joint loading, changed loading changes injury rate.</t>
        </is>
      </c>
      <c r="E26" s="4" t="inlineStr"/>
      <c r="F26" s="4" t="inlineStr"/>
      <c r="G26" s="4" t="inlineStr"/>
    </row>
    <row r="27">
      <c r="A27" s="4" t="inlineStr">
        <is>
          <t>3.1.5-P4</t>
        </is>
      </c>
      <c r="B27" s="4" t="inlineStr">
        <is>
          <t>3.1.5</t>
        </is>
      </c>
      <c r="C27" s="4" t="inlineStr">
        <is>
          <t>mrcs</t>
        </is>
      </c>
      <c r="D27" s="4" t="inlineStr">
        <is>
          <t>Involve the coach where possible, because delivery determines survival of the programme.</t>
        </is>
      </c>
      <c r="E27" s="4" t="inlineStr"/>
      <c r="F27" s="4" t="inlineStr"/>
      <c r="G27" s="4" t="inlineStr"/>
    </row>
    <row r="28">
      <c r="A28" s="4" t="inlineStr">
        <is>
          <t>3.1.5-P5</t>
        </is>
      </c>
      <c r="B28" s="4" t="inlineStr">
        <is>
          <t>3.1.5</t>
        </is>
      </c>
      <c r="C28" s="4" t="inlineStr">
        <is>
          <t>mrcs</t>
        </is>
      </c>
      <c r="D28" s="4" t="inlineStr">
        <is>
          <t>Expect a relative risk reduction rather than elimination, and set that expectation with the athlete.</t>
        </is>
      </c>
      <c r="E28" s="4" t="inlineStr"/>
      <c r="F28" s="4" t="inlineStr"/>
      <c r="G28" s="4" t="inlineStr"/>
    </row>
    <row r="29">
      <c r="A29" s="4" t="inlineStr">
        <is>
          <t>3.1.5-P6</t>
        </is>
      </c>
      <c r="B29" s="4" t="inlineStr">
        <is>
          <t>3.1.5</t>
        </is>
      </c>
      <c r="C29" s="4" t="inlineStr">
        <is>
          <t>mrcs</t>
        </is>
      </c>
      <c r="D29" s="4" t="inlineStr">
        <is>
          <t>Avoid individual screening as a basis for selection or exclusion, since the tests do not perform at that level.</t>
        </is>
      </c>
      <c r="E29" s="4" t="inlineStr"/>
      <c r="F29" s="4" t="inlineStr"/>
      <c r="G29" s="4" t="inlineStr"/>
    </row>
    <row r="30">
      <c r="A30" s="4" t="inlineStr">
        <is>
          <t>3.1.6-P1</t>
        </is>
      </c>
      <c r="B30" s="4" t="inlineStr">
        <is>
          <t>3.1.6</t>
        </is>
      </c>
      <c r="C30" s="4" t="inlineStr">
        <is>
          <t>medical_student</t>
        </is>
      </c>
      <c r="D30" s="4" t="inlineStr">
        <is>
          <t>Expect graft position to matter more than graft choice in most published comparisons.</t>
        </is>
      </c>
      <c r="E30" s="4" t="inlineStr"/>
      <c r="F30" s="4" t="inlineStr"/>
      <c r="G30" s="4" t="inlineStr"/>
    </row>
    <row r="31">
      <c r="A31" s="4" t="inlineStr">
        <is>
          <t>3.1.6-P2</t>
        </is>
      </c>
      <c r="B31" s="4" t="inlineStr">
        <is>
          <t>3.1.6</t>
        </is>
      </c>
      <c r="C31" s="4" t="inlineStr">
        <is>
          <t>medical_student</t>
        </is>
      </c>
      <c r="D31" s="4" t="inlineStr">
        <is>
          <t>Correct alignment where it is abnormal, because the construct carries the consequence at every step.</t>
        </is>
      </c>
      <c r="E31" s="4" t="inlineStr"/>
      <c r="F31" s="4" t="inlineStr"/>
      <c r="G31" s="4" t="inlineStr"/>
    </row>
    <row r="32">
      <c r="A32" s="4" t="inlineStr">
        <is>
          <t>3.1.6-P3</t>
        </is>
      </c>
      <c r="B32" s="4" t="inlineStr">
        <is>
          <t>3.1.6</t>
        </is>
      </c>
      <c r="C32" s="4" t="inlineStr">
        <is>
          <t>medical_student</t>
        </is>
      </c>
      <c r="D32" s="4" t="inlineStr">
        <is>
          <t>Read a rehabilitation protocol as a loading schedule rather than as a list of exercises.</t>
        </is>
      </c>
      <c r="E32" s="4" t="inlineStr"/>
      <c r="F32" s="4" t="inlineStr"/>
      <c r="G32" s="4" t="inlineStr"/>
    </row>
    <row r="33">
      <c r="A33" s="4" t="inlineStr">
        <is>
          <t>3.1.6-P4</t>
        </is>
      </c>
      <c r="B33" s="4" t="inlineStr">
        <is>
          <t>3.1.6</t>
        </is>
      </c>
      <c r="C33" s="4" t="inlineStr">
        <is>
          <t>mrcs</t>
        </is>
      </c>
      <c r="D33" s="4" t="inlineStr">
        <is>
          <t>State the design problem: restore a restraint using a different material, fixed at two points, in a joint that moves through a hundred and thirty degrees.</t>
        </is>
      </c>
      <c r="E33" s="4" t="inlineStr"/>
      <c r="F33" s="4" t="inlineStr"/>
      <c r="G33" s="4" t="inlineStr"/>
    </row>
    <row r="34">
      <c r="A34" s="4" t="inlineStr">
        <is>
          <t>3.1.6-P5</t>
        </is>
      </c>
      <c r="B34" s="4" t="inlineStr">
        <is>
          <t>3.1.6</t>
        </is>
      </c>
      <c r="C34" s="4" t="inlineStr">
        <is>
          <t>mrcs</t>
        </is>
      </c>
      <c r="D34" s="4" t="inlineStr">
        <is>
          <t>Plan tunnel position from landmarks and confirm it, because position is the variable most associated with failure.</t>
        </is>
      </c>
      <c r="E34" s="4" t="inlineStr"/>
      <c r="F34" s="4" t="inlineStr"/>
      <c r="G34" s="4" t="inlineStr"/>
    </row>
    <row r="35">
      <c r="A35" s="4" t="inlineStr">
        <is>
          <t>3.1.6-P6</t>
        </is>
      </c>
      <c r="B35" s="4" t="inlineStr">
        <is>
          <t>3.1.6</t>
        </is>
      </c>
      <c r="C35" s="4" t="inlineStr">
        <is>
          <t>mrcs</t>
        </is>
      </c>
      <c r="D35" s="4" t="inlineStr">
        <is>
          <t>Assess and correct alignment before or with a soft tissue reconstruction in a deformed limb.</t>
        </is>
      </c>
      <c r="E35" s="4" t="inlineStr"/>
      <c r="F35" s="4" t="inlineStr"/>
      <c r="G35" s="4" t="inlineStr"/>
    </row>
    <row r="36">
      <c r="A36" s="4" t="inlineStr">
        <is>
          <t>3.1.6-P7</t>
        </is>
      </c>
      <c r="B36" s="4" t="inlineStr">
        <is>
          <t>3.1.6</t>
        </is>
      </c>
      <c r="C36" s="4" t="inlineStr">
        <is>
          <t>mrcs</t>
        </is>
      </c>
      <c r="D36" s="4" t="inlineStr">
        <is>
          <t>Preserve meniscal tissue wherever repair is possible, because contact pressure is the mechanical consequence of removing it.</t>
        </is>
      </c>
      <c r="E36" s="4" t="inlineStr"/>
      <c r="F36" s="4" t="inlineStr"/>
      <c r="G36" s="4" t="inlineStr"/>
    </row>
    <row r="37">
      <c r="A37" s="4" t="inlineStr">
        <is>
          <t>3.1.6-P8</t>
        </is>
      </c>
      <c r="B37" s="4" t="inlineStr">
        <is>
          <t>3.1.6</t>
        </is>
      </c>
      <c r="C37" s="4" t="inlineStr">
        <is>
          <t>mrcs</t>
        </is>
      </c>
      <c r="D37" s="4" t="inlineStr">
        <is>
          <t>Avoid judging a construct by its time zero strength, since the weakest point comes later.</t>
        </is>
      </c>
      <c r="E37" s="4" t="inlineStr"/>
      <c r="F37" s="4" t="inlineStr"/>
      <c r="G37" s="4" t="inlineStr"/>
    </row>
    <row r="38">
      <c r="A38" s="4" t="inlineStr">
        <is>
          <t>3.1.6-P9</t>
        </is>
      </c>
      <c r="B38" s="4" t="inlineStr">
        <is>
          <t>3.1.6</t>
        </is>
      </c>
      <c r="C38" s="4" t="inlineStr">
        <is>
          <t>mrcs</t>
        </is>
      </c>
      <c r="D38" s="4" t="inlineStr">
        <is>
          <t>Restore a restraint with a different material, two fixation points, through 130 degrees.</t>
        </is>
      </c>
      <c r="E38" s="4" t="inlineStr"/>
      <c r="F38" s="4" t="inlineStr"/>
      <c r="G38" s="4" t="inlineStr"/>
    </row>
    <row r="39">
      <c r="A39" s="4" t="inlineStr">
        <is>
          <t>3.1.6-P10</t>
        </is>
      </c>
      <c r="B39" s="4" t="inlineStr">
        <is>
          <t>3.1.6</t>
        </is>
      </c>
      <c r="C39" s="4" t="inlineStr">
        <is>
          <t>frcs</t>
        </is>
      </c>
      <c r="D39" s="4" t="inlineStr">
        <is>
          <t>Treat the knee as a system of restraints whose contributions change with flexion angle, and a reconstruction as an alteration to one term in that system.</t>
        </is>
      </c>
      <c r="E39" s="4" t="inlineStr"/>
      <c r="F39" s="4" t="inlineStr"/>
      <c r="G39" s="4" t="inlineStr"/>
    </row>
    <row r="40">
      <c r="A40" s="4" t="inlineStr">
        <is>
          <t>3.1.6-P11</t>
        </is>
      </c>
      <c r="B40" s="4" t="inlineStr">
        <is>
          <t>3.1.6</t>
        </is>
      </c>
      <c r="C40" s="4" t="inlineStr">
        <is>
          <t>frcs</t>
        </is>
      </c>
      <c r="D40" s="4" t="inlineStr">
        <is>
          <t>Assess the whole restraint system before reconstructing one part of it.</t>
        </is>
      </c>
      <c r="E40" s="4" t="inlineStr"/>
      <c r="F40" s="4" t="inlineStr"/>
      <c r="G40" s="4" t="inlineStr"/>
    </row>
    <row r="41">
      <c r="A41" s="4" t="inlineStr">
        <is>
          <t>3.1.6-P12</t>
        </is>
      </c>
      <c r="B41" s="4" t="inlineStr">
        <is>
          <t>3.1.6</t>
        </is>
      </c>
      <c r="C41" s="4" t="inlineStr">
        <is>
          <t>frcs</t>
        </is>
      </c>
      <c r="D41" s="4" t="inlineStr">
        <is>
          <t>Measure and consider alignment and slope in any revision, since both are now recognised contributors to failure.</t>
        </is>
      </c>
      <c r="E41" s="4" t="inlineStr"/>
      <c r="F41" s="4" t="inlineStr"/>
      <c r="G41" s="4" t="inlineStr"/>
    </row>
    <row r="42">
      <c r="A42" s="4" t="inlineStr">
        <is>
          <t>3.1.6-P13</t>
        </is>
      </c>
      <c r="B42" s="4" t="inlineStr">
        <is>
          <t>3.1.6</t>
        </is>
      </c>
      <c r="C42" s="4" t="inlineStr">
        <is>
          <t>frcs</t>
        </is>
      </c>
      <c r="D42" s="4" t="inlineStr">
        <is>
          <t>Set the expectation that a construct restores a restraint rather than a knee, and document that conversation.</t>
        </is>
      </c>
      <c r="E42" s="4" t="inlineStr"/>
      <c r="F42" s="4" t="inlineStr"/>
      <c r="G42" s="4" t="inlineStr"/>
    </row>
    <row r="43">
      <c r="A43" s="4" t="inlineStr">
        <is>
          <t>3.1.6-P14</t>
        </is>
      </c>
      <c r="B43" s="4" t="inlineStr">
        <is>
          <t>3.1.6</t>
        </is>
      </c>
      <c r="C43" s="4" t="inlineStr">
        <is>
          <t>frcs</t>
        </is>
      </c>
      <c r="D43" s="4" t="inlineStr">
        <is>
          <t>Avoid attributing a clinical failure to a graft when the mechanical environment it was placed in was never corrected.</t>
        </is>
      </c>
      <c r="E43" s="4" t="inlineStr"/>
      <c r="F43" s="4" t="inlineStr"/>
      <c r="G43" s="4" t="inlineStr"/>
    </row>
    <row r="44">
      <c r="A44" s="4" t="inlineStr">
        <is>
          <t>3.1.7-P1</t>
        </is>
      </c>
      <c r="B44" s="4" t="inlineStr">
        <is>
          <t>3.1.7</t>
        </is>
      </c>
      <c r="C44" s="4" t="inlineStr">
        <is>
          <t>frcs</t>
        </is>
      </c>
      <c r="D44" s="4" t="inlineStr">
        <is>
          <t>Expect disagreement between calculated and directly measured joint loads, and quote both when the difference matters.</t>
        </is>
      </c>
      <c r="E44" s="4" t="inlineStr"/>
      <c r="F44" s="4" t="inlineStr"/>
      <c r="G44" s="4" t="inlineStr"/>
    </row>
    <row r="45">
      <c r="A45" s="4" t="inlineStr">
        <is>
          <t>3.1.7-P2</t>
        </is>
      </c>
      <c r="B45" s="4" t="inlineStr">
        <is>
          <t>3.1.7</t>
        </is>
      </c>
      <c r="C45" s="4" t="inlineStr">
        <is>
          <t>frcs</t>
        </is>
      </c>
      <c r="D45" s="4" t="inlineStr">
        <is>
          <t>Treat sectioning study figures as order dependent, since the sequence of cutting changes the apportionment.</t>
        </is>
      </c>
      <c r="E45" s="4" t="inlineStr"/>
      <c r="F45" s="4" t="inlineStr"/>
      <c r="G45" s="4" t="inlineStr"/>
    </row>
    <row r="46">
      <c r="A46" s="4" t="inlineStr">
        <is>
          <t>3.1.7-P3</t>
        </is>
      </c>
      <c r="B46" s="4" t="inlineStr">
        <is>
          <t>3.1.7</t>
        </is>
      </c>
      <c r="C46" s="4" t="inlineStr">
        <is>
          <t>fellowship</t>
        </is>
      </c>
      <c r="D46" s="4" t="inlineStr">
        <is>
          <t>Read a biomechanical claim with its method and its date attached, as a matter of habit rather than scepticism.</t>
        </is>
      </c>
      <c r="E46" s="4" t="inlineStr"/>
      <c r="F46" s="4" t="inlineStr"/>
      <c r="G46" s="4" t="inlineStr"/>
    </row>
    <row r="47">
      <c r="A47" s="4" t="inlineStr">
        <is>
          <t>3.1.7-P4</t>
        </is>
      </c>
      <c r="B47" s="4" t="inlineStr">
        <is>
          <t>3.1.7</t>
        </is>
      </c>
      <c r="C47" s="4" t="inlineStr">
        <is>
          <t>fellowship</t>
        </is>
      </c>
      <c r="D47" s="4" t="inlineStr">
        <is>
          <t>Expect any sectioning study's apportionment to depend on cutting order, and read several rather than one.</t>
        </is>
      </c>
      <c r="E47" s="4" t="inlineStr"/>
      <c r="F47" s="4" t="inlineStr"/>
      <c r="G47" s="4" t="inlineStr"/>
    </row>
    <row r="48">
      <c r="A48" s="4" t="inlineStr">
        <is>
          <t>3.1.7-P5</t>
        </is>
      </c>
      <c r="B48" s="4" t="inlineStr">
        <is>
          <t>3.1.7</t>
        </is>
      </c>
      <c r="C48" s="4" t="inlineStr">
        <is>
          <t>fellowship</t>
        </is>
      </c>
      <c r="D48" s="4" t="inlineStr">
        <is>
          <t>Treat a figure that has no method attached as unusable, however often it is repeated.</t>
        </is>
      </c>
      <c r="E48" s="4" t="inlineStr"/>
      <c r="F48" s="4" t="inlineStr"/>
      <c r="G48" s="4" t="inlineStr"/>
    </row>
    <row r="49">
      <c r="A49" s="4" t="inlineStr">
        <is>
          <t>3.1.7-P6</t>
        </is>
      </c>
      <c r="B49" s="4" t="inlineStr">
        <is>
          <t>3.1.7</t>
        </is>
      </c>
      <c r="C49" s="4" t="inlineStr">
        <is>
          <t>fellowship</t>
        </is>
      </c>
      <c r="D49" s="4" t="inlineStr">
        <is>
          <t>Consider which of your own standard figures come from an era whose instruments could not have measured what the figure claims.</t>
        </is>
      </c>
      <c r="E49" s="4" t="inlineStr"/>
      <c r="F49" s="4" t="inlineStr"/>
      <c r="G49" s="4" t="inlineStr"/>
    </row>
    <row r="50">
      <c r="A50" s="4" t="inlineStr">
        <is>
          <t>3.1.8-P1</t>
        </is>
      </c>
      <c r="B50" s="4" t="inlineStr">
        <is>
          <t>3.1.8</t>
        </is>
      </c>
      <c r="C50" s="4" t="inlineStr">
        <is>
          <t>frcs</t>
        </is>
      </c>
      <c r="D50" s="4" t="inlineStr">
        <is>
          <t>Measure strain, force or motion in a living knee.</t>
        </is>
      </c>
      <c r="E50" s="4" t="inlineStr"/>
      <c r="F50" s="4" t="inlineStr"/>
      <c r="G50" s="4" t="inlineStr"/>
    </row>
    <row r="51">
      <c r="A51" s="4" t="inlineStr">
        <is>
          <t>3.1.8-P2</t>
        </is>
      </c>
      <c r="B51" s="4" t="inlineStr">
        <is>
          <t>3.1.8</t>
        </is>
      </c>
      <c r="C51" s="4" t="inlineStr">
        <is>
          <t>frcs</t>
        </is>
      </c>
      <c r="D51" s="4" t="inlineStr">
        <is>
          <t>Measure a shape or a position from a scan and relate it to an event.</t>
        </is>
      </c>
      <c r="E51" s="4" t="inlineStr"/>
      <c r="F51" s="4" t="inlineStr"/>
      <c r="G51" s="4" t="inlineStr"/>
    </row>
    <row r="52">
      <c r="A52" s="4" t="inlineStr">
        <is>
          <t>3.1.8-P3</t>
        </is>
      </c>
      <c r="B52" s="4" t="inlineStr">
        <is>
          <t>3.1.8</t>
        </is>
      </c>
      <c r="C52" s="4" t="inlineStr">
        <is>
          <t>frcs</t>
        </is>
      </c>
      <c r="D52" s="4" t="inlineStr">
        <is>
          <t>Follow patients and record what happened.</t>
        </is>
      </c>
      <c r="E52" s="4" t="inlineStr"/>
      <c r="F52" s="4" t="inlineStr"/>
      <c r="G52" s="4" t="inlineStr"/>
    </row>
    <row r="53">
      <c r="A53" s="4" t="inlineStr">
        <is>
          <t>3.1.8-P4</t>
        </is>
      </c>
      <c r="B53" s="4" t="inlineStr">
        <is>
          <t>3.1.8</t>
        </is>
      </c>
      <c r="C53" s="4" t="inlineStr">
        <is>
          <t>fellowship</t>
        </is>
      </c>
      <c r="D53" s="4" t="inlineStr">
        <is>
          <t>Read the design before the abstract, since the design bounds every claim the abstract makes.</t>
        </is>
      </c>
      <c r="E53" s="4" t="inlineStr"/>
      <c r="F53" s="4" t="inlineStr"/>
      <c r="G53" s="4" t="inlineStr"/>
    </row>
    <row r="54">
      <c r="A54" s="4" t="inlineStr">
        <is>
          <t>3.1.8-P5</t>
        </is>
      </c>
      <c r="B54" s="4" t="inlineStr">
        <is>
          <t>3.1.8</t>
        </is>
      </c>
      <c r="C54" s="4" t="inlineStr">
        <is>
          <t>fellowship</t>
        </is>
      </c>
      <c r="D54" s="4" t="inlineStr">
        <is>
          <t>Ask what the comparator was, and treat its absence as a reason to downgrade rather than as a detail.</t>
        </is>
      </c>
      <c r="E54" s="4" t="inlineStr"/>
      <c r="F54" s="4" t="inlineStr"/>
      <c r="G54" s="4" t="inlineStr"/>
    </row>
    <row r="55">
      <c r="A55" s="4" t="inlineStr">
        <is>
          <t>3.1.8-P6</t>
        </is>
      </c>
      <c r="B55" s="4" t="inlineStr">
        <is>
          <t>3.1.8</t>
        </is>
      </c>
      <c r="C55" s="4" t="inlineStr">
        <is>
          <t>fellowship</t>
        </is>
      </c>
      <c r="D55" s="4" t="inlineStr">
        <is>
          <t>Read chapter 3.17 by subject when a specific study matters, and read this page's five designs when a new paper arrives in a subject you do not know.</t>
        </is>
      </c>
      <c r="E55" s="4" t="inlineStr"/>
      <c r="F55" s="4" t="inlineStr"/>
      <c r="G55" s="4" t="inlineStr"/>
    </row>
    <row r="56">
      <c r="A56" s="4" t="inlineStr">
        <is>
          <t>3.1.8-P7</t>
        </is>
      </c>
      <c r="B56" s="4" t="inlineStr">
        <is>
          <t>3.1.8</t>
        </is>
      </c>
      <c r="C56" s="4" t="inlineStr">
        <is>
          <t>consultant</t>
        </is>
      </c>
      <c r="D56" s="4" t="inlineStr">
        <is>
          <t>The decision this page informs is how much weight a landmark study should carry when a patient is in front of you, and the answer is a balance rather than a rule.</t>
        </is>
      </c>
      <c r="E56" s="4" t="inlineStr"/>
      <c r="F56" s="4" t="inlineStr"/>
      <c r="G56" s="4" t="inlineStr"/>
    </row>
    <row r="57">
      <c r="A57" s="4" t="inlineStr">
        <is>
          <t>3.1.8-P8</t>
        </is>
      </c>
      <c r="B57" s="4" t="inlineStr">
        <is>
          <t>3.1.8</t>
        </is>
      </c>
      <c r="C57" s="4" t="inlineStr">
        <is>
          <t>consultant</t>
        </is>
      </c>
      <c r="D57" s="4" t="inlineStr">
        <is>
          <t>Consider their age and physiology, because a finding from elderly specimens transfers differently to a young knee.</t>
        </is>
      </c>
      <c r="E57" s="4" t="inlineStr"/>
      <c r="F57" s="4" t="inlineStr"/>
      <c r="G57" s="4" t="inlineStr"/>
    </row>
    <row r="58">
      <c r="A58" s="4" t="inlineStr">
        <is>
          <t>3.1.8-P9</t>
        </is>
      </c>
      <c r="B58" s="4" t="inlineStr">
        <is>
          <t>3.1.8</t>
        </is>
      </c>
      <c r="C58" s="4" t="inlineStr">
        <is>
          <t>consultant</t>
        </is>
      </c>
      <c r="D58" s="4" t="inlineStr">
        <is>
          <t>Consider their comorbidities, which change healing and rehabilitation in ways no cadaveric study measures.</t>
        </is>
      </c>
      <c r="E58" s="4" t="inlineStr"/>
      <c r="F58" s="4" t="inlineStr"/>
      <c r="G58" s="4" t="inlineStr"/>
    </row>
    <row r="59">
      <c r="A59" s="4" t="inlineStr">
        <is>
          <t>3.1.8-P10</t>
        </is>
      </c>
      <c r="B59" s="4" t="inlineStr">
        <is>
          <t>3.1.8</t>
        </is>
      </c>
      <c r="C59" s="4" t="inlineStr">
        <is>
          <t>consultant</t>
        </is>
      </c>
      <c r="D59" s="4" t="inlineStr">
        <is>
          <t>Consider the demands on their knee, since that determines which of the mechanical findings is relevant and which is academic.</t>
        </is>
      </c>
      <c r="E59" s="4" t="inlineStr"/>
      <c r="F59" s="4" t="inlineStr"/>
      <c r="G59" s="4" t="inlineStr"/>
    </row>
    <row r="60">
      <c r="A60" s="4" t="inlineStr">
        <is>
          <t>3.1.8-P11</t>
        </is>
      </c>
      <c r="B60" s="4" t="inlineStr">
        <is>
          <t>3.1.8</t>
        </is>
      </c>
      <c r="C60" s="4" t="inlineStr">
        <is>
          <t>consultant</t>
        </is>
      </c>
      <c r="D60" s="4" t="inlineStr">
        <is>
          <t>Consider their psychological state, because confidence and fear of reinjury predict function more strongly than laxity does.</t>
        </is>
      </c>
      <c r="E60" s="4" t="inlineStr"/>
      <c r="F60" s="4" t="inlineStr"/>
      <c r="G60" s="4" t="inlineStr"/>
    </row>
    <row r="61">
      <c r="A61" s="4" t="inlineStr">
        <is>
          <t>3.1.8-P12</t>
        </is>
      </c>
      <c r="B61" s="4" t="inlineStr">
        <is>
          <t>3.1.8</t>
        </is>
      </c>
      <c r="C61" s="4" t="inlineStr">
        <is>
          <t>consultant</t>
        </is>
      </c>
      <c r="D61" s="4" t="inlineStr">
        <is>
          <t>Record which way the balance fell and what evidence you weighted, since that is what makes the decision reviewable later.</t>
        </is>
      </c>
      <c r="E61" s="4" t="inlineStr"/>
      <c r="F61" s="4" t="inlineStr"/>
      <c r="G61" s="4" t="inlineStr"/>
    </row>
  </sheetData>
  <dataValidations count="1">
    <dataValidation sqref="E3:E61"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3.1.2-F1</t>
        </is>
      </c>
      <c r="B3" s="4" t="inlineStr">
        <is>
          <t>3.1.2</t>
        </is>
      </c>
      <c r="C3" s="4" t="inlineStr">
        <is>
          <t>mrcs</t>
        </is>
      </c>
      <c r="D3" s="4" t="inlineStr">
        <is>
          <t>2,000</t>
        </is>
      </c>
      <c r="E3" s="4" t="inlineStr">
        <is>
          <t>Conventional teaching gives anterior cruciate ultimate tensile load as of the order of 2,000 newtons, and estimates of the load during a pivoting manoeuvre approach that figure.</t>
        </is>
      </c>
      <c r="F3" s="4" t="inlineStr"/>
      <c r="G3" s="4" t="inlineStr"/>
      <c r="H3" s="4" t="inlineStr"/>
    </row>
    <row r="4">
      <c r="A4" s="4" t="inlineStr">
        <is>
          <t>3.1.4-F1</t>
        </is>
      </c>
      <c r="B4" s="4" t="inlineStr">
        <is>
          <t>3.1.4</t>
        </is>
      </c>
      <c r="C4" s="4" t="inlineStr">
        <is>
          <t>medical_student</t>
        </is>
      </c>
      <c r="D4" s="4" t="inlineStr">
        <is>
          <t>50</t>
        </is>
      </c>
      <c r="E4" s="4" t="inlineStr">
        <is>
          <t>Non-contact anterior cruciate injury typically occurs within about 50 milliseconds of initial contact, which is faster than a voluntary muscle response can correct.</t>
        </is>
      </c>
      <c r="F4" s="4" t="inlineStr"/>
      <c r="G4" s="4" t="inlineStr"/>
      <c r="H4" s="4" t="inlineStr"/>
    </row>
    <row r="5">
      <c r="A5" s="4" t="inlineStr">
        <is>
          <t>3.1.6-F1</t>
        </is>
      </c>
      <c r="B5" s="4" t="inlineStr">
        <is>
          <t>3.1.6</t>
        </is>
      </c>
      <c r="C5" s="4" t="inlineStr">
        <is>
          <t>mrcs</t>
        </is>
      </c>
      <c r="D5" s="4" t="inlineStr">
        <is>
          <t>130 degrees</t>
        </is>
      </c>
      <c r="E5" s="4" t="inlineStr">
        <is>
          <t>- Restore a restraint with a different material, two fixation points, through 130 degrees.</t>
        </is>
      </c>
      <c r="F5" s="4" t="inlineStr"/>
      <c r="G5" s="4" t="inlineStr"/>
      <c r="H5" s="4" t="inlineStr"/>
    </row>
  </sheetData>
  <dataValidations count="1">
    <dataValidation sqref="F3:F5"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59</f>
        <v/>
      </c>
      <c r="C2" s="3">
        <f>3</f>
        <v/>
      </c>
    </row>
    <row r="3">
      <c r="A3" s="2" t="inlineStr">
        <is>
          <t>Decided</t>
        </is>
      </c>
      <c r="B3" s="3">
        <f>COUNTIF(Recommendations!E3:E61,"&lt;&gt;")</f>
        <v/>
      </c>
      <c r="C3" s="3">
        <f>COUNTIF(Measurements!F3:F5,"&lt;&gt;")</f>
        <v/>
      </c>
    </row>
    <row r="4">
      <c r="A4" s="2" t="inlineStr">
        <is>
          <t>Still blank</t>
        </is>
      </c>
      <c r="B4" s="3">
        <f>B2-B3</f>
        <v/>
      </c>
      <c r="C4" s="3">
        <f>C2-C3</f>
        <v/>
      </c>
    </row>
    <row r="5">
      <c r="A5" s="2" t="inlineStr">
        <is>
          <t>CONFIRMED</t>
        </is>
      </c>
      <c r="B5" s="3">
        <f>COUNTIF(Recommendations!E3:E61,"CONFIRMED")</f>
        <v/>
      </c>
      <c r="C5" s="3" t="inlineStr"/>
    </row>
    <row r="6">
      <c r="A6" s="2" t="inlineStr">
        <is>
          <t>AMENDED</t>
        </is>
      </c>
      <c r="B6" s="3">
        <f>COUNTIF(Recommendations!E3:E61,"AMENDED")</f>
        <v/>
      </c>
      <c r="C6" s="3" t="inlineStr"/>
    </row>
    <row r="7">
      <c r="A7" s="2" t="inlineStr">
        <is>
          <t>WITHDRAWN</t>
        </is>
      </c>
      <c r="B7" s="3">
        <f>COUNTIF(Recommendations!E3:E61,"WITHDRAWN")</f>
        <v/>
      </c>
      <c r="C7" s="3" t="inlineStr"/>
    </row>
    <row r="8">
      <c r="A8" s="2" t="inlineStr">
        <is>
          <t>NOT_CLINICAL</t>
        </is>
      </c>
      <c r="B8" s="3">
        <f>COUNTIF(Recommendations!E3:E61,"NOT_CLINICAL")</f>
        <v/>
      </c>
      <c r="C8" s="3" t="inlineStr"/>
    </row>
    <row r="9">
      <c r="A9" s="2" t="inlineStr">
        <is>
          <t>VERIFIED</t>
        </is>
      </c>
      <c r="B9" s="3" t="inlineStr"/>
      <c r="C9" s="3">
        <f>COUNTIF(Measurements!F3:F5,"VERIFIED")</f>
        <v/>
      </c>
    </row>
    <row r="10">
      <c r="A10" s="2" t="inlineStr">
        <is>
          <t>CORRECTED</t>
        </is>
      </c>
      <c r="B10" s="3" t="inlineStr"/>
      <c r="C10" s="3">
        <f>COUNTIF(Measurements!F3:F5,"CORRECTED")</f>
        <v/>
      </c>
    </row>
    <row r="11">
      <c r="A11" s="2" t="inlineStr">
        <is>
          <t>REMOVED</t>
        </is>
      </c>
      <c r="B11" s="3" t="inlineStr"/>
      <c r="C11" s="3">
        <f>COUNTIF(Measurements!F3:F5,"REMOVED")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2026-10-11T21:02:37Z</dcterms:created>
  <dcterms:modified xmlns:dcterms="http://purl.org/dc/terms/" xmlns:xsi="http://www.w3.org/2001/XMLSchema-instance" xsi:type="dcterms:W3CDTF">2026-10-11T21:02:37Z</dcterms:modified>
</cp:coreProperties>
</file>