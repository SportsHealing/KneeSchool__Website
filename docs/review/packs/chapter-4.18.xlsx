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4.18 Osteoarthritis Examination</t>
        </is>
      </c>
    </row>
    <row r="3">
      <c r="A3" s="2" t="inlineStr">
        <is>
          <t>Section</t>
        </is>
      </c>
      <c r="B3" s="3" t="inlineStr">
        <is>
          <t>4</t>
        </is>
      </c>
    </row>
    <row r="4">
      <c r="A4" s="2" t="inlineStr">
        <is>
          <t>Chapter</t>
        </is>
      </c>
      <c r="B4" s="3" t="inlineStr">
        <is>
          <t>4.18 Osteoarthritis Examination</t>
        </is>
      </c>
    </row>
    <row r="5">
      <c r="A5" s="2" t="inlineStr">
        <is>
          <t>Pages</t>
        </is>
      </c>
      <c r="B5" s="3" t="n">
        <v>7</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10,515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33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4.18.1</t>
        </is>
      </c>
      <c r="B2" s="6" t="inlineStr">
        <is>
          <t>Early OA</t>
        </is>
      </c>
      <c r="C2" s="6" t="n">
        <v>4</v>
      </c>
      <c r="D2" s="6" t="n">
        <v>1590</v>
      </c>
      <c r="E2" s="6" t="inlineStr">
        <is>
          <t>examination/early-oa.html</t>
        </is>
      </c>
    </row>
    <row r="3">
      <c r="A3" s="6" t="inlineStr">
        <is>
          <t>4.18.2</t>
        </is>
      </c>
      <c r="B3" s="6" t="inlineStr">
        <is>
          <t>Established OA</t>
        </is>
      </c>
      <c r="C3" s="6" t="n">
        <v>4</v>
      </c>
      <c r="D3" s="6" t="n">
        <v>1547</v>
      </c>
      <c r="E3" s="6" t="inlineStr">
        <is>
          <t>examination/established-oa.html</t>
        </is>
      </c>
    </row>
    <row r="4">
      <c r="A4" s="6" t="inlineStr">
        <is>
          <t>4.18.3</t>
        </is>
      </c>
      <c r="B4" s="6" t="inlineStr">
        <is>
          <t>Varus OA</t>
        </is>
      </c>
      <c r="C4" s="6" t="n">
        <v>4</v>
      </c>
      <c r="D4" s="6" t="n">
        <v>1504</v>
      </c>
      <c r="E4" s="6" t="inlineStr">
        <is>
          <t>examination/varus-oa.html</t>
        </is>
      </c>
    </row>
    <row r="5">
      <c r="A5" s="6" t="inlineStr">
        <is>
          <t>4.18.4</t>
        </is>
      </c>
      <c r="B5" s="6" t="inlineStr">
        <is>
          <t>Valgus OA</t>
        </is>
      </c>
      <c r="C5" s="6" t="n">
        <v>4</v>
      </c>
      <c r="D5" s="6" t="n">
        <v>1468</v>
      </c>
      <c r="E5" s="6" t="inlineStr">
        <is>
          <t>examination/valgus-oa.html</t>
        </is>
      </c>
    </row>
    <row r="6">
      <c r="A6" s="6" t="inlineStr">
        <is>
          <t>4.18.5</t>
        </is>
      </c>
      <c r="B6" s="6" t="inlineStr">
        <is>
          <t>Patellofemoral OA</t>
        </is>
      </c>
      <c r="C6" s="6" t="n">
        <v>4</v>
      </c>
      <c r="D6" s="6" t="n">
        <v>1489</v>
      </c>
      <c r="E6" s="6" t="inlineStr">
        <is>
          <t>examination/patellofemoral-oa.html</t>
        </is>
      </c>
    </row>
    <row r="7">
      <c r="A7" s="6" t="inlineStr">
        <is>
          <t>4.18.6</t>
        </is>
      </c>
      <c r="B7" s="6" t="inlineStr">
        <is>
          <t>Functional Limitation</t>
        </is>
      </c>
      <c r="C7" s="6" t="n">
        <v>4</v>
      </c>
      <c r="D7" s="6" t="n">
        <v>1408</v>
      </c>
      <c r="E7" s="6" t="inlineStr">
        <is>
          <t>examination/oa-functional-limitation.html</t>
        </is>
      </c>
    </row>
    <row r="8">
      <c r="A8" s="6" t="inlineStr">
        <is>
          <t>4.18.7</t>
        </is>
      </c>
      <c r="B8" s="6" t="inlineStr">
        <is>
          <t>Arthroplasty Assessment</t>
        </is>
      </c>
      <c r="C8" s="6" t="n">
        <v>4</v>
      </c>
      <c r="D8" s="6" t="n">
        <v>1509</v>
      </c>
      <c r="E8" s="6" t="inlineStr">
        <is>
          <t>examination/arthroplasty-assessment.html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4.18.1</t>
        </is>
      </c>
      <c r="B2" s="4" t="inlineStr">
        <is>
          <t>Early OA</t>
        </is>
      </c>
      <c r="C2" s="4" t="inlineStr">
        <is>
          <t>The question is whether one compartment or the whole knee is involved.</t>
        </is>
      </c>
    </row>
    <row r="3">
      <c r="A3" s="4" t="inlineStr">
        <is>
          <t>4.18.1</t>
        </is>
      </c>
      <c r="B3" s="4" t="inlineStr">
        <is>
          <t>Early OA</t>
        </is>
      </c>
      <c r="C3" s="4" t="inlineStr">
        <is>
          <t>Tenderness on the opposite joint line changes the picture and is easy to omit.</t>
        </is>
      </c>
    </row>
    <row r="4">
      <c r="A4" s="4" t="inlineStr">
        <is>
          <t>4.18.1</t>
        </is>
      </c>
      <c r="B4" s="4" t="inlineStr">
        <is>
          <t>Early OA</t>
        </is>
      </c>
      <c r="C4" s="4" t="inlineStr">
        <is>
          <t>Stiffness lasting beyond an hour belongs to an inflammatory process.</t>
        </is>
      </c>
    </row>
    <row r="5">
      <c r="A5" s="4" t="inlineStr">
        <is>
          <t>4.18.1</t>
        </is>
      </c>
      <c r="B5" s="4" t="inlineStr">
        <is>
          <t>Early OA</t>
        </is>
      </c>
      <c r="C5" s="4" t="inlineStr">
        <is>
          <t>A deformity correctable supine can be fixed under load.</t>
        </is>
      </c>
    </row>
    <row r="6">
      <c r="A6" s="4" t="inlineStr">
        <is>
          <t>4.18.1</t>
        </is>
      </c>
      <c r="B6" s="4" t="inlineStr">
        <is>
          <t>Early OA</t>
        </is>
      </c>
      <c r="C6" s="4" t="inlineStr">
        <is>
          <t>The focal or diffuse distinction is not available from the examination.</t>
        </is>
      </c>
    </row>
    <row r="7">
      <c r="A7" s="4" t="inlineStr">
        <is>
          <t>4.18.2</t>
        </is>
      </c>
      <c r="B7" s="4" t="inlineStr">
        <is>
          <t>Established OA</t>
        </is>
      </c>
      <c r="C7" s="4" t="inlineStr">
        <is>
          <t>The clinical and the radiographic deformity differ, and each governs a different question.</t>
        </is>
      </c>
    </row>
    <row r="8">
      <c r="A8" s="4" t="inlineStr">
        <is>
          <t>4.18.2</t>
        </is>
      </c>
      <c r="B8" s="4" t="inlineStr">
        <is>
          <t>Established OA</t>
        </is>
      </c>
      <c r="C8" s="4" t="inlineStr">
        <is>
          <t>Varus with medial laxity is an unusual combination and deserves rechecking.</t>
        </is>
      </c>
    </row>
    <row r="9">
      <c r="A9" s="4" t="inlineStr">
        <is>
          <t>4.18.2</t>
        </is>
      </c>
      <c r="B9" s="4" t="inlineStr">
        <is>
          <t>Established OA</t>
        </is>
      </c>
      <c r="C9" s="4" t="inlineStr">
        <is>
          <t>A fixed flexion deficit can be mostly bony or mostly capsular, and the end feel is the clue.</t>
        </is>
      </c>
    </row>
    <row r="10">
      <c r="A10" s="4" t="inlineStr">
        <is>
          <t>4.18.2</t>
        </is>
      </c>
      <c r="B10" s="4" t="inlineStr">
        <is>
          <t>Established OA</t>
        </is>
      </c>
      <c r="C10" s="4" t="inlineStr">
        <is>
          <t>Rotational deformity is not captured by a varus and valgus description.</t>
        </is>
      </c>
    </row>
    <row r="11">
      <c r="A11" s="4" t="inlineStr">
        <is>
          <t>4.18.2</t>
        </is>
      </c>
      <c r="B11" s="4" t="inlineStr">
        <is>
          <t>Established OA</t>
        </is>
      </c>
      <c r="C11" s="4" t="inlineStr">
        <is>
          <t>The share of pain from the patellofemoral joint is not available from the examination.</t>
        </is>
      </c>
    </row>
    <row r="12">
      <c r="A12" s="4" t="inlineStr">
        <is>
          <t>4.18.3</t>
        </is>
      </c>
      <c r="B12" s="4" t="inlineStr">
        <is>
          <t>Varus OA</t>
        </is>
      </c>
      <c r="C12" s="4" t="inlineStr">
        <is>
          <t>Bone loss, contracture, lateral lengthening and thrust coexist and mask each other.</t>
        </is>
      </c>
    </row>
    <row r="13">
      <c r="A13" s="4" t="inlineStr">
        <is>
          <t>4.18.3</t>
        </is>
      </c>
      <c r="B13" s="4" t="inlineStr">
        <is>
          <t>Varus OA</t>
        </is>
      </c>
      <c r="C13" s="4" t="inlineStr">
        <is>
          <t>A knee that corrects fully and still thrusts is giving two different signals.</t>
        </is>
      </c>
    </row>
    <row r="14">
      <c r="A14" s="4" t="inlineStr">
        <is>
          <t>4.18.3</t>
        </is>
      </c>
      <c r="B14" s="4" t="inlineStr">
        <is>
          <t>Varus OA</t>
        </is>
      </c>
      <c r="C14" s="4" t="inlineStr">
        <is>
          <t>Lateral laxity may be relative rather than absolute, and the examination cannot tell.</t>
        </is>
      </c>
    </row>
    <row r="15">
      <c r="A15" s="4" t="inlineStr">
        <is>
          <t>4.18.3</t>
        </is>
      </c>
      <c r="B15" s="4" t="inlineStr">
        <is>
          <t>Varus OA</t>
        </is>
      </c>
      <c r="C15" s="4" t="inlineStr">
        <is>
          <t>A coexisting cruciate deficiency alters the thrust and is attributed to the deformity.</t>
        </is>
      </c>
    </row>
    <row r="16">
      <c r="A16" s="4" t="inlineStr">
        <is>
          <t>4.18.3</t>
        </is>
      </c>
      <c r="B16" s="4" t="inlineStr">
        <is>
          <t>Varus OA</t>
        </is>
      </c>
      <c r="C16" s="4" t="inlineStr">
        <is>
          <t>Rotational components are outside the coronal description.</t>
        </is>
      </c>
    </row>
    <row r="17">
      <c r="A17" s="4" t="inlineStr">
        <is>
          <t>4.18.4</t>
        </is>
      </c>
      <c r="B17" s="4" t="inlineStr">
        <is>
          <t>Valgus OA</t>
        </is>
      </c>
      <c r="C17" s="4" t="inlineStr">
        <is>
          <t>Valgus deformity is more often multiplanar than varus deformity.</t>
        </is>
      </c>
    </row>
    <row r="18">
      <c r="A18" s="4" t="inlineStr">
        <is>
          <t>4.18.4</t>
        </is>
      </c>
      <c r="B18" s="4" t="inlineStr">
        <is>
          <t>Valgus OA</t>
        </is>
      </c>
      <c r="C18" s="4" t="inlineStr">
        <is>
          <t>Medial lengthening and lateral bone loss give the same clinical laxity.</t>
        </is>
      </c>
    </row>
    <row r="19">
      <c r="A19" s="4" t="inlineStr">
        <is>
          <t>4.18.4</t>
        </is>
      </c>
      <c r="B19" s="4" t="inlineStr">
        <is>
          <t>Valgus OA</t>
        </is>
      </c>
      <c r="C19" s="4" t="inlineStr">
        <is>
          <t>A post fracture joint line is not where the localising signs assume.</t>
        </is>
      </c>
    </row>
    <row r="20">
      <c r="A20" s="4" t="inlineStr">
        <is>
          <t>4.18.4</t>
        </is>
      </c>
      <c r="B20" s="4" t="inlineStr">
        <is>
          <t>Valgus OA</t>
        </is>
      </c>
      <c r="C20" s="4" t="inlineStr">
        <is>
          <t>Peroneal nerve function is a preoperative baseline in a valgus knee.</t>
        </is>
      </c>
    </row>
    <row r="21">
      <c r="A21" s="4" t="inlineStr">
        <is>
          <t>4.18.4</t>
        </is>
      </c>
      <c r="B21" s="4" t="inlineStr">
        <is>
          <t>Valgus OA</t>
        </is>
      </c>
      <c r="C21" s="4" t="inlineStr">
        <is>
          <t>Bone loss and cartilage loss are not distinguishable clinically.</t>
        </is>
      </c>
    </row>
    <row r="22">
      <c r="A22" s="4" t="inlineStr">
        <is>
          <t>4.18.5</t>
        </is>
      </c>
      <c r="B22" s="4" t="inlineStr">
        <is>
          <t>Patellofemoral OA</t>
        </is>
      </c>
      <c r="C22" s="4" t="inlineStr">
        <is>
          <t>Apportioning symptoms between the front and the compartments stays an estimate.</t>
        </is>
      </c>
    </row>
    <row r="23">
      <c r="A23" s="4" t="inlineStr">
        <is>
          <t>4.18.5</t>
        </is>
      </c>
      <c r="B23" s="4" t="inlineStr">
        <is>
          <t>Patellofemoral OA</t>
        </is>
      </c>
      <c r="C23" s="4" t="inlineStr">
        <is>
          <t>Tracking, not pain, separates secondary from primary patellofemoral wear.</t>
        </is>
      </c>
    </row>
    <row r="24">
      <c r="A24" s="4" t="inlineStr">
        <is>
          <t>4.18.5</t>
        </is>
      </c>
      <c r="B24" s="4" t="inlineStr">
        <is>
          <t>Patellofemoral OA</t>
        </is>
      </c>
      <c r="C24" s="4" t="inlineStr">
        <is>
          <t>Trochlear dysplasia is inferred clinically and the inference is often wrong.</t>
        </is>
      </c>
    </row>
    <row r="25">
      <c r="A25" s="4" t="inlineStr">
        <is>
          <t>4.18.5</t>
        </is>
      </c>
      <c r="B25" s="4" t="inlineStr">
        <is>
          <t>Patellofemoral OA</t>
        </is>
      </c>
      <c r="C25" s="4" t="inlineStr">
        <is>
          <t>Sitting pain and stair pain can come from different parts of the joint.</t>
        </is>
      </c>
    </row>
    <row r="26">
      <c r="A26" s="4" t="inlineStr">
        <is>
          <t>4.18.5</t>
        </is>
      </c>
      <c r="B26" s="4" t="inlineStr">
        <is>
          <t>Patellofemoral OA</t>
        </is>
      </c>
      <c r="C26" s="4" t="inlineStr">
        <is>
          <t>Previous realignment surgery changes the examination baseline.</t>
        </is>
      </c>
    </row>
    <row r="27">
      <c r="A27" s="4" t="inlineStr">
        <is>
          <t>4.18.6</t>
        </is>
      </c>
      <c r="B27" s="4" t="inlineStr">
        <is>
          <t>Functional Limitation</t>
        </is>
      </c>
      <c r="C27" s="4" t="inlineStr">
        <is>
          <t>The same walking distance can mean different function in two patients.</t>
        </is>
      </c>
    </row>
    <row r="28">
      <c r="A28" s="4" t="inlineStr">
        <is>
          <t>4.18.6</t>
        </is>
      </c>
      <c r="B28" s="4" t="inlineStr">
        <is>
          <t>Functional Limitation</t>
        </is>
      </c>
      <c r="C28" s="4" t="inlineStr">
        <is>
          <t>Reports drift as adaptation progresses, which flattens the trajectory.</t>
        </is>
      </c>
    </row>
    <row r="29">
      <c r="A29" s="4" t="inlineStr">
        <is>
          <t>4.18.6</t>
        </is>
      </c>
      <c r="B29" s="4" t="inlineStr">
        <is>
          <t>Functional Limitation</t>
        </is>
      </c>
      <c r="C29" s="4" t="inlineStr">
        <is>
          <t>Contributions from the hip, spine and foot are not separable by the knee examination.</t>
        </is>
      </c>
    </row>
    <row r="30">
      <c r="A30" s="4" t="inlineStr">
        <is>
          <t>4.18.6</t>
        </is>
      </c>
      <c r="B30" s="4" t="inlineStr">
        <is>
          <t>Functional Limitation</t>
        </is>
      </c>
      <c r="C30" s="4" t="inlineStr">
        <is>
          <t>Expectation and limitation are different quantities, recorded together.</t>
        </is>
      </c>
    </row>
    <row r="31">
      <c r="A31" s="4" t="inlineStr">
        <is>
          <t>4.18.6</t>
        </is>
      </c>
      <c r="B31" s="4" t="inlineStr">
        <is>
          <t>Functional Limitation</t>
        </is>
      </c>
      <c r="C31" s="4" t="inlineStr">
        <is>
          <t>The weighting behind any functional score is not settled here.</t>
        </is>
      </c>
    </row>
    <row r="32">
      <c r="A32" s="4" t="inlineStr">
        <is>
          <t>4.18.7</t>
        </is>
      </c>
      <c r="B32" s="4" t="inlineStr">
        <is>
          <t>Arthroplasty Assessment</t>
        </is>
      </c>
      <c r="C32" s="4" t="inlineStr">
        <is>
          <t>Clinical and radiographic deformity answer different questions.</t>
        </is>
      </c>
    </row>
    <row r="33">
      <c r="A33" s="4" t="inlineStr">
        <is>
          <t>4.18.7</t>
        </is>
      </c>
      <c r="B33" s="4" t="inlineStr">
        <is>
          <t>Arthroplasty Assessment</t>
        </is>
      </c>
      <c r="C33" s="4" t="inlineStr">
        <is>
          <t>Correctability is a continuum and two examiners will record it differently.</t>
        </is>
      </c>
    </row>
    <row r="34">
      <c r="A34" s="4" t="inlineStr">
        <is>
          <t>4.18.7</t>
        </is>
      </c>
      <c r="B34" s="4" t="inlineStr">
        <is>
          <t>Arthroplasty Assessment</t>
        </is>
      </c>
      <c r="C34" s="4" t="inlineStr">
        <is>
          <t>A multi joint patient needs a sequence, so the examination establishes the order.</t>
        </is>
      </c>
    </row>
    <row r="35">
      <c r="A35" s="4" t="inlineStr">
        <is>
          <t>4.18.7</t>
        </is>
      </c>
      <c r="B35" s="4" t="inlineStr">
        <is>
          <t>Arthroplasty Assessment</t>
        </is>
      </c>
      <c r="C35" s="4" t="inlineStr">
        <is>
          <t>Bone quality and bone loss are not assessable clinically.</t>
        </is>
      </c>
    </row>
    <row r="36">
      <c r="A36" s="4" t="inlineStr">
        <is>
          <t>4.18.7</t>
        </is>
      </c>
      <c r="B36" s="4" t="inlineStr">
        <is>
          <t>Arthroplasty Assessment</t>
        </is>
      </c>
      <c r="C36" s="4" t="inlineStr">
        <is>
          <t>Expectation is recorded loosely and predicts the reported outcome.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4.18.1-P1</t>
        </is>
      </c>
      <c r="B3" s="4" t="inlineStr">
        <is>
          <t>4.18.1</t>
        </is>
      </c>
      <c r="C3" s="4" t="inlineStr">
        <is>
          <t>medical_student</t>
        </is>
      </c>
      <c r="D3" s="4" t="inlineStr">
        <is>
          <t>Take the history: the pain on load, the stiffness after sitting, the swelling after activity, and how far the patient walks before stopping.</t>
        </is>
      </c>
      <c r="E3" s="4" t="inlineStr"/>
      <c r="F3" s="4" t="inlineStr"/>
      <c r="G3" s="4" t="inlineStr"/>
    </row>
    <row r="4">
      <c r="A4" s="4" t="inlineStr">
        <is>
          <t>4.18.1-P2</t>
        </is>
      </c>
      <c r="B4" s="4" t="inlineStr">
        <is>
          <t>4.18.1</t>
        </is>
      </c>
      <c r="C4" s="4" t="inlineStr">
        <is>
          <t>medical_student</t>
        </is>
      </c>
      <c r="D4" s="4" t="inlineStr">
        <is>
          <t>Assess the effusion, because a recurrent activity related effusion is the sign most often present when the radiograph is still near normal.</t>
        </is>
      </c>
      <c r="E4" s="4" t="inlineStr"/>
      <c r="F4" s="4" t="inlineStr"/>
      <c r="G4" s="4" t="inlineStr"/>
    </row>
    <row r="5">
      <c r="A5" s="4" t="inlineStr">
        <is>
          <t>4.18.1-P3</t>
        </is>
      </c>
      <c r="B5" s="4" t="inlineStr">
        <is>
          <t>4.18.1</t>
        </is>
      </c>
      <c r="C5" s="4" t="inlineStr">
        <is>
          <t>medical_student</t>
        </is>
      </c>
      <c r="D5" s="4" t="inlineStr">
        <is>
          <t>Measure the range both ways, since the first loss in early wear is the last few degrees of flexion rather than extension.</t>
        </is>
      </c>
      <c r="E5" s="4" t="inlineStr"/>
      <c r="F5" s="4" t="inlineStr"/>
      <c r="G5" s="4" t="inlineStr"/>
    </row>
    <row r="6">
      <c r="A6" s="4" t="inlineStr">
        <is>
          <t>4.18.1-P4</t>
        </is>
      </c>
      <c r="B6" s="4" t="inlineStr">
        <is>
          <t>4.18.1</t>
        </is>
      </c>
      <c r="C6" s="4" t="inlineStr">
        <is>
          <t>medical_student</t>
        </is>
      </c>
      <c r="D6" s="4" t="inlineStr">
        <is>
          <t>Assess the quadriceps, because the bulk and the ability to hold the leg straight reflect how long the knee has been avoided.</t>
        </is>
      </c>
      <c r="E6" s="4" t="inlineStr"/>
      <c r="F6" s="4" t="inlineStr"/>
      <c r="G6" s="4" t="inlineStr"/>
    </row>
    <row r="7">
      <c r="A7" s="4" t="inlineStr">
        <is>
          <t>4.18.2-P1</t>
        </is>
      </c>
      <c r="B7" s="4" t="inlineStr">
        <is>
          <t>4.18.2</t>
        </is>
      </c>
      <c r="C7" s="4" t="inlineStr">
        <is>
          <t>medical_student</t>
        </is>
      </c>
      <c r="D7" s="4" t="inlineStr">
        <is>
          <t>Take the history: the rest pain, the night pain, the walking distance, the stairs, and what the patient has stopped doing.</t>
        </is>
      </c>
      <c r="E7" s="4" t="inlineStr"/>
      <c r="F7" s="4" t="inlineStr"/>
      <c r="G7" s="4" t="inlineStr"/>
    </row>
    <row r="8">
      <c r="A8" s="4" t="inlineStr">
        <is>
          <t>4.18.2-P2</t>
        </is>
      </c>
      <c r="B8" s="4" t="inlineStr">
        <is>
          <t>4.18.2</t>
        </is>
      </c>
      <c r="C8" s="4" t="inlineStr">
        <is>
          <t>medical_student</t>
        </is>
      </c>
      <c r="D8" s="4" t="inlineStr">
        <is>
          <t>Assess the alignment standing from the front and from the side, recording varus, valgus and any fixed flexion.</t>
        </is>
      </c>
      <c r="E8" s="4" t="inlineStr"/>
      <c r="F8" s="4" t="inlineStr"/>
      <c r="G8" s="4" t="inlineStr"/>
    </row>
    <row r="9">
      <c r="A9" s="4" t="inlineStr">
        <is>
          <t>4.18.2-P3</t>
        </is>
      </c>
      <c r="B9" s="4" t="inlineStr">
        <is>
          <t>4.18.2</t>
        </is>
      </c>
      <c r="C9" s="4" t="inlineStr">
        <is>
          <t>medical_student</t>
        </is>
      </c>
      <c r="D9" s="4" t="inlineStr">
        <is>
          <t>Measure the range, recording the fixed flexion deficit first and the flexion second, since the deficit is the one that limits function.</t>
        </is>
      </c>
      <c r="E9" s="4" t="inlineStr"/>
      <c r="F9" s="4" t="inlineStr"/>
      <c r="G9" s="4" t="inlineStr"/>
    </row>
    <row r="10">
      <c r="A10" s="4" t="inlineStr">
        <is>
          <t>4.18.2-P4</t>
        </is>
      </c>
      <c r="B10" s="4" t="inlineStr">
        <is>
          <t>4.18.2</t>
        </is>
      </c>
      <c r="C10" s="4" t="inlineStr">
        <is>
          <t>medical_student</t>
        </is>
      </c>
      <c r="D10" s="4" t="inlineStr">
        <is>
          <t>Assess the collateral ligaments, because the worn compartment shortens its own side and the opposite ligament may have stretched.</t>
        </is>
      </c>
      <c r="E10" s="4" t="inlineStr"/>
      <c r="F10" s="4" t="inlineStr"/>
      <c r="G10" s="4" t="inlineStr"/>
    </row>
    <row r="11">
      <c r="A11" s="4" t="inlineStr">
        <is>
          <t>4.18.2-P5</t>
        </is>
      </c>
      <c r="B11" s="4" t="inlineStr">
        <is>
          <t>4.18.2</t>
        </is>
      </c>
      <c r="C11" s="4" t="inlineStr">
        <is>
          <t>medical_student</t>
        </is>
      </c>
      <c r="D11" s="4" t="inlineStr">
        <is>
          <t>Assess the patellofemoral joint, since it is involved in a large proportion of worn knees and is often not examined.</t>
        </is>
      </c>
      <c r="E11" s="4" t="inlineStr"/>
      <c r="F11" s="4" t="inlineStr"/>
      <c r="G11" s="4" t="inlineStr"/>
    </row>
    <row r="12">
      <c r="A12" s="4" t="inlineStr">
        <is>
          <t>4.18.3-P1</t>
        </is>
      </c>
      <c r="B12" s="4" t="inlineStr">
        <is>
          <t>4.18.3</t>
        </is>
      </c>
      <c r="C12" s="4" t="inlineStr">
        <is>
          <t>medical_student</t>
        </is>
      </c>
      <c r="D12" s="4" t="inlineStr">
        <is>
          <t>Take the history: the medial pain, the duration, the walking distance and whether the leg shape has changed.</t>
        </is>
      </c>
      <c r="E12" s="4" t="inlineStr"/>
      <c r="F12" s="4" t="inlineStr"/>
      <c r="G12" s="4" t="inlineStr"/>
    </row>
    <row r="13">
      <c r="A13" s="4" t="inlineStr">
        <is>
          <t>4.18.3-P2</t>
        </is>
      </c>
      <c r="B13" s="4" t="inlineStr">
        <is>
          <t>4.18.3</t>
        </is>
      </c>
      <c r="C13" s="4" t="inlineStr">
        <is>
          <t>medical_student</t>
        </is>
      </c>
      <c r="D13" s="4" t="inlineStr">
        <is>
          <t>Assess the correctability by applying a valgus force with the knee near extension and recording how far the alignment improves.</t>
        </is>
      </c>
      <c r="E13" s="4" t="inlineStr"/>
      <c r="F13" s="4" t="inlineStr"/>
      <c r="G13" s="4" t="inlineStr"/>
    </row>
    <row r="14">
      <c r="A14" s="4" t="inlineStr">
        <is>
          <t>4.18.3-P3</t>
        </is>
      </c>
      <c r="B14" s="4" t="inlineStr">
        <is>
          <t>4.18.3</t>
        </is>
      </c>
      <c r="C14" s="4" t="inlineStr">
        <is>
          <t>medical_student</t>
        </is>
      </c>
      <c r="D14" s="4" t="inlineStr">
        <is>
          <t>Assess the lateral collateral ligament, since a long standing varus knee stretches the lateral structures.</t>
        </is>
      </c>
      <c r="E14" s="4" t="inlineStr"/>
      <c r="F14" s="4" t="inlineStr"/>
      <c r="G14" s="4" t="inlineStr"/>
    </row>
    <row r="15">
      <c r="A15" s="4" t="inlineStr">
        <is>
          <t>4.18.3-P4</t>
        </is>
      </c>
      <c r="B15" s="4" t="inlineStr">
        <is>
          <t>4.18.3</t>
        </is>
      </c>
      <c r="C15" s="4" t="inlineStr">
        <is>
          <t>medical_student</t>
        </is>
      </c>
      <c r="D15" s="4" t="inlineStr">
        <is>
          <t>Measure the range, recording the fixed flexion separately, since varus knees commonly lose extension.</t>
        </is>
      </c>
      <c r="E15" s="4" t="inlineStr"/>
      <c r="F15" s="4" t="inlineStr"/>
      <c r="G15" s="4" t="inlineStr"/>
    </row>
    <row r="16">
      <c r="A16" s="4" t="inlineStr">
        <is>
          <t>4.18.4-P1</t>
        </is>
      </c>
      <c r="B16" s="4" t="inlineStr">
        <is>
          <t>4.18.4</t>
        </is>
      </c>
      <c r="C16" s="4" t="inlineStr">
        <is>
          <t>medical_student</t>
        </is>
      </c>
      <c r="D16" s="4" t="inlineStr">
        <is>
          <t>Take the history: the lateral pain, the duration, whether there was a previous fracture or a previous lateral meniscectomy, and any inflammatory features.</t>
        </is>
      </c>
      <c r="E16" s="4" t="inlineStr"/>
      <c r="F16" s="4" t="inlineStr"/>
      <c r="G16" s="4" t="inlineStr"/>
    </row>
    <row r="17">
      <c r="A17" s="4" t="inlineStr">
        <is>
          <t>4.18.4-P2</t>
        </is>
      </c>
      <c r="B17" s="4" t="inlineStr">
        <is>
          <t>4.18.4</t>
        </is>
      </c>
      <c r="C17" s="4" t="inlineStr">
        <is>
          <t>medical_student</t>
        </is>
      </c>
      <c r="D17" s="4" t="inlineStr">
        <is>
          <t>Assess correctability with a varus force near extension, recording how much the alignment improves.</t>
        </is>
      </c>
      <c r="E17" s="4" t="inlineStr"/>
      <c r="F17" s="4" t="inlineStr"/>
      <c r="G17" s="4" t="inlineStr"/>
    </row>
    <row r="18">
      <c r="A18" s="4" t="inlineStr">
        <is>
          <t>4.18.4-P3</t>
        </is>
      </c>
      <c r="B18" s="4" t="inlineStr">
        <is>
          <t>4.18.4</t>
        </is>
      </c>
      <c r="C18" s="4" t="inlineStr">
        <is>
          <t>medical_student</t>
        </is>
      </c>
      <c r="D18" s="4" t="inlineStr">
        <is>
          <t>Assess the medial collateral ligament, since a long standing valgus knee stretches the medial structures.</t>
        </is>
      </c>
      <c r="E18" s="4" t="inlineStr"/>
      <c r="F18" s="4" t="inlineStr"/>
      <c r="G18" s="4" t="inlineStr"/>
    </row>
    <row r="19">
      <c r="A19" s="4" t="inlineStr">
        <is>
          <t>4.18.4-P4</t>
        </is>
      </c>
      <c r="B19" s="4" t="inlineStr">
        <is>
          <t>4.18.4</t>
        </is>
      </c>
      <c r="C19" s="4" t="inlineStr">
        <is>
          <t>medical_student</t>
        </is>
      </c>
      <c r="D19" s="4" t="inlineStr">
        <is>
          <t>Measure the range and record any fixed flexion separately, and look for an external rotation deformity, which accompanies valgus wear.</t>
        </is>
      </c>
      <c r="E19" s="4" t="inlineStr"/>
      <c r="F19" s="4" t="inlineStr"/>
      <c r="G19" s="4" t="inlineStr"/>
    </row>
    <row r="20">
      <c r="A20" s="4" t="inlineStr">
        <is>
          <t>4.18.5-P1</t>
        </is>
      </c>
      <c r="B20" s="4" t="inlineStr">
        <is>
          <t>4.18.5</t>
        </is>
      </c>
      <c r="C20" s="4" t="inlineStr">
        <is>
          <t>medical_student</t>
        </is>
      </c>
      <c r="D20" s="4" t="inlineStr">
        <is>
          <t>Take the history: the stairs, the chair, the kneeling, the sitting, and whether the pain is at the front rather than at the sides.</t>
        </is>
      </c>
      <c r="E20" s="4" t="inlineStr"/>
      <c r="F20" s="4" t="inlineStr"/>
      <c r="G20" s="4" t="inlineStr"/>
    </row>
    <row r="21">
      <c r="A21" s="4" t="inlineStr">
        <is>
          <t>4.18.5-P2</t>
        </is>
      </c>
      <c r="B21" s="4" t="inlineStr">
        <is>
          <t>4.18.5</t>
        </is>
      </c>
      <c r="C21" s="4" t="inlineStr">
        <is>
          <t>medical_student</t>
        </is>
      </c>
      <c r="D21" s="4" t="inlineStr">
        <is>
          <t>Assess the range and specifically the painful arc, since patellofemoral wear hurts in the middle of the range rather than at the ends.</t>
        </is>
      </c>
      <c r="E21" s="4" t="inlineStr"/>
      <c r="F21" s="4" t="inlineStr"/>
      <c r="G21" s="4" t="inlineStr"/>
    </row>
    <row r="22">
      <c r="A22" s="4" t="inlineStr">
        <is>
          <t>4.18.5-P3</t>
        </is>
      </c>
      <c r="B22" s="4" t="inlineStr">
        <is>
          <t>4.18.5</t>
        </is>
      </c>
      <c r="C22" s="4" t="inlineStr">
        <is>
          <t>medical_student</t>
        </is>
      </c>
      <c r="D22" s="4" t="inlineStr">
        <is>
          <t>Assess the compartments, because combined disease is common and the treatment depends on which joints are involved.</t>
        </is>
      </c>
      <c r="E22" s="4" t="inlineStr"/>
      <c r="F22" s="4" t="inlineStr"/>
      <c r="G22" s="4" t="inlineStr"/>
    </row>
    <row r="23">
      <c r="A23" s="4" t="inlineStr">
        <is>
          <t>4.18.6-P1</t>
        </is>
      </c>
      <c r="B23" s="4" t="inlineStr">
        <is>
          <t>4.18.6</t>
        </is>
      </c>
      <c r="C23" s="4" t="inlineStr">
        <is>
          <t>medical_student</t>
        </is>
      </c>
      <c r="D23" s="4" t="inlineStr">
        <is>
          <t>Ask the walking distance in units the patient uses, such as the distance to a named shop, rather than in metres they would have to estimate.</t>
        </is>
      </c>
      <c r="E23" s="4" t="inlineStr"/>
      <c r="F23" s="4" t="inlineStr"/>
      <c r="G23" s="4" t="inlineStr"/>
    </row>
    <row r="24">
      <c r="A24" s="4" t="inlineStr">
        <is>
          <t>4.18.6-P2</t>
        </is>
      </c>
      <c r="B24" s="4" t="inlineStr">
        <is>
          <t>4.18.6</t>
        </is>
      </c>
      <c r="C24" s="4" t="inlineStr">
        <is>
          <t>medical_student</t>
        </is>
      </c>
      <c r="D24" s="4" t="inlineStr">
        <is>
          <t>Ask about stairs, specifically whether they are managed one at a time and whether a rail is needed.</t>
        </is>
      </c>
      <c r="E24" s="4" t="inlineStr"/>
      <c r="F24" s="4" t="inlineStr"/>
      <c r="G24" s="4" t="inlineStr"/>
    </row>
    <row r="25">
      <c r="A25" s="4" t="inlineStr">
        <is>
          <t>4.18.6-P3</t>
        </is>
      </c>
      <c r="B25" s="4" t="inlineStr">
        <is>
          <t>4.18.6</t>
        </is>
      </c>
      <c r="C25" s="4" t="inlineStr">
        <is>
          <t>medical_student</t>
        </is>
      </c>
      <c r="D25" s="4" t="inlineStr">
        <is>
          <t>Ask about rising from a chair, getting in and out of a car, and whether a stick is used and when it was started.</t>
        </is>
      </c>
      <c r="E25" s="4" t="inlineStr"/>
      <c r="F25" s="4" t="inlineStr"/>
      <c r="G25" s="4" t="inlineStr"/>
    </row>
    <row r="26">
      <c r="A26" s="4" t="inlineStr">
        <is>
          <t>4.18.6-P4</t>
        </is>
      </c>
      <c r="B26" s="4" t="inlineStr">
        <is>
          <t>4.18.6</t>
        </is>
      </c>
      <c r="C26" s="4" t="inlineStr">
        <is>
          <t>medical_student</t>
        </is>
      </c>
      <c r="D26" s="4" t="inlineStr">
        <is>
          <t>Ask about sleep, since night pain and disturbed sleep mark a different stage from activity pain alone.</t>
        </is>
      </c>
      <c r="E26" s="4" t="inlineStr"/>
      <c r="F26" s="4" t="inlineStr"/>
      <c r="G26" s="4" t="inlineStr"/>
    </row>
    <row r="27">
      <c r="A27" s="4" t="inlineStr">
        <is>
          <t>4.18.6-P5</t>
        </is>
      </c>
      <c r="B27" s="4" t="inlineStr">
        <is>
          <t>4.18.6</t>
        </is>
      </c>
      <c r="C27" s="4" t="inlineStr">
        <is>
          <t>medical_student</t>
        </is>
      </c>
      <c r="D27" s="4" t="inlineStr">
        <is>
          <t>Record what the patient has stopped doing, because the loss of an activity is the clearest single measure of progression.</t>
        </is>
      </c>
      <c r="E27" s="4" t="inlineStr"/>
      <c r="F27" s="4" t="inlineStr"/>
      <c r="G27" s="4" t="inlineStr"/>
    </row>
    <row r="28">
      <c r="A28" s="4" t="inlineStr">
        <is>
          <t>4.18.7-P1</t>
        </is>
      </c>
      <c r="B28" s="4" t="inlineStr">
        <is>
          <t>4.18.7</t>
        </is>
      </c>
      <c r="C28" s="4" t="inlineStr">
        <is>
          <t>medical_student</t>
        </is>
      </c>
      <c r="D28" s="4" t="inlineStr">
        <is>
          <t>Confirm the source: the pain is at the knee, reproduced by loading the knee, and not reproduced by moving the hip or the spine.</t>
        </is>
      </c>
      <c r="E28" s="4" t="inlineStr"/>
      <c r="F28" s="4" t="inlineStr"/>
      <c r="G28" s="4" t="inlineStr"/>
    </row>
    <row r="29">
      <c r="A29" s="4" t="inlineStr">
        <is>
          <t>4.18.7-P2</t>
        </is>
      </c>
      <c r="B29" s="4" t="inlineStr">
        <is>
          <t>4.18.7</t>
        </is>
      </c>
      <c r="C29" s="4" t="inlineStr">
        <is>
          <t>medical_student</t>
        </is>
      </c>
      <c r="D29" s="4" t="inlineStr">
        <is>
          <t>Record the function in activities, with the walking distance, the stairs, the chair and the sleep.</t>
        </is>
      </c>
      <c r="E29" s="4" t="inlineStr"/>
      <c r="F29" s="4" t="inlineStr"/>
      <c r="G29" s="4" t="inlineStr"/>
    </row>
    <row r="30">
      <c r="A30" s="4" t="inlineStr">
        <is>
          <t>4.18.7-P3</t>
        </is>
      </c>
      <c r="B30" s="4" t="inlineStr">
        <is>
          <t>4.18.7</t>
        </is>
      </c>
      <c r="C30" s="4" t="inlineStr">
        <is>
          <t>medical_student</t>
        </is>
      </c>
      <c r="D30" s="4" t="inlineStr">
        <is>
          <t>Record the alignment standing in both planes, naming varus, valgus and fixed flexion separately.</t>
        </is>
      </c>
      <c r="E30" s="4" t="inlineStr"/>
      <c r="F30" s="4" t="inlineStr"/>
      <c r="G30" s="4" t="inlineStr"/>
    </row>
    <row r="31">
      <c r="A31" s="4" t="inlineStr">
        <is>
          <t>4.18.7-P4</t>
        </is>
      </c>
      <c r="B31" s="4" t="inlineStr">
        <is>
          <t>4.18.7</t>
        </is>
      </c>
      <c r="C31" s="4" t="inlineStr">
        <is>
          <t>medical_student</t>
        </is>
      </c>
      <c r="D31" s="4" t="inlineStr">
        <is>
          <t>Record the range, with the extension deficit stated first.</t>
        </is>
      </c>
      <c r="E31" s="4" t="inlineStr"/>
      <c r="F31" s="4" t="inlineStr"/>
      <c r="G31" s="4" t="inlineStr"/>
    </row>
    <row r="32">
      <c r="A32" s="4" t="inlineStr">
        <is>
          <t>4.18.7-P5</t>
        </is>
      </c>
      <c r="B32" s="4" t="inlineStr">
        <is>
          <t>4.18.7</t>
        </is>
      </c>
      <c r="C32" s="4" t="inlineStr">
        <is>
          <t>medical_student</t>
        </is>
      </c>
      <c r="D32" s="4" t="inlineStr">
        <is>
          <t>Record the correctability of the deformity and the state of both collateral ligaments.</t>
        </is>
      </c>
      <c r="E32" s="4" t="inlineStr"/>
      <c r="F32" s="4" t="inlineStr"/>
      <c r="G32" s="4" t="inlineStr"/>
    </row>
    <row r="33">
      <c r="A33" s="4" t="inlineStr">
        <is>
          <t>4.18.7-P6</t>
        </is>
      </c>
      <c r="B33" s="4" t="inlineStr">
        <is>
          <t>4.18.7</t>
        </is>
      </c>
      <c r="C33" s="4" t="inlineStr">
        <is>
          <t>medical_student</t>
        </is>
      </c>
      <c r="D33" s="4" t="inlineStr">
        <is>
          <t>Examine the skin for previous incisions, ulceration, cellulitis and venous change, since all affect the approach and the risk.</t>
        </is>
      </c>
      <c r="E33" s="4" t="inlineStr"/>
      <c r="F33" s="4" t="inlineStr"/>
      <c r="G33" s="4" t="inlineStr"/>
    </row>
    <row r="34">
      <c r="A34" s="4" t="inlineStr">
        <is>
          <t>4.18.7-P7</t>
        </is>
      </c>
      <c r="B34" s="4" t="inlineStr">
        <is>
          <t>4.18.7</t>
        </is>
      </c>
      <c r="C34" s="4" t="inlineStr">
        <is>
          <t>medical_student</t>
        </is>
      </c>
      <c r="D34" s="4" t="inlineStr">
        <is>
          <t>Record the neurovascular state, including the pulses and the sensation, as a baseline.</t>
        </is>
      </c>
      <c r="E34" s="4" t="inlineStr"/>
      <c r="F34" s="4" t="inlineStr"/>
      <c r="G34" s="4" t="inlineStr"/>
    </row>
    <row r="35">
      <c r="A35" s="4" t="inlineStr">
        <is>
          <t>4.18.7-P8</t>
        </is>
      </c>
      <c r="B35" s="4" t="inlineStr">
        <is>
          <t>4.18.7</t>
        </is>
      </c>
      <c r="C35" s="4" t="inlineStr">
        <is>
          <t>medical_student</t>
        </is>
      </c>
      <c r="D35" s="4" t="inlineStr">
        <is>
          <t>Examine the other knee and the hips, because the sequence of treatment depends on them.</t>
        </is>
      </c>
      <c r="E35" s="4" t="inlineStr"/>
      <c r="F35" s="4" t="inlineStr"/>
      <c r="G35" s="4" t="inlineStr"/>
    </row>
  </sheetData>
  <dataValidations count="1">
    <dataValidation sqref="E3:E3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33</f>
        <v/>
      </c>
      <c r="C2" s="3">
        <f>0</f>
        <v/>
      </c>
    </row>
    <row r="3">
      <c r="A3" s="2" t="inlineStr">
        <is>
          <t>Decided</t>
        </is>
      </c>
      <c r="B3" s="3">
        <f>COUNTIF(Recommendations!E3:E35,"&lt;&gt;")</f>
        <v/>
      </c>
      <c r="C3" s="3">
        <f>COUNTIF(Measurements!F3:F2,"&lt;&gt;")</f>
        <v/>
      </c>
    </row>
    <row r="4">
      <c r="A4" s="2" t="inlineStr">
        <is>
          <t>Still blank</t>
        </is>
      </c>
      <c r="B4" s="3">
        <f>B2-B3</f>
        <v/>
      </c>
      <c r="C4" s="3">
        <f>C2-C3</f>
        <v/>
      </c>
    </row>
    <row r="5">
      <c r="A5" s="2" t="inlineStr">
        <is>
          <t>CONFIRMED</t>
        </is>
      </c>
      <c r="B5" s="3">
        <f>COUNTIF(Recommendations!E3:E35,"CONFIRMED")</f>
        <v/>
      </c>
      <c r="C5" s="3" t="inlineStr"/>
    </row>
    <row r="6">
      <c r="A6" s="2" t="inlineStr">
        <is>
          <t>AMENDED</t>
        </is>
      </c>
      <c r="B6" s="3">
        <f>COUNTIF(Recommendations!E3:E35,"AMENDED")</f>
        <v/>
      </c>
      <c r="C6" s="3" t="inlineStr"/>
    </row>
    <row r="7">
      <c r="A7" s="2" t="inlineStr">
        <is>
          <t>WITHDRAWN</t>
        </is>
      </c>
      <c r="B7" s="3">
        <f>COUNTIF(Recommendations!E3:E35,"WITHDRAWN")</f>
        <v/>
      </c>
      <c r="C7" s="3" t="inlineStr"/>
    </row>
    <row r="8">
      <c r="A8" s="2" t="inlineStr">
        <is>
          <t>NOT_CLINICAL</t>
        </is>
      </c>
      <c r="B8" s="3">
        <f>COUNTIF(Recommendations!E3:E35,"NOT_CLINICAL")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2026-10-13T21:05:27Z</dcterms:created>
  <dcterms:modified xmlns:dcterms="http://purl.org/dc/terms/" xmlns:xsi="http://www.w3.org/2001/XMLSchema-instance" xsi:type="dcterms:W3CDTF">2026-10-13T21:05:27Z</dcterms:modified>
</cp:coreProperties>
</file>