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3.6 Meniscal Biomechanics</t>
        </is>
      </c>
    </row>
    <row r="3">
      <c r="A3" s="2" t="inlineStr">
        <is>
          <t>Section</t>
        </is>
      </c>
      <c r="B3" s="3" t="inlineStr">
        <is>
          <t>3</t>
        </is>
      </c>
    </row>
    <row r="4">
      <c r="A4" s="2" t="inlineStr">
        <is>
          <t>Chapter</t>
        </is>
      </c>
      <c r="B4" s="3" t="inlineStr">
        <is>
          <t>3.6 Meniscal Biomechanics</t>
        </is>
      </c>
    </row>
    <row r="5">
      <c r="A5" s="2" t="inlineStr">
        <is>
          <t>Pages</t>
        </is>
      </c>
      <c r="B5" s="3" t="n">
        <v>14</v>
      </c>
    </row>
    <row r="6">
      <c r="A6" s="2" t="inlineStr">
        <is>
          <t>Page type</t>
        </is>
      </c>
      <c r="B6" s="3" t="inlineStr">
        <is>
          <t>biomechanics</t>
        </is>
      </c>
    </row>
    <row r="7">
      <c r="A7" s="2" t="inlineStr">
        <is>
          <t>Tiers</t>
        </is>
      </c>
      <c r="B7" s="3" t="inlineStr">
        <is>
          <t>medical student, mrcs, frcs, fellowship</t>
        </is>
      </c>
    </row>
    <row r="8">
      <c r="A8" s="2" t="inlineStr">
        <is>
          <t>Words</t>
        </is>
      </c>
      <c r="B8" s="3" t="inlineStr">
        <is>
          <t>16,295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6</v>
      </c>
    </row>
    <row r="12">
      <c r="A12" s="2" t="inlineStr">
        <is>
          <t>Recommendations to sign</t>
        </is>
      </c>
      <c r="B12" s="3" t="n">
        <v>83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3.6.1</t>
        </is>
      </c>
      <c r="B2" s="6" t="inlineStr">
        <is>
          <t>Functions of the Meniscus</t>
        </is>
      </c>
      <c r="C2" s="6" t="n">
        <v>3</v>
      </c>
      <c r="D2" s="6" t="n">
        <v>1226</v>
      </c>
      <c r="E2" s="6" t="inlineStr">
        <is>
          <t>biomechanics/functions-of-the-meniscus.html</t>
        </is>
      </c>
    </row>
    <row r="3">
      <c r="A3" s="6" t="inlineStr">
        <is>
          <t>3.6.2</t>
        </is>
      </c>
      <c r="B3" s="6" t="inlineStr">
        <is>
          <t>Hoop Stress</t>
        </is>
      </c>
      <c r="C3" s="6" t="n">
        <v>3</v>
      </c>
      <c r="D3" s="6" t="n">
        <v>1217</v>
      </c>
      <c r="E3" s="6" t="inlineStr">
        <is>
          <t>biomechanics/hoop-stress.html</t>
        </is>
      </c>
    </row>
    <row r="4">
      <c r="A4" s="6" t="inlineStr">
        <is>
          <t>3.6.3</t>
        </is>
      </c>
      <c r="B4" s="6" t="inlineStr">
        <is>
          <t>Circumferential Fibres</t>
        </is>
      </c>
      <c r="C4" s="6" t="n">
        <v>3</v>
      </c>
      <c r="D4" s="6" t="n">
        <v>1146</v>
      </c>
      <c r="E4" s="6" t="inlineStr">
        <is>
          <t>biomechanics/circumferential-fibres.html</t>
        </is>
      </c>
    </row>
    <row r="5">
      <c r="A5" s="6" t="inlineStr">
        <is>
          <t>3.6.4</t>
        </is>
      </c>
      <c r="B5" s="6" t="inlineStr">
        <is>
          <t>Radial Fibres</t>
        </is>
      </c>
      <c r="C5" s="6" t="n">
        <v>3</v>
      </c>
      <c r="D5" s="6" t="n">
        <v>1106</v>
      </c>
      <c r="E5" s="6" t="inlineStr">
        <is>
          <t>biomechanics/radial-fibres.html</t>
        </is>
      </c>
    </row>
    <row r="6">
      <c r="A6" s="6" t="inlineStr">
        <is>
          <t>3.6.5</t>
        </is>
      </c>
      <c r="B6" s="6" t="inlineStr">
        <is>
          <t>Load Sharing</t>
        </is>
      </c>
      <c r="C6" s="6" t="n">
        <v>3</v>
      </c>
      <c r="D6" s="6" t="n">
        <v>1209</v>
      </c>
      <c r="E6" s="6" t="inlineStr">
        <is>
          <t>biomechanics/meniscal-load-sharing.html</t>
        </is>
      </c>
    </row>
    <row r="7">
      <c r="A7" s="6" t="inlineStr">
        <is>
          <t>3.6.6</t>
        </is>
      </c>
      <c r="B7" s="6" t="inlineStr">
        <is>
          <t>Shock Absorption</t>
        </is>
      </c>
      <c r="C7" s="6" t="n">
        <v>3</v>
      </c>
      <c r="D7" s="6" t="n">
        <v>1097</v>
      </c>
      <c r="E7" s="6" t="inlineStr">
        <is>
          <t>biomechanics/meniscal-shock-absorption.html</t>
        </is>
      </c>
    </row>
    <row r="8">
      <c r="A8" s="6" t="inlineStr">
        <is>
          <t>3.6.7</t>
        </is>
      </c>
      <c r="B8" s="6" t="inlineStr">
        <is>
          <t>Joint Lubrication</t>
        </is>
      </c>
      <c r="C8" s="6" t="n">
        <v>3</v>
      </c>
      <c r="D8" s="6" t="n">
        <v>1059</v>
      </c>
      <c r="E8" s="6" t="inlineStr">
        <is>
          <t>biomechanics/joint-lubrication.html</t>
        </is>
      </c>
    </row>
    <row r="9">
      <c r="A9" s="6" t="inlineStr">
        <is>
          <t>3.6.8</t>
        </is>
      </c>
      <c r="B9" s="6" t="inlineStr">
        <is>
          <t>Proprioception</t>
        </is>
      </c>
      <c r="C9" s="6" t="n">
        <v>3</v>
      </c>
      <c r="D9" s="6" t="n">
        <v>1038</v>
      </c>
      <c r="E9" s="6" t="inlineStr">
        <is>
          <t>biomechanics/meniscal-proprioception.html</t>
        </is>
      </c>
    </row>
    <row r="10">
      <c r="A10" s="6" t="inlineStr">
        <is>
          <t>3.6.9</t>
        </is>
      </c>
      <c r="B10" s="6" t="inlineStr">
        <is>
          <t>Root Biomechanics</t>
        </is>
      </c>
      <c r="C10" s="6" t="n">
        <v>3</v>
      </c>
      <c r="D10" s="6" t="n">
        <v>1158</v>
      </c>
      <c r="E10" s="6" t="inlineStr">
        <is>
          <t>biomechanics/root-biomechanics.html</t>
        </is>
      </c>
    </row>
    <row r="11">
      <c r="A11" s="6" t="inlineStr">
        <is>
          <t>3.6.10</t>
        </is>
      </c>
      <c r="B11" s="6" t="inlineStr">
        <is>
          <t>Meniscal Extrusion</t>
        </is>
      </c>
      <c r="C11" s="6" t="n">
        <v>3</v>
      </c>
      <c r="D11" s="6" t="n">
        <v>1093</v>
      </c>
      <c r="E11" s="6" t="inlineStr">
        <is>
          <t>biomechanics/meniscal-extrusion.html</t>
        </is>
      </c>
    </row>
    <row r="12">
      <c r="A12" s="6" t="inlineStr">
        <is>
          <t>3.6.11</t>
        </is>
      </c>
      <c r="B12" s="6" t="inlineStr">
        <is>
          <t>Effects of Root Tears</t>
        </is>
      </c>
      <c r="C12" s="6" t="n">
        <v>3</v>
      </c>
      <c r="D12" s="6" t="n">
        <v>1099</v>
      </c>
      <c r="E12" s="6" t="inlineStr">
        <is>
          <t>biomechanics/effects-of-root-tears.html</t>
        </is>
      </c>
    </row>
    <row r="13">
      <c r="A13" s="6" t="inlineStr">
        <is>
          <t>3.6.12</t>
        </is>
      </c>
      <c r="B13" s="6" t="inlineStr">
        <is>
          <t>Effects of Radial Tears</t>
        </is>
      </c>
      <c r="C13" s="6" t="n">
        <v>3</v>
      </c>
      <c r="D13" s="6" t="n">
        <v>1112</v>
      </c>
      <c r="E13" s="6" t="inlineStr">
        <is>
          <t>biomechanics/effects-of-radial-tears.html</t>
        </is>
      </c>
    </row>
    <row r="14">
      <c r="A14" s="6" t="inlineStr">
        <is>
          <t>3.6.13</t>
        </is>
      </c>
      <c r="B14" s="6" t="inlineStr">
        <is>
          <t>Meniscal Repair Biomechanics</t>
        </is>
      </c>
      <c r="C14" s="6" t="n">
        <v>4</v>
      </c>
      <c r="D14" s="6" t="n">
        <v>1432</v>
      </c>
      <c r="E14" s="6" t="inlineStr">
        <is>
          <t>biomechanics/meniscal-repair-biomechanics.html</t>
        </is>
      </c>
    </row>
    <row r="15">
      <c r="A15" s="6" t="inlineStr">
        <is>
          <t>3.6.14</t>
        </is>
      </c>
      <c r="B15" s="6" t="inlineStr">
        <is>
          <t>Meniscal Transplantation Biomechanics</t>
        </is>
      </c>
      <c r="C15" s="6" t="n">
        <v>4</v>
      </c>
      <c r="D15" s="6" t="n">
        <v>1303</v>
      </c>
      <c r="E15" s="6" t="inlineStr">
        <is>
          <t>biomechanics/meniscal-transplantation-biomechanics.html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3.6.1</t>
        </is>
      </c>
      <c r="B2" s="4" t="inlineStr">
        <is>
          <t>Functions of the Meniscus</t>
        </is>
      </c>
      <c r="C2" s="4" t="inlineStr">
        <is>
          <t>The five functions cannot be restored selectively.</t>
        </is>
      </c>
    </row>
    <row r="3">
      <c r="A3" s="4" t="inlineStr">
        <is>
          <t>3.6.1</t>
        </is>
      </c>
      <c r="B3" s="4" t="inlineStr">
        <is>
          <t>Functions of the Meniscus</t>
        </is>
      </c>
      <c r="C3" s="4" t="inlineStr">
        <is>
          <t>A repair restores all five to some degree; a device that restores area restores one.</t>
        </is>
      </c>
    </row>
    <row r="4">
      <c r="A4" s="4" t="inlineStr">
        <is>
          <t>3.6.1</t>
        </is>
      </c>
      <c r="B4" s="4" t="inlineStr">
        <is>
          <t>Functions of the Meniscus</t>
        </is>
      </c>
      <c r="C4" s="4" t="inlineStr">
        <is>
          <t>No current substitute restores function to the level of a repaired native meniscus.</t>
        </is>
      </c>
    </row>
    <row r="5">
      <c r="A5" s="4" t="inlineStr">
        <is>
          <t>3.6.1</t>
        </is>
      </c>
      <c r="B5" s="4" t="inlineStr">
        <is>
          <t>Functions of the Meniscus</t>
        </is>
      </c>
      <c r="C5" s="4" t="inlineStr">
        <is>
          <t>The decision taken at the first operation is the one that matters.</t>
        </is>
      </c>
    </row>
    <row r="6">
      <c r="A6" s="4" t="inlineStr">
        <is>
          <t>3.6.1</t>
        </is>
      </c>
      <c r="B6" s="4" t="inlineStr">
        <is>
          <t>Functions of the Meniscus</t>
        </is>
      </c>
      <c r="C6" s="4" t="inlineStr">
        <is>
          <t>Nothing measures restored meniscal function in a patient.</t>
        </is>
      </c>
    </row>
    <row r="7">
      <c r="A7" s="4" t="inlineStr">
        <is>
          <t>3.6.2</t>
        </is>
      </c>
      <c r="B7" s="4" t="inlineStr">
        <is>
          <t>Hoop Stress</t>
        </is>
      </c>
      <c r="C7" s="4" t="inlineStr">
        <is>
          <t>Hoop tension is the quantity every meniscal operation is judged against.</t>
        </is>
      </c>
    </row>
    <row r="8">
      <c r="A8" s="4" t="inlineStr">
        <is>
          <t>3.6.2</t>
        </is>
      </c>
      <c r="B8" s="4" t="inlineStr">
        <is>
          <t>Hoop Stress</t>
        </is>
      </c>
      <c r="C8" s="4" t="inlineStr">
        <is>
          <t>Repairability is a question about whether tension can be restored.</t>
        </is>
      </c>
    </row>
    <row r="9">
      <c r="A9" s="4" t="inlineStr">
        <is>
          <t>3.6.2</t>
        </is>
      </c>
      <c r="B9" s="4" t="inlineStr">
        <is>
          <t>Hoop Stress</t>
        </is>
      </c>
      <c r="C9" s="4" t="inlineStr">
        <is>
          <t>A repair can heal without restoring the fibre path.</t>
        </is>
      </c>
    </row>
    <row r="10">
      <c r="A10" s="4" t="inlineStr">
        <is>
          <t>3.6.2</t>
        </is>
      </c>
      <c r="B10" s="4" t="inlineStr">
        <is>
          <t>Hoop Stress</t>
        </is>
      </c>
      <c r="C10" s="4" t="inlineStr">
        <is>
          <t>Cyclic gap formation is the construct losing the tension path.</t>
        </is>
      </c>
    </row>
    <row r="11">
      <c r="A11" s="4" t="inlineStr">
        <is>
          <t>3.6.2</t>
        </is>
      </c>
      <c r="B11" s="4" t="inlineStr">
        <is>
          <t>Hoop Stress</t>
        </is>
      </c>
      <c r="C11" s="4" t="inlineStr">
        <is>
          <t>No measurement confirms restored hoop tension in a patient.</t>
        </is>
      </c>
    </row>
    <row r="12">
      <c r="A12" s="4" t="inlineStr">
        <is>
          <t>3.6.3</t>
        </is>
      </c>
      <c r="B12" s="4" t="inlineStr">
        <is>
          <t>Circumferential Fibres</t>
        </is>
      </c>
      <c r="C12" s="4" t="inlineStr">
        <is>
          <t>A vertical suture captures the circumferential bundles; a horizontal one lies between them.</t>
        </is>
      </c>
    </row>
    <row r="13">
      <c r="A13" s="4" t="inlineStr">
        <is>
          <t>3.6.3</t>
        </is>
      </c>
      <c r="B13" s="4" t="inlineStr">
        <is>
          <t>Circumferential Fibres</t>
        </is>
      </c>
      <c r="C13" s="4" t="inlineStr">
        <is>
          <t>The vertical mattress advantage is architectural rather than a preference.</t>
        </is>
      </c>
    </row>
    <row r="14">
      <c r="A14" s="4" t="inlineStr">
        <is>
          <t>3.6.3</t>
        </is>
      </c>
      <c r="B14" s="4" t="inlineStr">
        <is>
          <t>Circumferential Fibres</t>
        </is>
      </c>
      <c r="C14" s="4" t="inlineStr">
        <is>
          <t>A construct can be well oriented and fail if the bundles no longer carry tension.</t>
        </is>
      </c>
    </row>
    <row r="15">
      <c r="A15" s="4" t="inlineStr">
        <is>
          <t>3.6.3</t>
        </is>
      </c>
      <c r="B15" s="4" t="inlineStr">
        <is>
          <t>Circumferential Fibres</t>
        </is>
      </c>
      <c r="C15" s="4" t="inlineStr">
        <is>
          <t>Failure mode in a construct study is as informative as failure load.</t>
        </is>
      </c>
    </row>
    <row r="16">
      <c r="A16" s="4" t="inlineStr">
        <is>
          <t>3.6.3</t>
        </is>
      </c>
      <c r="B16" s="4" t="inlineStr">
        <is>
          <t>Circumferential Fibres</t>
        </is>
      </c>
      <c r="C16" s="4" t="inlineStr">
        <is>
          <t>Histology shows fibre path reconstitution; clinical imaging cannot.</t>
        </is>
      </c>
    </row>
    <row r="17">
      <c r="A17" s="4" t="inlineStr">
        <is>
          <t>3.6.4</t>
        </is>
      </c>
      <c r="B17" s="4" t="inlineStr">
        <is>
          <t>Radial Fibres</t>
        </is>
      </c>
      <c r="C17" s="4" t="inlineStr">
        <is>
          <t>A longitudinal tear needs cohesion restored; a radial tear needs the hoop path restored.</t>
        </is>
      </c>
    </row>
    <row r="18">
      <c r="A18" s="4" t="inlineStr">
        <is>
          <t>3.6.4</t>
        </is>
      </c>
      <c r="B18" s="4" t="inlineStr">
        <is>
          <t>Radial Fibres</t>
        </is>
      </c>
      <c r="C18" s="4" t="inlineStr">
        <is>
          <t>A construct chosen for one pattern is not automatically right for the other.</t>
        </is>
      </c>
    </row>
    <row r="19">
      <c r="A19" s="4" t="inlineStr">
        <is>
          <t>3.6.4</t>
        </is>
      </c>
      <c r="B19" s="4" t="inlineStr">
        <is>
          <t>Radial Fibres</t>
        </is>
      </c>
      <c r="C19" s="4" t="inlineStr">
        <is>
          <t>Radial repair is harder because the construct carries the hoop tension until healing.</t>
        </is>
      </c>
    </row>
    <row r="20">
      <c r="A20" s="4" t="inlineStr">
        <is>
          <t>3.6.4</t>
        </is>
      </c>
      <c r="B20" s="4" t="inlineStr">
        <is>
          <t>Radial Fibres</t>
        </is>
      </c>
      <c r="C20" s="4" t="inlineStr">
        <is>
          <t>Cyclic gap formation matters more for a radial repair.</t>
        </is>
      </c>
    </row>
    <row r="21">
      <c r="A21" s="4" t="inlineStr">
        <is>
          <t>3.6.4</t>
        </is>
      </c>
      <c r="B21" s="4" t="inlineStr">
        <is>
          <t>Radial Fibres</t>
        </is>
      </c>
      <c r="C21" s="4" t="inlineStr">
        <is>
          <t>Healing rates should be read by tear pattern, not in aggregate.</t>
        </is>
      </c>
    </row>
    <row r="22">
      <c r="A22" s="4" t="inlineStr">
        <is>
          <t>3.6.5</t>
        </is>
      </c>
      <c r="B22" s="4" t="inlineStr">
        <is>
          <t>Load Sharing</t>
        </is>
      </c>
      <c r="C22" s="4" t="inlineStr">
        <is>
          <t>A small amount of tissue carries 85 per cent of a compartment's load at 90 degrees.</t>
        </is>
      </c>
    </row>
    <row r="23">
      <c r="A23" s="4" t="inlineStr">
        <is>
          <t>3.6.5</t>
        </is>
      </c>
      <c r="B23" s="4" t="inlineStr">
        <is>
          <t>Load Sharing</t>
        </is>
      </c>
      <c r="C23" s="4" t="inlineStr">
        <is>
          <t>Posterior root repair is a load path operation, not a tidying one.</t>
        </is>
      </c>
    </row>
    <row r="24">
      <c r="A24" s="4" t="inlineStr">
        <is>
          <t>3.6.5</t>
        </is>
      </c>
      <c r="B24" s="4" t="inlineStr">
        <is>
          <t>Load Sharing</t>
        </is>
      </c>
      <c r="C24" s="4" t="inlineStr">
        <is>
          <t>Restoring area in extension is easier than restoring the flexion share.</t>
        </is>
      </c>
    </row>
    <row r="25">
      <c r="A25" s="4" t="inlineStr">
        <is>
          <t>3.6.5</t>
        </is>
      </c>
      <c r="B25" s="4" t="inlineStr">
        <is>
          <t>Load Sharing</t>
        </is>
      </c>
      <c r="C25" s="4" t="inlineStr">
        <is>
          <t>A transplant participates in flexion only if its horns are fixed.</t>
        </is>
      </c>
    </row>
    <row r="26">
      <c r="A26" s="4" t="inlineStr">
        <is>
          <t>3.6.5</t>
        </is>
      </c>
      <c r="B26" s="4" t="inlineStr">
        <is>
          <t>Load Sharing</t>
        </is>
      </c>
      <c r="C26" s="4" t="inlineStr">
        <is>
          <t>The deepest part of the range is the least characterised.</t>
        </is>
      </c>
    </row>
    <row r="27">
      <c r="A27" s="4" t="inlineStr">
        <is>
          <t>3.6.6</t>
        </is>
      </c>
      <c r="B27" s="4" t="inlineStr">
        <is>
          <t>Shock Absorption</t>
        </is>
      </c>
      <c r="C27" s="4" t="inlineStr">
        <is>
          <t>Damping has the weakest quantitative evidence of the five functions and a sound mechanism.</t>
        </is>
      </c>
    </row>
    <row r="28">
      <c r="A28" s="4" t="inlineStr">
        <is>
          <t>3.6.6</t>
        </is>
      </c>
      <c r="B28" s="4" t="inlineStr">
        <is>
          <t>Shock Absorption</t>
        </is>
      </c>
      <c r="C28" s="4" t="inlineStr">
        <is>
          <t>It supports activity advice rather than a treatment argument.</t>
        </is>
      </c>
    </row>
    <row r="29">
      <c r="A29" s="4" t="inlineStr">
        <is>
          <t>3.6.6</t>
        </is>
      </c>
      <c r="B29" s="4" t="inlineStr">
        <is>
          <t>Shock Absorption</t>
        </is>
      </c>
      <c r="C29" s="4" t="inlineStr">
        <is>
          <t>Allograft and scaffolds do not reproduce native damping properties.</t>
        </is>
      </c>
    </row>
    <row r="30">
      <c r="A30" s="4" t="inlineStr">
        <is>
          <t>3.6.6</t>
        </is>
      </c>
      <c r="B30" s="4" t="inlineStr">
        <is>
          <t>Shock Absorption</t>
        </is>
      </c>
      <c r="C30" s="4" t="inlineStr">
        <is>
          <t>No clinical measurement of a patient's meniscal damping exists.</t>
        </is>
      </c>
    </row>
    <row r="31">
      <c r="A31" s="4" t="inlineStr">
        <is>
          <t>3.6.6</t>
        </is>
      </c>
      <c r="B31" s="4" t="inlineStr">
        <is>
          <t>Shock Absorption</t>
        </is>
      </c>
      <c r="C31" s="4" t="inlineStr">
        <is>
          <t>Build the preservation argument on load distribution instead.</t>
        </is>
      </c>
    </row>
    <row r="32">
      <c r="A32" s="4" t="inlineStr">
        <is>
          <t>3.6.7</t>
        </is>
      </c>
      <c r="B32" s="4" t="inlineStr">
        <is>
          <t>Joint Lubrication</t>
        </is>
      </c>
      <c r="C32" s="4" t="inlineStr">
        <is>
          <t>No operation targets lubrication and no measurement would confirm an effect.</t>
        </is>
      </c>
    </row>
    <row r="33">
      <c r="A33" s="4" t="inlineStr">
        <is>
          <t>3.6.7</t>
        </is>
      </c>
      <c r="B33" s="4" t="inlineStr">
        <is>
          <t>Joint Lubrication</t>
        </is>
      </c>
      <c r="C33" s="4" t="inlineStr">
        <is>
          <t>Its value is explanatory: why raised stress degenerates faster than stress alone predicts.</t>
        </is>
      </c>
    </row>
    <row r="34">
      <c r="A34" s="4" t="inlineStr">
        <is>
          <t>3.6.7</t>
        </is>
      </c>
      <c r="B34" s="4" t="inlineStr">
        <is>
          <t>Joint Lubrication</t>
        </is>
      </c>
      <c r="C34" s="4" t="inlineStr">
        <is>
          <t>Injectables target lubrication molecularly, not meniscally.</t>
        </is>
      </c>
    </row>
    <row r="35">
      <c r="A35" s="4" t="inlineStr">
        <is>
          <t>3.6.7</t>
        </is>
      </c>
      <c r="B35" s="4" t="inlineStr">
        <is>
          <t>Joint Lubrication</t>
        </is>
      </c>
      <c r="C35" s="4" t="inlineStr">
        <is>
          <t>Tribological testing in vitro is the only direct measurement.</t>
        </is>
      </c>
    </row>
    <row r="36">
      <c r="A36" s="4" t="inlineStr">
        <is>
          <t>3.6.7</t>
        </is>
      </c>
      <c r="B36" s="4" t="inlineStr">
        <is>
          <t>Joint Lubrication</t>
        </is>
      </c>
      <c r="C36" s="4" t="inlineStr">
        <is>
          <t>No measurement links a patient's meniscal status to their joint's lubrication.</t>
        </is>
      </c>
    </row>
    <row r="37">
      <c r="A37" s="4" t="inlineStr">
        <is>
          <t>3.6.8</t>
        </is>
      </c>
      <c r="B37" s="4" t="inlineStr">
        <is>
          <t>Proprioception</t>
        </is>
      </c>
      <c r="C37" s="4" t="inlineStr">
        <is>
          <t>The sensory argument coincides with the load bearing one for preserving horns.</t>
        </is>
      </c>
    </row>
    <row r="38">
      <c r="A38" s="4" t="inlineStr">
        <is>
          <t>3.6.8</t>
        </is>
      </c>
      <c r="B38" s="4" t="inlineStr">
        <is>
          <t>Proprioception</t>
        </is>
      </c>
      <c r="C38" s="4" t="inlineStr">
        <is>
          <t>A transplant restores tissue, not innervation; reinnervation is partial.</t>
        </is>
      </c>
    </row>
    <row r="39">
      <c r="A39" s="4" t="inlineStr">
        <is>
          <t>3.6.8</t>
        </is>
      </c>
      <c r="B39" s="4" t="inlineStr">
        <is>
          <t>Proprioception</t>
        </is>
      </c>
      <c r="C39" s="4" t="inlineStr">
        <is>
          <t>Proprioceptive recovery after transplantation is incomplete.</t>
        </is>
      </c>
    </row>
    <row r="40">
      <c r="A40" s="4" t="inlineStr">
        <is>
          <t>3.6.8</t>
        </is>
      </c>
      <c r="B40" s="4" t="inlineStr">
        <is>
          <t>Proprioception</t>
        </is>
      </c>
      <c r="C40" s="4" t="inlineStr">
        <is>
          <t>No measurement attributes a deficit specifically to lost meniscal proprioception.</t>
        </is>
      </c>
    </row>
    <row r="41">
      <c r="A41" s="4" t="inlineStr">
        <is>
          <t>3.6.8</t>
        </is>
      </c>
      <c r="B41" s="4" t="inlineStr">
        <is>
          <t>Proprioception</t>
        </is>
      </c>
      <c r="C41" s="4" t="inlineStr">
        <is>
          <t>Do not rest a treatment argument on proprioception alone.</t>
        </is>
      </c>
    </row>
    <row r="42">
      <c r="A42" s="4" t="inlineStr">
        <is>
          <t>3.6.9</t>
        </is>
      </c>
      <c r="B42" s="4" t="inlineStr">
        <is>
          <t>Root Biomechanics</t>
        </is>
      </c>
      <c r="C42" s="4" t="inlineStr">
        <is>
          <t>A strong but misplaced root repair restores an anchor in the wrong direction.</t>
        </is>
      </c>
    </row>
    <row r="43">
      <c r="A43" s="4" t="inlineStr">
        <is>
          <t>3.6.9</t>
        </is>
      </c>
      <c r="B43" s="4" t="inlineStr">
        <is>
          <t>Root Biomechanics</t>
        </is>
      </c>
      <c r="C43" s="4" t="inlineStr">
        <is>
          <t>Non anatomic repair restores contact mechanics less well, by conventional teaching.</t>
        </is>
      </c>
    </row>
    <row r="44">
      <c r="A44" s="4" t="inlineStr">
        <is>
          <t>3.6.9</t>
        </is>
      </c>
      <c r="B44" s="4" t="inlineStr">
        <is>
          <t>Root Biomechanics</t>
        </is>
      </c>
      <c r="C44" s="4" t="inlineStr">
        <is>
          <t>Position decides the mechanics more than fixation strength does.</t>
        </is>
      </c>
    </row>
    <row r="45">
      <c r="A45" s="4" t="inlineStr">
        <is>
          <t>3.6.9</t>
        </is>
      </c>
      <c r="B45" s="4" t="inlineStr">
        <is>
          <t>Root Biomechanics</t>
        </is>
      </c>
      <c r="C45" s="4" t="inlineStr">
        <is>
          <t>The anterior medial root and the cruciate tunnel compete for the same bone.</t>
        </is>
      </c>
    </row>
    <row r="46">
      <c r="A46" s="4" t="inlineStr">
        <is>
          <t>3.6.9</t>
        </is>
      </c>
      <c r="B46" s="4" t="inlineStr">
        <is>
          <t>Root Biomechanics</t>
        </is>
      </c>
      <c r="C46" s="4" t="inlineStr">
        <is>
          <t>No clinical measurement confirms a repaired root carries hoop tension.</t>
        </is>
      </c>
    </row>
    <row r="47">
      <c r="A47" s="4" t="inlineStr">
        <is>
          <t>3.6.10</t>
        </is>
      </c>
      <c r="B47" s="4" t="inlineStr">
        <is>
          <t>Meniscal Extrusion</t>
        </is>
      </c>
      <c r="C47" s="4" t="inlineStr">
        <is>
          <t>Extrusion is the closest available proxy for whether a meniscus is working.</t>
        </is>
      </c>
    </row>
    <row r="48">
      <c r="A48" s="4" t="inlineStr">
        <is>
          <t>3.6.10</t>
        </is>
      </c>
      <c r="B48" s="4" t="inlineStr">
        <is>
          <t>Meniscal Extrusion</t>
        </is>
      </c>
      <c r="C48" s="4" t="inlineStr">
        <is>
          <t>Persisting extrusion after root repair indicates the hoop was not restored.</t>
        </is>
      </c>
    </row>
    <row r="49">
      <c r="A49" s="4" t="inlineStr">
        <is>
          <t>3.6.10</t>
        </is>
      </c>
      <c r="B49" s="4" t="inlineStr">
        <is>
          <t>Meniscal Extrusion</t>
        </is>
      </c>
      <c r="C49" s="4" t="inlineStr">
        <is>
          <t>A transplant that extrudes is not in the load path.</t>
        </is>
      </c>
    </row>
    <row r="50">
      <c r="A50" s="4" t="inlineStr">
        <is>
          <t>3.6.10</t>
        </is>
      </c>
      <c r="B50" s="4" t="inlineStr">
        <is>
          <t>Meniscal Extrusion</t>
        </is>
      </c>
      <c r="C50" s="4" t="inlineStr">
        <is>
          <t>An uncorrected malalignment will push a restored meniscus out again.</t>
        </is>
      </c>
    </row>
    <row r="51">
      <c r="A51" s="4" t="inlineStr">
        <is>
          <t>3.6.10</t>
        </is>
      </c>
      <c r="B51" s="4" t="inlineStr">
        <is>
          <t>Meniscal Extrusion</t>
        </is>
      </c>
      <c r="C51" s="4" t="inlineStr">
        <is>
          <t>No measurement of meniscal function itself exists, which is why extrusion carries weight.</t>
        </is>
      </c>
    </row>
    <row r="52">
      <c r="A52" s="4" t="inlineStr">
        <is>
          <t>3.6.11</t>
        </is>
      </c>
      <c r="B52" s="4" t="inlineStr">
        <is>
          <t>Effects of Root Tears</t>
        </is>
      </c>
      <c r="C52" s="4" t="inlineStr">
        <is>
          <t>Root repair is a joint preservation operation rather than a symptom operation.</t>
        </is>
      </c>
    </row>
    <row r="53">
      <c r="A53" s="4" t="inlineStr">
        <is>
          <t>3.6.11</t>
        </is>
      </c>
      <c r="B53" s="4" t="inlineStr">
        <is>
          <t>Effects of Root Tears</t>
        </is>
      </c>
      <c r="C53" s="4" t="inlineStr">
        <is>
          <t>The footprint centre must be restored to restore the direction of tension.</t>
        </is>
      </c>
    </row>
    <row r="54">
      <c r="A54" s="4" t="inlineStr">
        <is>
          <t>3.6.11</t>
        </is>
      </c>
      <c r="B54" s="4" t="inlineStr">
        <is>
          <t>Effects of Root Tears</t>
        </is>
      </c>
      <c r="C54" s="4" t="inlineStr">
        <is>
          <t>A repaired root in an uncorrected varus limb carries the load that detached the original.</t>
        </is>
      </c>
    </row>
    <row r="55">
      <c r="A55" s="4" t="inlineStr">
        <is>
          <t>3.6.11</t>
        </is>
      </c>
      <c r="B55" s="4" t="inlineStr">
        <is>
          <t>Effects of Root Tears</t>
        </is>
      </c>
      <c r="C55" s="4" t="inlineStr">
        <is>
          <t>Cyclic displacement is the construct losing the anchor position.</t>
        </is>
      </c>
    </row>
    <row r="56">
      <c r="A56" s="4" t="inlineStr">
        <is>
          <t>3.6.11</t>
        </is>
      </c>
      <c r="B56" s="4" t="inlineStr">
        <is>
          <t>Effects of Root Tears</t>
        </is>
      </c>
      <c r="C56" s="4" t="inlineStr">
        <is>
          <t>Residual extrusion is the available proxy for restored function.</t>
        </is>
      </c>
    </row>
    <row r="57">
      <c r="A57" s="4" t="inlineStr">
        <is>
          <t>3.6.12</t>
        </is>
      </c>
      <c r="B57" s="4" t="inlineStr">
        <is>
          <t>Effects of Radial Tears</t>
        </is>
      </c>
      <c r="C57" s="4" t="inlineStr">
        <is>
          <t>The radial tear has the most mechanical consequence and the least reliable healing.</t>
        </is>
      </c>
    </row>
    <row r="58">
      <c r="A58" s="4" t="inlineStr">
        <is>
          <t>3.6.12</t>
        </is>
      </c>
      <c r="B58" s="4" t="inlineStr">
        <is>
          <t>Effects of Radial Tears</t>
        </is>
      </c>
      <c r="C58" s="4" t="inlineStr">
        <is>
          <t>Lower healing rates follow from the construct carrying the hoop tension.</t>
        </is>
      </c>
    </row>
    <row r="59">
      <c r="A59" s="4" t="inlineStr">
        <is>
          <t>3.6.12</t>
        </is>
      </c>
      <c r="B59" s="4" t="inlineStr">
        <is>
          <t>Effects of Radial Tears</t>
        </is>
      </c>
      <c r="C59" s="4" t="inlineStr">
        <is>
          <t>Cyclic gap formation matters more than ultimate strength for this pattern.</t>
        </is>
      </c>
    </row>
    <row r="60">
      <c r="A60" s="4" t="inlineStr">
        <is>
          <t>3.6.12</t>
        </is>
      </c>
      <c r="B60" s="4" t="inlineStr">
        <is>
          <t>Effects of Radial Tears</t>
        </is>
      </c>
      <c r="C60" s="4" t="inlineStr">
        <is>
          <t>Load protection after repair is a mechanical requirement.</t>
        </is>
      </c>
    </row>
    <row r="61">
      <c r="A61" s="4" t="inlineStr">
        <is>
          <t>3.6.12</t>
        </is>
      </c>
      <c r="B61" s="4" t="inlineStr">
        <is>
          <t>Effects of Radial Tears</t>
        </is>
      </c>
      <c r="C61" s="4" t="inlineStr">
        <is>
          <t>No measurement confirms the tension path was restored.</t>
        </is>
      </c>
    </row>
    <row r="62">
      <c r="A62" s="4" t="inlineStr">
        <is>
          <t>3.6.13</t>
        </is>
      </c>
      <c r="B62" s="4" t="inlineStr">
        <is>
          <t>Meniscal Repair Biomechanics</t>
        </is>
      </c>
      <c r="C62" s="4" t="inlineStr">
        <is>
          <t>The difficult practice is where the three requirements cannot all be met.</t>
        </is>
      </c>
    </row>
    <row r="63">
      <c r="A63" s="4" t="inlineStr">
        <is>
          <t>3.6.13</t>
        </is>
      </c>
      <c r="B63" s="4" t="inlineStr">
        <is>
          <t>Meniscal Repair Biomechanics</t>
        </is>
      </c>
      <c r="C63" s="4" t="inlineStr">
        <is>
          <t>Mechanics say what would be restored, not whether restoring it is worth the operation.</t>
        </is>
      </c>
    </row>
    <row r="64">
      <c r="A64" s="4" t="inlineStr">
        <is>
          <t>3.6.13</t>
        </is>
      </c>
      <c r="B64" s="4" t="inlineStr">
        <is>
          <t>Meniscal Repair Biomechanics</t>
        </is>
      </c>
      <c r="C64" s="4" t="inlineStr">
        <is>
          <t>A root repair with a correcting osteotomy is more than additive.</t>
        </is>
      </c>
    </row>
    <row r="65">
      <c r="A65" s="4" t="inlineStr">
        <is>
          <t>3.6.13</t>
        </is>
      </c>
      <c r="B65" s="4" t="inlineStr">
        <is>
          <t>Meniscal Repair Biomechanics</t>
        </is>
      </c>
      <c r="C65" s="4" t="inlineStr">
        <is>
          <t>Cartilage state sets the ceiling on what preservation achieves.</t>
        </is>
      </c>
    </row>
    <row r="66">
      <c r="A66" s="4" t="inlineStr">
        <is>
          <t>3.6.13</t>
        </is>
      </c>
      <c r="B66" s="4" t="inlineStr">
        <is>
          <t>Meniscal Repair Biomechanics</t>
        </is>
      </c>
      <c r="C66" s="4" t="inlineStr">
        <is>
          <t>No measurement predicts which individual knee will preserve.</t>
        </is>
      </c>
    </row>
    <row r="67">
      <c r="A67" s="4" t="inlineStr">
        <is>
          <t>3.6.14</t>
        </is>
      </c>
      <c r="B67" s="4" t="inlineStr">
        <is>
          <t>Meniscal Transplantation Biomechanics</t>
        </is>
      </c>
      <c r="C67" s="4" t="inlineStr">
        <is>
          <t>Transplantation is rarely a single procedure and the order has mechanical consequences.</t>
        </is>
      </c>
    </row>
    <row r="68">
      <c r="A68" s="4" t="inlineStr">
        <is>
          <t>3.6.14</t>
        </is>
      </c>
      <c r="B68" s="4" t="inlineStr">
        <is>
          <t>Meniscal Transplantation Biomechanics</t>
        </is>
      </c>
      <c r="C68" s="4" t="inlineStr">
        <is>
          <t>A graft in an uncorrected environment is loaded by what destroyed its predecessor.</t>
        </is>
      </c>
    </row>
    <row r="69">
      <c r="A69" s="4" t="inlineStr">
        <is>
          <t>3.6.14</t>
        </is>
      </c>
      <c r="B69" s="4" t="inlineStr">
        <is>
          <t>Meniscal Transplantation Biomechanics</t>
        </is>
      </c>
      <c r="C69" s="4" t="inlineStr">
        <is>
          <t>Scaffolds restore area without reproducing the tensile architecture.</t>
        </is>
      </c>
    </row>
    <row r="70">
      <c r="A70" s="4" t="inlineStr">
        <is>
          <t>3.6.14</t>
        </is>
      </c>
      <c r="B70" s="4" t="inlineStr">
        <is>
          <t>Meniscal Transplantation Biomechanics</t>
        </is>
      </c>
      <c r="C70" s="4" t="inlineStr">
        <is>
          <t>Combined procedure series are small and heterogeneous.</t>
        </is>
      </c>
    </row>
    <row r="71">
      <c r="A71" s="4" t="inlineStr">
        <is>
          <t>3.6.14</t>
        </is>
      </c>
      <c r="B71" s="4" t="inlineStr">
        <is>
          <t>Meniscal Transplantation Biomechanics</t>
        </is>
      </c>
      <c r="C71" s="4" t="inlineStr">
        <is>
          <t>No measurement separates each component's contribution in a combined procedure.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3.6.1-P1</t>
        </is>
      </c>
      <c r="B3" s="4" t="inlineStr">
        <is>
          <t>3.6.1</t>
        </is>
      </c>
      <c r="C3" s="4" t="inlineStr">
        <is>
          <t>mrcs</t>
        </is>
      </c>
      <c r="D3" s="4" t="inlineStr">
        <is>
          <t>Expect a degenerate meniscus to carry less tension than its outline suggests.</t>
        </is>
      </c>
      <c r="E3" s="4" t="inlineStr"/>
      <c r="F3" s="4" t="inlineStr"/>
      <c r="G3" s="4" t="inlineStr"/>
    </row>
    <row r="4">
      <c r="A4" s="4" t="inlineStr">
        <is>
          <t>3.6.1-P2</t>
        </is>
      </c>
      <c r="B4" s="4" t="inlineStr">
        <is>
          <t>3.6.1</t>
        </is>
      </c>
      <c r="C4" s="4" t="inlineStr">
        <is>
          <t>mrcs</t>
        </is>
      </c>
      <c r="D4" s="4" t="inlineStr">
        <is>
          <t>Treat the lateral meniscus as the more important one to its compartment, against the frequency of injury.</t>
        </is>
      </c>
      <c r="E4" s="4" t="inlineStr"/>
      <c r="F4" s="4" t="inlineStr"/>
      <c r="G4" s="4" t="inlineStr"/>
    </row>
    <row r="5">
      <c r="A5" s="4" t="inlineStr">
        <is>
          <t>3.6.1-P3</t>
        </is>
      </c>
      <c r="B5" s="4" t="inlineStr">
        <is>
          <t>3.6.1</t>
        </is>
      </c>
      <c r="C5" s="4" t="inlineStr">
        <is>
          <t>frcs</t>
        </is>
      </c>
      <c r="D5" s="4" t="inlineStr">
        <is>
          <t>Treat the five functions as a package that cannot be restored selectively.</t>
        </is>
      </c>
      <c r="E5" s="4" t="inlineStr"/>
      <c r="F5" s="4" t="inlineStr"/>
      <c r="G5" s="4" t="inlineStr"/>
    </row>
    <row r="6">
      <c r="A6" s="4" t="inlineStr">
        <is>
          <t>3.6.1-P4</t>
        </is>
      </c>
      <c r="B6" s="4" t="inlineStr">
        <is>
          <t>3.6.1</t>
        </is>
      </c>
      <c r="C6" s="4" t="inlineStr">
        <is>
          <t>frcs</t>
        </is>
      </c>
      <c r="D6" s="4" t="inlineStr">
        <is>
          <t>Repair at the first operation wherever the ring can be restored, because the decision is not repeatable.</t>
        </is>
      </c>
      <c r="E6" s="4" t="inlineStr"/>
      <c r="F6" s="4" t="inlineStr"/>
      <c r="G6" s="4" t="inlineStr"/>
    </row>
    <row r="7">
      <c r="A7" s="4" t="inlineStr">
        <is>
          <t>3.6.1-P5</t>
        </is>
      </c>
      <c r="B7" s="4" t="inlineStr">
        <is>
          <t>3.6.1</t>
        </is>
      </c>
      <c r="C7" s="4" t="inlineStr">
        <is>
          <t>frcs</t>
        </is>
      </c>
      <c r="D7" s="4" t="inlineStr">
        <is>
          <t>Address root integrity and alignment alongside the meniscus, since both decide whether it works.</t>
        </is>
      </c>
      <c r="E7" s="4" t="inlineStr"/>
      <c r="F7" s="4" t="inlineStr"/>
      <c r="G7" s="4" t="inlineStr"/>
    </row>
    <row r="8">
      <c r="A8" s="4" t="inlineStr">
        <is>
          <t>3.6.2-P1</t>
        </is>
      </c>
      <c r="B8" s="4" t="inlineStr">
        <is>
          <t>3.6.2</t>
        </is>
      </c>
      <c r="C8" s="4" t="inlineStr">
        <is>
          <t>mrcs</t>
        </is>
      </c>
      <c r="D8" s="4" t="inlineStr">
        <is>
          <t>Preserve the peripheral third preferentially, since it carries most of the tension.</t>
        </is>
      </c>
      <c r="E8" s="4" t="inlineStr"/>
      <c r="F8" s="4" t="inlineStr"/>
      <c r="G8" s="4" t="inlineStr"/>
    </row>
    <row r="9">
      <c r="A9" s="4" t="inlineStr">
        <is>
          <t>3.6.2-P2</t>
        </is>
      </c>
      <c r="B9" s="4" t="inlineStr">
        <is>
          <t>3.6.2</t>
        </is>
      </c>
      <c r="C9" s="4" t="inlineStr">
        <is>
          <t>mrcs</t>
        </is>
      </c>
      <c r="D9" s="4" t="inlineStr">
        <is>
          <t>Treat a radial tear's depth as the mechanical variable rather than its length.</t>
        </is>
      </c>
      <c r="E9" s="4" t="inlineStr"/>
      <c r="F9" s="4" t="inlineStr"/>
      <c r="G9" s="4" t="inlineStr"/>
    </row>
    <row r="10">
      <c r="A10" s="4" t="inlineStr">
        <is>
          <t>3.6.2-P3</t>
        </is>
      </c>
      <c r="B10" s="4" t="inlineStr">
        <is>
          <t>3.6.2</t>
        </is>
      </c>
      <c r="C10" s="4" t="inlineStr">
        <is>
          <t>mrcs</t>
        </is>
      </c>
      <c r="D10" s="4" t="inlineStr">
        <is>
          <t>Expect a flattened or degenerate meniscus to convert less compression into tension.</t>
        </is>
      </c>
      <c r="E10" s="4" t="inlineStr"/>
      <c r="F10" s="4" t="inlineStr"/>
      <c r="G10" s="4" t="inlineStr"/>
    </row>
    <row r="11">
      <c r="A11" s="4" t="inlineStr">
        <is>
          <t>3.6.2-P4</t>
        </is>
      </c>
      <c r="B11" s="4" t="inlineStr">
        <is>
          <t>3.6.2</t>
        </is>
      </c>
      <c r="C11" s="4" t="inlineStr">
        <is>
          <t>frcs</t>
        </is>
      </c>
      <c r="D11" s="4" t="inlineStr">
        <is>
          <t>Treat hoop tension as the quantity every meniscal operation is judged against.</t>
        </is>
      </c>
      <c r="E11" s="4" t="inlineStr"/>
      <c r="F11" s="4" t="inlineStr"/>
      <c r="G11" s="4" t="inlineStr"/>
    </row>
    <row r="12">
      <c r="A12" s="4" t="inlineStr">
        <is>
          <t>3.6.2-P5</t>
        </is>
      </c>
      <c r="B12" s="4" t="inlineStr">
        <is>
          <t>3.6.2</t>
        </is>
      </c>
      <c r="C12" s="4" t="inlineStr">
        <is>
          <t>frcs</t>
        </is>
      </c>
      <c r="D12" s="4" t="inlineStr">
        <is>
          <t>Repair construct and its orientation, since a suture across the fibres restores the path and one along them does not.</t>
        </is>
      </c>
      <c r="E12" s="4" t="inlineStr"/>
      <c r="F12" s="4" t="inlineStr"/>
      <c r="G12" s="4" t="inlineStr"/>
    </row>
    <row r="13">
      <c r="A13" s="4" t="inlineStr">
        <is>
          <t>3.6.2-P6</t>
        </is>
      </c>
      <c r="B13" s="4" t="inlineStr">
        <is>
          <t>3.6.2</t>
        </is>
      </c>
      <c r="C13" s="4" t="inlineStr">
        <is>
          <t>frcs</t>
        </is>
      </c>
      <c r="D13" s="4" t="inlineStr">
        <is>
          <t>Alignment and load, which determine the tension the restored path must carry.</t>
        </is>
      </c>
      <c r="E13" s="4" t="inlineStr"/>
      <c r="F13" s="4" t="inlineStr"/>
      <c r="G13" s="4" t="inlineStr"/>
    </row>
    <row r="14">
      <c r="A14" s="4" t="inlineStr">
        <is>
          <t>3.6.2-P7</t>
        </is>
      </c>
      <c r="B14" s="4" t="inlineStr">
        <is>
          <t>3.6.2</t>
        </is>
      </c>
      <c r="C14" s="4" t="inlineStr">
        <is>
          <t>frcs</t>
        </is>
      </c>
      <c r="D14" s="4" t="inlineStr">
        <is>
          <t>Expect healed appearance and restored tension to differ, and judge by outcome.</t>
        </is>
      </c>
      <c r="E14" s="4" t="inlineStr"/>
      <c r="F14" s="4" t="inlineStr"/>
      <c r="G14" s="4" t="inlineStr"/>
    </row>
    <row r="15">
      <c r="A15" s="4" t="inlineStr">
        <is>
          <t>3.6.2-P8</t>
        </is>
      </c>
      <c r="B15" s="4" t="inlineStr">
        <is>
          <t>3.6.2</t>
        </is>
      </c>
      <c r="C15" s="4" t="inlineStr">
        <is>
          <t>frcs</t>
        </is>
      </c>
      <c r="D15" s="4" t="inlineStr">
        <is>
          <t>Repair a root to its anatomic position, since tension depends on where the anchor sits.</t>
        </is>
      </c>
      <c r="E15" s="4" t="inlineStr"/>
      <c r="F15" s="4" t="inlineStr"/>
      <c r="G15" s="4" t="inlineStr"/>
    </row>
    <row r="16">
      <c r="A16" s="4" t="inlineStr">
        <is>
          <t>3.6.3-P1</t>
        </is>
      </c>
      <c r="B16" s="4" t="inlineStr">
        <is>
          <t>3.6.3</t>
        </is>
      </c>
      <c r="C16" s="4" t="inlineStr">
        <is>
          <t>mrcs</t>
        </is>
      </c>
      <c r="D16" s="4" t="inlineStr">
        <is>
          <t>Treat tear orientation relative to the circumferential fibres as the mechanical question.</t>
        </is>
      </c>
      <c r="E16" s="4" t="inlineStr"/>
      <c r="F16" s="4" t="inlineStr"/>
      <c r="G16" s="4" t="inlineStr"/>
    </row>
    <row r="17">
      <c r="A17" s="4" t="inlineStr">
        <is>
          <t>3.6.3-P2</t>
        </is>
      </c>
      <c r="B17" s="4" t="inlineStr">
        <is>
          <t>3.6.3</t>
        </is>
      </c>
      <c r="C17" s="4" t="inlineStr">
        <is>
          <t>mrcs</t>
        </is>
      </c>
      <c r="D17" s="4" t="inlineStr">
        <is>
          <t>Expect the inner third to behave more like cartilage and the outer like tendon.</t>
        </is>
      </c>
      <c r="E17" s="4" t="inlineStr"/>
      <c r="F17" s="4" t="inlineStr"/>
      <c r="G17" s="4" t="inlineStr"/>
    </row>
    <row r="18">
      <c r="A18" s="4" t="inlineStr">
        <is>
          <t>3.6.3-P3</t>
        </is>
      </c>
      <c r="B18" s="4" t="inlineStr">
        <is>
          <t>3.6.3</t>
        </is>
      </c>
      <c r="C18" s="4" t="inlineStr">
        <is>
          <t>frcs</t>
        </is>
      </c>
      <c r="D18" s="4" t="inlineStr">
        <is>
          <t>Treat the fibre architecture as the thing a repair either reconstitutes or does not.</t>
        </is>
      </c>
      <c r="E18" s="4" t="inlineStr"/>
      <c r="F18" s="4" t="inlineStr"/>
      <c r="G18" s="4" t="inlineStr"/>
    </row>
    <row r="19">
      <c r="A19" s="4" t="inlineStr">
        <is>
          <t>3.6.3-P4</t>
        </is>
      </c>
      <c r="B19" s="4" t="inlineStr">
        <is>
          <t>3.6.3</t>
        </is>
      </c>
      <c r="C19" s="4" t="inlineStr">
        <is>
          <t>frcs</t>
        </is>
      </c>
      <c r="D19" s="4" t="inlineStr">
        <is>
          <t>Expect repair in degenerate tissue to behave differently from repair in healthy tissue.</t>
        </is>
      </c>
      <c r="E19" s="4" t="inlineStr"/>
      <c r="F19" s="4" t="inlineStr"/>
      <c r="G19" s="4" t="inlineStr"/>
    </row>
    <row r="20">
      <c r="A20" s="4" t="inlineStr">
        <is>
          <t>3.6.4-P1</t>
        </is>
      </c>
      <c r="B20" s="4" t="inlineStr">
        <is>
          <t>3.6.4</t>
        </is>
      </c>
      <c r="C20" s="4" t="inlineStr">
        <is>
          <t>mrcs</t>
        </is>
      </c>
      <c r="D20" s="4" t="inlineStr">
        <is>
          <t>Expect a longitudinal tear to be commoner because it fails the weaker direction.</t>
        </is>
      </c>
      <c r="E20" s="4" t="inlineStr"/>
      <c r="F20" s="4" t="inlineStr"/>
      <c r="G20" s="4" t="inlineStr"/>
    </row>
    <row r="21">
      <c r="A21" s="4" t="inlineStr">
        <is>
          <t>3.6.4-P2</t>
        </is>
      </c>
      <c r="B21" s="4" t="inlineStr">
        <is>
          <t>3.6.4</t>
        </is>
      </c>
      <c r="C21" s="4" t="inlineStr">
        <is>
          <t>mrcs</t>
        </is>
      </c>
      <c r="D21" s="4" t="inlineStr">
        <is>
          <t>Treat loss of shape under load as a radial fibre problem as well as a hoop problem.</t>
        </is>
      </c>
      <c r="E21" s="4" t="inlineStr"/>
      <c r="F21" s="4" t="inlineStr"/>
      <c r="G21" s="4" t="inlineStr"/>
    </row>
    <row r="22">
      <c r="A22" s="4" t="inlineStr">
        <is>
          <t>3.6.4-P3</t>
        </is>
      </c>
      <c r="B22" s="4" t="inlineStr">
        <is>
          <t>3.6.4</t>
        </is>
      </c>
      <c r="C22" s="4" t="inlineStr">
        <is>
          <t>mrcs</t>
        </is>
      </c>
      <c r="D22" s="4" t="inlineStr">
        <is>
          <t>Use the tear pattern as evidence of which fibre system failed.</t>
        </is>
      </c>
      <c r="E22" s="4" t="inlineStr"/>
      <c r="F22" s="4" t="inlineStr"/>
      <c r="G22" s="4" t="inlineStr"/>
    </row>
    <row r="23">
      <c r="A23" s="4" t="inlineStr">
        <is>
          <t>3.6.4-P4</t>
        </is>
      </c>
      <c r="B23" s="4" t="inlineStr">
        <is>
          <t>3.6.4</t>
        </is>
      </c>
      <c r="C23" s="4" t="inlineStr">
        <is>
          <t>frcs</t>
        </is>
      </c>
      <c r="D23" s="4" t="inlineStr">
        <is>
          <t>Treat the two systems as two separate repair problems.</t>
        </is>
      </c>
      <c r="E23" s="4" t="inlineStr"/>
      <c r="F23" s="4" t="inlineStr"/>
      <c r="G23" s="4" t="inlineStr"/>
    </row>
    <row r="24">
      <c r="A24" s="4" t="inlineStr">
        <is>
          <t>3.6.4-P5</t>
        </is>
      </c>
      <c r="B24" s="4" t="inlineStr">
        <is>
          <t>3.6.4</t>
        </is>
      </c>
      <c r="C24" s="4" t="inlineStr">
        <is>
          <t>frcs</t>
        </is>
      </c>
      <c r="D24" s="4" t="inlineStr">
        <is>
          <t>Expect a radial repair to be the harder problem, because the construct carries the hoop tension.</t>
        </is>
      </c>
      <c r="E24" s="4" t="inlineStr"/>
      <c r="F24" s="4" t="inlineStr"/>
      <c r="G24" s="4" t="inlineStr"/>
    </row>
    <row r="25">
      <c r="A25" s="4" t="inlineStr">
        <is>
          <t>3.6.4-P6</t>
        </is>
      </c>
      <c r="B25" s="4" t="inlineStr">
        <is>
          <t>3.6.4</t>
        </is>
      </c>
      <c r="C25" s="4" t="inlineStr">
        <is>
          <t>frcs</t>
        </is>
      </c>
      <c r="D25" s="4" t="inlineStr">
        <is>
          <t>Protect load after a radial repair, on the ground that the construct is the tension path.</t>
        </is>
      </c>
      <c r="E25" s="4" t="inlineStr"/>
      <c r="F25" s="4" t="inlineStr"/>
      <c r="G25" s="4" t="inlineStr"/>
    </row>
    <row r="26">
      <c r="A26" s="4" t="inlineStr">
        <is>
          <t>3.6.5-P1</t>
        </is>
      </c>
      <c r="B26" s="4" t="inlineStr">
        <is>
          <t>3.6.5</t>
        </is>
      </c>
      <c r="C26" s="4" t="inlineStr">
        <is>
          <t>mrcs</t>
        </is>
      </c>
      <c r="D26" s="4" t="inlineStr">
        <is>
          <t>Expect posterior horn pathology to dominate, given where the load sits in flexion.</t>
        </is>
      </c>
      <c r="E26" s="4" t="inlineStr"/>
      <c r="F26" s="4" t="inlineStr"/>
      <c r="G26" s="4" t="inlineStr"/>
    </row>
    <row r="27">
      <c r="A27" s="4" t="inlineStr">
        <is>
          <t>3.6.5-P2</t>
        </is>
      </c>
      <c r="B27" s="4" t="inlineStr">
        <is>
          <t>3.6.5</t>
        </is>
      </c>
      <c r="C27" s="4" t="inlineStr">
        <is>
          <t>mrcs</t>
        </is>
      </c>
      <c r="D27" s="4" t="inlineStr">
        <is>
          <t>Treat extrusion as removing the meniscus from the share without removing tissue.</t>
        </is>
      </c>
      <c r="E27" s="4" t="inlineStr"/>
      <c r="F27" s="4" t="inlineStr"/>
      <c r="G27" s="4" t="inlineStr"/>
    </row>
    <row r="28">
      <c r="A28" s="4" t="inlineStr">
        <is>
          <t>3.6.5-P3</t>
        </is>
      </c>
      <c r="B28" s="4" t="inlineStr">
        <is>
          <t>3.6.5</t>
        </is>
      </c>
      <c r="C28" s="4" t="inlineStr">
        <is>
          <t>frcs</t>
        </is>
      </c>
      <c r="D28" s="4" t="inlineStr">
        <is>
          <t>Treat the flexion dependence as the reason posterior horn work matters out of proportion to its size.</t>
        </is>
      </c>
      <c r="E28" s="4" t="inlineStr"/>
      <c r="F28" s="4" t="inlineStr"/>
      <c r="G28" s="4" t="inlineStr"/>
    </row>
    <row r="29">
      <c r="A29" s="4" t="inlineStr">
        <is>
          <t>3.6.5-P4</t>
        </is>
      </c>
      <c r="B29" s="4" t="inlineStr">
        <is>
          <t>3.6.5</t>
        </is>
      </c>
      <c r="C29" s="4" t="inlineStr">
        <is>
          <t>frcs</t>
        </is>
      </c>
      <c r="D29" s="4" t="inlineStr">
        <is>
          <t>Repair posterior roots on load path grounds rather than on symptoms alone.</t>
        </is>
      </c>
      <c r="E29" s="4" t="inlineStr"/>
      <c r="F29" s="4" t="inlineStr"/>
      <c r="G29" s="4" t="inlineStr"/>
    </row>
    <row r="30">
      <c r="A30" s="4" t="inlineStr">
        <is>
          <t>3.6.5-P5</t>
        </is>
      </c>
      <c r="B30" s="4" t="inlineStr">
        <is>
          <t>3.6.5</t>
        </is>
      </c>
      <c r="C30" s="4" t="inlineStr">
        <is>
          <t>frcs</t>
        </is>
      </c>
      <c r="D30" s="4" t="inlineStr">
        <is>
          <t>Treat the deep flexion literature as thin and the mechanism as sound.</t>
        </is>
      </c>
      <c r="E30" s="4" t="inlineStr"/>
      <c r="F30" s="4" t="inlineStr"/>
      <c r="G30" s="4" t="inlineStr"/>
    </row>
    <row r="31">
      <c r="A31" s="4" t="inlineStr">
        <is>
          <t>3.6.6-P1</t>
        </is>
      </c>
      <c r="B31" s="4" t="inlineStr">
        <is>
          <t>3.6.6</t>
        </is>
      </c>
      <c r="C31" s="4" t="inlineStr">
        <is>
          <t>mrcs</t>
        </is>
      </c>
      <c r="D31" s="4" t="inlineStr">
        <is>
          <t>Expect the damping loss after meniscectomy to show in impact activities rather than in walking.</t>
        </is>
      </c>
      <c r="E31" s="4" t="inlineStr"/>
      <c r="F31" s="4" t="inlineStr"/>
      <c r="G31" s="4" t="inlineStr"/>
    </row>
    <row r="32">
      <c r="A32" s="4" t="inlineStr">
        <is>
          <t>3.6.6-P2</t>
        </is>
      </c>
      <c r="B32" s="4" t="inlineStr">
        <is>
          <t>3.6.6</t>
        </is>
      </c>
      <c r="C32" s="4" t="inlineStr">
        <is>
          <t>mrcs</t>
        </is>
      </c>
      <c r="D32" s="4" t="inlineStr">
        <is>
          <t>Treat muscle as the modifiable shock absorber when the meniscal contribution has been lost.</t>
        </is>
      </c>
      <c r="E32" s="4" t="inlineStr"/>
      <c r="F32" s="4" t="inlineStr"/>
      <c r="G32" s="4" t="inlineStr"/>
    </row>
    <row r="33">
      <c r="A33" s="4" t="inlineStr">
        <is>
          <t>3.6.6-P3</t>
        </is>
      </c>
      <c r="B33" s="4" t="inlineStr">
        <is>
          <t>3.6.6</t>
        </is>
      </c>
      <c r="C33" s="4" t="inlineStr">
        <is>
          <t>frcs</t>
        </is>
      </c>
      <c r="D33" s="4" t="inlineStr">
        <is>
          <t>Treat damping as the meniscal function with the weakest quantitative evidence and a sound mechanism.</t>
        </is>
      </c>
      <c r="E33" s="4" t="inlineStr"/>
      <c r="F33" s="4" t="inlineStr"/>
      <c r="G33" s="4" t="inlineStr"/>
    </row>
    <row r="34">
      <c r="A34" s="4" t="inlineStr">
        <is>
          <t>3.6.6-P4</t>
        </is>
      </c>
      <c r="B34" s="4" t="inlineStr">
        <is>
          <t>3.6.6</t>
        </is>
      </c>
      <c r="C34" s="4" t="inlineStr">
        <is>
          <t>frcs</t>
        </is>
      </c>
      <c r="D34" s="4" t="inlineStr">
        <is>
          <t>Expect a substitute not to reproduce native damping properties.</t>
        </is>
      </c>
      <c r="E34" s="4" t="inlineStr"/>
      <c r="F34" s="4" t="inlineStr"/>
      <c r="G34" s="4" t="inlineStr"/>
    </row>
    <row r="35">
      <c r="A35" s="4" t="inlineStr">
        <is>
          <t>3.6.7-P1</t>
        </is>
      </c>
      <c r="B35" s="4" t="inlineStr">
        <is>
          <t>3.6.7</t>
        </is>
      </c>
      <c r="C35" s="4" t="inlineStr">
        <is>
          <t>mrcs</t>
        </is>
      </c>
      <c r="D35" s="4" t="inlineStr">
        <is>
          <t>Expect raised contact stress to shift the lubrication regime unfavourably.</t>
        </is>
      </c>
      <c r="E35" s="4" t="inlineStr"/>
      <c r="F35" s="4" t="inlineStr"/>
      <c r="G35" s="4" t="inlineStr"/>
    </row>
    <row r="36">
      <c r="A36" s="4" t="inlineStr">
        <is>
          <t>3.6.7-P2</t>
        </is>
      </c>
      <c r="B36" s="4" t="inlineStr">
        <is>
          <t>3.6.7</t>
        </is>
      </c>
      <c r="C36" s="4" t="inlineStr">
        <is>
          <t>mrcs</t>
        </is>
      </c>
      <c r="D36" s="4" t="inlineStr">
        <is>
          <t>Treat synovial fluid changes after injury as part of the picture rather than a separate problem.</t>
        </is>
      </c>
      <c r="E36" s="4" t="inlineStr"/>
      <c r="F36" s="4" t="inlineStr"/>
      <c r="G36" s="4" t="inlineStr"/>
    </row>
    <row r="37">
      <c r="A37" s="4" t="inlineStr">
        <is>
          <t>3.6.7-P3</t>
        </is>
      </c>
      <c r="B37" s="4" t="inlineStr">
        <is>
          <t>3.6.7</t>
        </is>
      </c>
      <c r="C37" s="4" t="inlineStr">
        <is>
          <t>frcs</t>
        </is>
      </c>
      <c r="D37" s="4" t="inlineStr">
        <is>
          <t>Treat lubrication as a mechanism to understand rather than a function to restore.</t>
        </is>
      </c>
      <c r="E37" s="4" t="inlineStr"/>
      <c r="F37" s="4" t="inlineStr"/>
      <c r="G37" s="4" t="inlineStr"/>
    </row>
    <row r="38">
      <c r="A38" s="4" t="inlineStr">
        <is>
          <t>3.6.7-P4</t>
        </is>
      </c>
      <c r="B38" s="4" t="inlineStr">
        <is>
          <t>3.6.7</t>
        </is>
      </c>
      <c r="C38" s="4" t="inlineStr">
        <is>
          <t>frcs</t>
        </is>
      </c>
      <c r="D38" s="4" t="inlineStr">
        <is>
          <t>Use lubrication to explain progression rather than to justify an operation.</t>
        </is>
      </c>
      <c r="E38" s="4" t="inlineStr"/>
      <c r="F38" s="4" t="inlineStr"/>
      <c r="G38" s="4" t="inlineStr"/>
    </row>
    <row r="39">
      <c r="A39" s="4" t="inlineStr">
        <is>
          <t>3.6.8-P1</t>
        </is>
      </c>
      <c r="B39" s="4" t="inlineStr">
        <is>
          <t>3.6.8</t>
        </is>
      </c>
      <c r="C39" s="4" t="inlineStr">
        <is>
          <t>mrcs</t>
        </is>
      </c>
      <c r="D39" s="4" t="inlineStr">
        <is>
          <t>Expect proprioceptive deficit after meniscal injury and resection, and expect it to be hard to attribute.</t>
        </is>
      </c>
      <c r="E39" s="4" t="inlineStr"/>
      <c r="F39" s="4" t="inlineStr"/>
      <c r="G39" s="4" t="inlineStr"/>
    </row>
    <row r="40">
      <c r="A40" s="4" t="inlineStr">
        <is>
          <t>3.6.8-P2</t>
        </is>
      </c>
      <c r="B40" s="4" t="inlineStr">
        <is>
          <t>3.6.8</t>
        </is>
      </c>
      <c r="C40" s="4" t="inlineStr">
        <is>
          <t>mrcs</t>
        </is>
      </c>
      <c r="D40" s="4" t="inlineStr">
        <is>
          <t>Treat combined meniscal and cruciate injury as a larger sensory loss than either alone.</t>
        </is>
      </c>
      <c r="E40" s="4" t="inlineStr"/>
      <c r="F40" s="4" t="inlineStr"/>
      <c r="G40" s="4" t="inlineStr"/>
    </row>
    <row r="41">
      <c r="A41" s="4" t="inlineStr">
        <is>
          <t>3.6.8-P3</t>
        </is>
      </c>
      <c r="B41" s="4" t="inlineStr">
        <is>
          <t>3.6.8</t>
        </is>
      </c>
      <c r="C41" s="4" t="inlineStr">
        <is>
          <t>frcs</t>
        </is>
      </c>
      <c r="D41" s="4" t="inlineStr">
        <is>
          <t>Treat the sensory function as an argument for preserving horns specifically, which coincides with the load bearing argument for the same tissue.</t>
        </is>
      </c>
      <c r="E41" s="4" t="inlineStr"/>
      <c r="F41" s="4" t="inlineStr"/>
      <c r="G41" s="4" t="inlineStr"/>
    </row>
    <row r="42">
      <c r="A42" s="4" t="inlineStr">
        <is>
          <t>3.6.8-P4</t>
        </is>
      </c>
      <c r="B42" s="4" t="inlineStr">
        <is>
          <t>3.6.8</t>
        </is>
      </c>
      <c r="C42" s="4" t="inlineStr">
        <is>
          <t>frcs</t>
        </is>
      </c>
      <c r="D42" s="4" t="inlineStr">
        <is>
          <t>The sensory case does not need to carry weight on its own, and it should not be asked to.</t>
        </is>
      </c>
      <c r="E42" s="4" t="inlineStr"/>
      <c r="F42" s="4" t="inlineStr"/>
      <c r="G42" s="4" t="inlineStr"/>
    </row>
    <row r="43">
      <c r="A43" s="4" t="inlineStr">
        <is>
          <t>3.6.8-P5</t>
        </is>
      </c>
      <c r="B43" s="4" t="inlineStr">
        <is>
          <t>3.6.8</t>
        </is>
      </c>
      <c r="C43" s="4" t="inlineStr">
        <is>
          <t>frcs</t>
        </is>
      </c>
      <c r="D43" s="4" t="inlineStr">
        <is>
          <t>Preserve horns, where the load bearing and the sensory arguments agree.</t>
        </is>
      </c>
      <c r="E43" s="4" t="inlineStr"/>
      <c r="F43" s="4" t="inlineStr"/>
      <c r="G43" s="4" t="inlineStr"/>
    </row>
    <row r="44">
      <c r="A44" s="4" t="inlineStr">
        <is>
          <t>3.6.8-P6</t>
        </is>
      </c>
      <c r="B44" s="4" t="inlineStr">
        <is>
          <t>3.6.8</t>
        </is>
      </c>
      <c r="C44" s="4" t="inlineStr">
        <is>
          <t>frcs</t>
        </is>
      </c>
      <c r="D44" s="4" t="inlineStr">
        <is>
          <t>Expect proprioceptive recovery after transplantation to be incomplete.</t>
        </is>
      </c>
      <c r="E44" s="4" t="inlineStr"/>
      <c r="F44" s="4" t="inlineStr"/>
      <c r="G44" s="4" t="inlineStr"/>
    </row>
    <row r="45">
      <c r="A45" s="4" t="inlineStr">
        <is>
          <t>3.6.8-P7</t>
        </is>
      </c>
      <c r="B45" s="4" t="inlineStr">
        <is>
          <t>3.6.8</t>
        </is>
      </c>
      <c r="C45" s="4" t="inlineStr">
        <is>
          <t>frcs</t>
        </is>
      </c>
      <c r="D45" s="4" t="inlineStr">
        <is>
          <t>Avoid resting a treatment argument on proprioception alone.</t>
        </is>
      </c>
      <c r="E45" s="4" t="inlineStr"/>
      <c r="F45" s="4" t="inlineStr"/>
      <c r="G45" s="4" t="inlineStr"/>
    </row>
    <row r="46">
      <c r="A46" s="4" t="inlineStr">
        <is>
          <t>3.6.9-P1</t>
        </is>
      </c>
      <c r="B46" s="4" t="inlineStr">
        <is>
          <t>3.6.9</t>
        </is>
      </c>
      <c r="C46" s="4" t="inlineStr">
        <is>
          <t>mrcs</t>
        </is>
      </c>
      <c r="D46" s="4" t="inlineStr">
        <is>
          <t>Repair position relative to the native footprint centre.</t>
        </is>
      </c>
      <c r="E46" s="4" t="inlineStr"/>
      <c r="F46" s="4" t="inlineStr"/>
      <c r="G46" s="4" t="inlineStr"/>
    </row>
    <row r="47">
      <c r="A47" s="4" t="inlineStr">
        <is>
          <t>3.6.9-P2</t>
        </is>
      </c>
      <c r="B47" s="4" t="inlineStr">
        <is>
          <t>3.6.9</t>
        </is>
      </c>
      <c r="C47" s="4" t="inlineStr">
        <is>
          <t>mrcs</t>
        </is>
      </c>
      <c r="D47" s="4" t="inlineStr">
        <is>
          <t>Repair to the footprint centre rather than aiming to cover the whole footprint.</t>
        </is>
      </c>
      <c r="E47" s="4" t="inlineStr"/>
      <c r="F47" s="4" t="inlineStr"/>
      <c r="G47" s="4" t="inlineStr"/>
    </row>
    <row r="48">
      <c r="A48" s="4" t="inlineStr">
        <is>
          <t>3.6.9-P3</t>
        </is>
      </c>
      <c r="B48" s="4" t="inlineStr">
        <is>
          <t>3.6.9</t>
        </is>
      </c>
      <c r="C48" s="4" t="inlineStr">
        <is>
          <t>mrcs</t>
        </is>
      </c>
      <c r="D48" s="4" t="inlineStr">
        <is>
          <t>Expect a lateral root tear to behave less severely than a medial one, because of the meniscofemoral ligaments.</t>
        </is>
      </c>
      <c r="E48" s="4" t="inlineStr"/>
      <c r="F48" s="4" t="inlineStr"/>
      <c r="G48" s="4" t="inlineStr"/>
    </row>
    <row r="49">
      <c r="A49" s="4" t="inlineStr">
        <is>
          <t>3.6.9-P4</t>
        </is>
      </c>
      <c r="B49" s="4" t="inlineStr">
        <is>
          <t>3.6.9</t>
        </is>
      </c>
      <c r="C49" s="4" t="inlineStr">
        <is>
          <t>frcs</t>
        </is>
      </c>
      <c r="D49" s="4" t="inlineStr">
        <is>
          <t>Treat a root as a load bearing attachment with a position specification.</t>
        </is>
      </c>
      <c r="E49" s="4" t="inlineStr"/>
      <c r="F49" s="4" t="inlineStr"/>
      <c r="G49" s="4" t="inlineStr"/>
    </row>
    <row r="50">
      <c r="A50" s="4" t="inlineStr">
        <is>
          <t>3.6.9-P5</t>
        </is>
      </c>
      <c r="B50" s="4" t="inlineStr">
        <is>
          <t>3.6.9</t>
        </is>
      </c>
      <c r="C50" s="4" t="inlineStr">
        <is>
          <t>frcs</t>
        </is>
      </c>
      <c r="D50" s="4" t="inlineStr">
        <is>
          <t>Repair position relative to the native centre, which is the dominant variable.</t>
        </is>
      </c>
      <c r="E50" s="4" t="inlineStr"/>
      <c r="F50" s="4" t="inlineStr"/>
      <c r="G50" s="4" t="inlineStr"/>
    </row>
    <row r="51">
      <c r="A51" s="4" t="inlineStr">
        <is>
          <t>3.6.9-P6</t>
        </is>
      </c>
      <c r="B51" s="4" t="inlineStr">
        <is>
          <t>3.6.9</t>
        </is>
      </c>
      <c r="C51" s="4" t="inlineStr">
        <is>
          <t>frcs</t>
        </is>
      </c>
      <c r="D51" s="4" t="inlineStr">
        <is>
          <t>Alignment, which sets the load the repaired root must carry.</t>
        </is>
      </c>
      <c r="E51" s="4" t="inlineStr"/>
      <c r="F51" s="4" t="inlineStr"/>
      <c r="G51" s="4" t="inlineStr"/>
    </row>
    <row r="52">
      <c r="A52" s="4" t="inlineStr">
        <is>
          <t>3.6.9-P7</t>
        </is>
      </c>
      <c r="B52" s="4" t="inlineStr">
        <is>
          <t>3.6.9</t>
        </is>
      </c>
      <c r="C52" s="4" t="inlineStr">
        <is>
          <t>frcs</t>
        </is>
      </c>
      <c r="D52" s="4" t="inlineStr">
        <is>
          <t>Repair a root anatomically, since position decides the mechanics more than fixation strength does.</t>
        </is>
      </c>
      <c r="E52" s="4" t="inlineStr"/>
      <c r="F52" s="4" t="inlineStr"/>
      <c r="G52" s="4" t="inlineStr"/>
    </row>
    <row r="53">
      <c r="A53" s="4" t="inlineStr">
        <is>
          <t>3.6.9-P8</t>
        </is>
      </c>
      <c r="B53" s="4" t="inlineStr">
        <is>
          <t>3.6.9</t>
        </is>
      </c>
      <c r="C53" s="4" t="inlineStr">
        <is>
          <t>frcs</t>
        </is>
      </c>
      <c r="D53" s="4" t="inlineStr">
        <is>
          <t>Plan tunnel and root work together where they share bone.</t>
        </is>
      </c>
      <c r="E53" s="4" t="inlineStr"/>
      <c r="F53" s="4" t="inlineStr"/>
      <c r="G53" s="4" t="inlineStr"/>
    </row>
    <row r="54">
      <c r="A54" s="4" t="inlineStr">
        <is>
          <t>3.6.9-P9</t>
        </is>
      </c>
      <c r="B54" s="4" t="inlineStr">
        <is>
          <t>3.6.9</t>
        </is>
      </c>
      <c r="C54" s="4" t="inlineStr">
        <is>
          <t>frcs</t>
        </is>
      </c>
      <c r="D54" s="4" t="inlineStr">
        <is>
          <t>Expect imaging to show position and healing rather than function.</t>
        </is>
      </c>
      <c r="E54" s="4" t="inlineStr"/>
      <c r="F54" s="4" t="inlineStr"/>
      <c r="G54" s="4" t="inlineStr"/>
    </row>
    <row r="55">
      <c r="A55" s="4" t="inlineStr">
        <is>
          <t>3.6.10-P1</t>
        </is>
      </c>
      <c r="B55" s="4" t="inlineStr">
        <is>
          <t>3.6.10</t>
        </is>
      </c>
      <c r="C55" s="4" t="inlineStr">
        <is>
          <t>mrcs</t>
        </is>
      </c>
      <c r="D55" s="4" t="inlineStr">
        <is>
          <t>The 3 millimetre threshold is a convention applied to a continuous measurement, and it should be treated as such.</t>
        </is>
      </c>
      <c r="E55" s="4" t="inlineStr"/>
      <c r="F55" s="4" t="inlineStr"/>
      <c r="G55" s="4" t="inlineStr"/>
    </row>
    <row r="56">
      <c r="A56" s="4" t="inlineStr">
        <is>
          <t>3.6.10-P2</t>
        </is>
      </c>
      <c r="B56" s="4" t="inlineStr">
        <is>
          <t>3.6.10</t>
        </is>
      </c>
      <c r="C56" s="4" t="inlineStr">
        <is>
          <t>mrcs</t>
        </is>
      </c>
      <c r="D56" s="4" t="inlineStr">
        <is>
          <t>Expect supine imaging to underestimate it, and consider loaded imaging where it matters.</t>
        </is>
      </c>
      <c r="E56" s="4" t="inlineStr"/>
      <c r="F56" s="4" t="inlineStr"/>
      <c r="G56" s="4" t="inlineStr"/>
    </row>
    <row r="57">
      <c r="A57" s="4" t="inlineStr">
        <is>
          <t>3.6.10-P3</t>
        </is>
      </c>
      <c r="B57" s="4" t="inlineStr">
        <is>
          <t>3.6.10</t>
        </is>
      </c>
      <c r="C57" s="4" t="inlineStr">
        <is>
          <t>mrcs</t>
        </is>
      </c>
      <c r="D57" s="4" t="inlineStr">
        <is>
          <t>Treat the 3 millimetre figure as a convention rather than a boundary.</t>
        </is>
      </c>
      <c r="E57" s="4" t="inlineStr"/>
      <c r="F57" s="4" t="inlineStr"/>
      <c r="G57" s="4" t="inlineStr"/>
    </row>
    <row r="58">
      <c r="A58" s="4" t="inlineStr">
        <is>
          <t>3.6.10-P4</t>
        </is>
      </c>
      <c r="B58" s="4" t="inlineStr">
        <is>
          <t>3.6.10</t>
        </is>
      </c>
      <c r="C58" s="4" t="inlineStr">
        <is>
          <t>mrcs</t>
        </is>
      </c>
      <c r="D58" s="4" t="inlineStr">
        <is>
          <t>Expect less extrusion laterally, given the meniscofemoral attachments.</t>
        </is>
      </c>
      <c r="E58" s="4" t="inlineStr"/>
      <c r="F58" s="4" t="inlineStr"/>
      <c r="G58" s="4" t="inlineStr"/>
    </row>
    <row r="59">
      <c r="A59" s="4" t="inlineStr">
        <is>
          <t>3.6.10-P5</t>
        </is>
      </c>
      <c r="B59" s="4" t="inlineStr">
        <is>
          <t>3.6.10</t>
        </is>
      </c>
      <c r="C59" s="4" t="inlineStr">
        <is>
          <t>frcs</t>
        </is>
      </c>
      <c r="D59" s="4" t="inlineStr">
        <is>
          <t>Treat extrusion as the outcome measure for whether a meniscus is working, in a field with no direct measurement of function.</t>
        </is>
      </c>
      <c r="E59" s="4" t="inlineStr"/>
      <c r="F59" s="4" t="inlineStr"/>
      <c r="G59" s="4" t="inlineStr"/>
    </row>
    <row r="60">
      <c r="A60" s="4" t="inlineStr">
        <is>
          <t>3.6.10-P6</t>
        </is>
      </c>
      <c r="B60" s="4" t="inlineStr">
        <is>
          <t>3.6.10</t>
        </is>
      </c>
      <c r="C60" s="4" t="inlineStr">
        <is>
          <t>frcs</t>
        </is>
      </c>
      <c r="D60" s="4" t="inlineStr">
        <is>
          <t>Measure extrusion before and after meniscal surgery as the available proxy for function.</t>
        </is>
      </c>
      <c r="E60" s="4" t="inlineStr"/>
      <c r="F60" s="4" t="inlineStr"/>
      <c r="G60" s="4" t="inlineStr"/>
    </row>
    <row r="61">
      <c r="A61" s="4" t="inlineStr">
        <is>
          <t>3.6.10-P7</t>
        </is>
      </c>
      <c r="B61" s="4" t="inlineStr">
        <is>
          <t>3.6.10</t>
        </is>
      </c>
      <c r="C61" s="4" t="inlineStr">
        <is>
          <t>frcs</t>
        </is>
      </c>
      <c r="D61" s="4" t="inlineStr">
        <is>
          <t>Prefer loaded imaging where the measurement will change a decision.</t>
        </is>
      </c>
      <c r="E61" s="4" t="inlineStr"/>
      <c r="F61" s="4" t="inlineStr"/>
      <c r="G61" s="4" t="inlineStr"/>
    </row>
    <row r="62">
      <c r="A62" s="4" t="inlineStr">
        <is>
          <t>3.6.11-P1</t>
        </is>
      </c>
      <c r="B62" s="4" t="inlineStr">
        <is>
          <t>3.6.11</t>
        </is>
      </c>
      <c r="C62" s="4" t="inlineStr">
        <is>
          <t>medical_student</t>
        </is>
      </c>
      <c r="D62" s="4" t="inlineStr">
        <is>
          <t>Repair aims to restore the anchor, so position matters as much as strength.</t>
        </is>
      </c>
      <c r="E62" s="4" t="inlineStr"/>
      <c r="F62" s="4" t="inlineStr"/>
      <c r="G62" s="4" t="inlineStr"/>
    </row>
    <row r="63">
      <c r="A63" s="4" t="inlineStr">
        <is>
          <t>3.6.11-P2</t>
        </is>
      </c>
      <c r="B63" s="4" t="inlineStr">
        <is>
          <t>3.6.11</t>
        </is>
      </c>
      <c r="C63" s="4" t="inlineStr">
        <is>
          <t>mrcs</t>
        </is>
      </c>
      <c r="D63" s="4" t="inlineStr">
        <is>
          <t>Expect a medial posterior root tear to behave worse than a lateral one.</t>
        </is>
      </c>
      <c r="E63" s="4" t="inlineStr"/>
      <c r="F63" s="4" t="inlineStr"/>
      <c r="G63" s="4" t="inlineStr"/>
    </row>
    <row r="64">
      <c r="A64" s="4" t="inlineStr">
        <is>
          <t>3.6.11-P3</t>
        </is>
      </c>
      <c r="B64" s="4" t="inlineStr">
        <is>
          <t>3.6.11</t>
        </is>
      </c>
      <c r="C64" s="4" t="inlineStr">
        <is>
          <t>mrcs</t>
        </is>
      </c>
      <c r="D64" s="4" t="inlineStr">
        <is>
          <t>Use extrusion as the imaging sign that the mechanism has failed.</t>
        </is>
      </c>
      <c r="E64" s="4" t="inlineStr"/>
      <c r="F64" s="4" t="inlineStr"/>
      <c r="G64" s="4" t="inlineStr"/>
    </row>
    <row r="65">
      <c r="A65" s="4" t="inlineStr">
        <is>
          <t>3.6.11-P4</t>
        </is>
      </c>
      <c r="B65" s="4" t="inlineStr">
        <is>
          <t>3.6.11</t>
        </is>
      </c>
      <c r="C65" s="4" t="inlineStr">
        <is>
          <t>frcs</t>
        </is>
      </c>
      <c r="D65" s="4" t="inlineStr">
        <is>
          <t>Treat root repair as a joint preservation operation rather than a symptom operation, because the mechanical case is about what happens next rather than about pain now.</t>
        </is>
      </c>
      <c r="E65" s="4" t="inlineStr"/>
      <c r="F65" s="4" t="inlineStr"/>
      <c r="G65" s="4" t="inlineStr"/>
    </row>
    <row r="66">
      <c r="A66" s="4" t="inlineStr">
        <is>
          <t>3.6.11-P5</t>
        </is>
      </c>
      <c r="B66" s="4" t="inlineStr">
        <is>
          <t>3.6.11</t>
        </is>
      </c>
      <c r="C66" s="4" t="inlineStr">
        <is>
          <t>frcs</t>
        </is>
      </c>
      <c r="D66" s="4" t="inlineStr">
        <is>
          <t>Repair position relative to the native footprint centre.</t>
        </is>
      </c>
      <c r="E66" s="4" t="inlineStr"/>
      <c r="F66" s="4" t="inlineStr"/>
      <c r="G66" s="4" t="inlineStr"/>
    </row>
    <row r="67">
      <c r="A67" s="4" t="inlineStr">
        <is>
          <t>3.6.11-P6</t>
        </is>
      </c>
      <c r="B67" s="4" t="inlineStr">
        <is>
          <t>3.6.11</t>
        </is>
      </c>
      <c r="C67" s="4" t="inlineStr">
        <is>
          <t>frcs</t>
        </is>
      </c>
      <c r="D67" s="4" t="inlineStr">
        <is>
          <t>Alignment correction, which sets the load the repair must carry.</t>
        </is>
      </c>
      <c r="E67" s="4" t="inlineStr"/>
      <c r="F67" s="4" t="inlineStr"/>
      <c r="G67" s="4" t="inlineStr"/>
    </row>
    <row r="68">
      <c r="A68" s="4" t="inlineStr">
        <is>
          <t>3.6.11-P7</t>
        </is>
      </c>
      <c r="B68" s="4" t="inlineStr">
        <is>
          <t>3.6.11</t>
        </is>
      </c>
      <c r="C68" s="4" t="inlineStr">
        <is>
          <t>frcs</t>
        </is>
      </c>
      <c r="D68" s="4" t="inlineStr">
        <is>
          <t>Repair anatomically to the footprint centre, since direction of tension depends on it.</t>
        </is>
      </c>
      <c r="E68" s="4" t="inlineStr"/>
      <c r="F68" s="4" t="inlineStr"/>
      <c r="G68" s="4" t="inlineStr"/>
    </row>
    <row r="69">
      <c r="A69" s="4" t="inlineStr">
        <is>
          <t>3.6.11-P8</t>
        </is>
      </c>
      <c r="B69" s="4" t="inlineStr">
        <is>
          <t>3.6.11</t>
        </is>
      </c>
      <c r="C69" s="4" t="inlineStr">
        <is>
          <t>frcs</t>
        </is>
      </c>
      <c r="D69" s="4" t="inlineStr">
        <is>
          <t>Assess and correct alignment alongside a root repair in a varus limb.</t>
        </is>
      </c>
      <c r="E69" s="4" t="inlineStr"/>
      <c r="F69" s="4" t="inlineStr"/>
      <c r="G69" s="4" t="inlineStr"/>
    </row>
    <row r="70">
      <c r="A70" s="4" t="inlineStr">
        <is>
          <t>3.6.11-P9</t>
        </is>
      </c>
      <c r="B70" s="4" t="inlineStr">
        <is>
          <t>3.6.11</t>
        </is>
      </c>
      <c r="C70" s="4" t="inlineStr">
        <is>
          <t>frcs</t>
        </is>
      </c>
      <c r="D70" s="4" t="inlineStr">
        <is>
          <t>Measure residual extrusion postoperatively as the available proxy for restored function.</t>
        </is>
      </c>
      <c r="E70" s="4" t="inlineStr"/>
      <c r="F70" s="4" t="inlineStr"/>
      <c r="G70" s="4" t="inlineStr"/>
    </row>
    <row r="71">
      <c r="A71" s="4" t="inlineStr">
        <is>
          <t>3.6.11-P10</t>
        </is>
      </c>
      <c r="B71" s="4" t="inlineStr">
        <is>
          <t>3.6.11</t>
        </is>
      </c>
      <c r="C71" s="4" t="inlineStr">
        <is>
          <t>frcs</t>
        </is>
      </c>
      <c r="D71" s="4" t="inlineStr">
        <is>
          <t>- The footprint centre must be restored to restore the direction of tension.</t>
        </is>
      </c>
      <c r="E71" s="4" t="inlineStr"/>
      <c r="F71" s="4" t="inlineStr"/>
      <c r="G71" s="4" t="inlineStr"/>
    </row>
    <row r="72">
      <c r="A72" s="4" t="inlineStr">
        <is>
          <t>3.6.12-P1</t>
        </is>
      </c>
      <c r="B72" s="4" t="inlineStr">
        <is>
          <t>3.6.12</t>
        </is>
      </c>
      <c r="C72" s="4" t="inlineStr">
        <is>
          <t>mrcs</t>
        </is>
      </c>
      <c r="D72" s="4" t="inlineStr">
        <is>
          <t>Repair of a radial tear requires the construct to carry hoop tension across the tear until healing, which is a larger demand than a longitudinal repair.</t>
        </is>
      </c>
      <c r="E72" s="4" t="inlineStr"/>
      <c r="F72" s="4" t="inlineStr"/>
      <c r="G72" s="4" t="inlineStr"/>
    </row>
    <row r="73">
      <c r="A73" s="4" t="inlineStr">
        <is>
          <t>3.6.12-P2</t>
        </is>
      </c>
      <c r="B73" s="4" t="inlineStr">
        <is>
          <t>3.6.12</t>
        </is>
      </c>
      <c r="C73" s="4" t="inlineStr">
        <is>
          <t>mrcs</t>
        </is>
      </c>
      <c r="D73" s="4" t="inlineStr">
        <is>
          <t>Assess the depth towards the rim rather than the length of a radial tear.</t>
        </is>
      </c>
      <c r="E73" s="4" t="inlineStr"/>
      <c r="F73" s="4" t="inlineStr"/>
      <c r="G73" s="4" t="inlineStr"/>
    </row>
    <row r="74">
      <c r="A74" s="4" t="inlineStr">
        <is>
          <t>3.6.12-P3</t>
        </is>
      </c>
      <c r="B74" s="4" t="inlineStr">
        <is>
          <t>3.6.12</t>
        </is>
      </c>
      <c r="C74" s="4" t="inlineStr">
        <is>
          <t>mrcs</t>
        </is>
      </c>
      <c r="D74" s="4" t="inlineStr">
        <is>
          <t>Treat a complete radial tear as mechanically equivalent to a root tear.</t>
        </is>
      </c>
      <c r="E74" s="4" t="inlineStr"/>
      <c r="F74" s="4" t="inlineStr"/>
      <c r="G74" s="4" t="inlineStr"/>
    </row>
    <row r="75">
      <c r="A75" s="4" t="inlineStr">
        <is>
          <t>3.6.12-P4</t>
        </is>
      </c>
      <c r="B75" s="4" t="inlineStr">
        <is>
          <t>3.6.12</t>
        </is>
      </c>
      <c r="C75" s="4" t="inlineStr">
        <is>
          <t>mrcs</t>
        </is>
      </c>
      <c r="D75" s="4" t="inlineStr">
        <is>
          <t>Expect a radial repair to make larger demands of the construct than a longitudinal one.</t>
        </is>
      </c>
      <c r="E75" s="4" t="inlineStr"/>
      <c r="F75" s="4" t="inlineStr"/>
      <c r="G75" s="4" t="inlineStr"/>
    </row>
    <row r="76">
      <c r="A76" s="4" t="inlineStr">
        <is>
          <t>3.6.12-P5</t>
        </is>
      </c>
      <c r="B76" s="4" t="inlineStr">
        <is>
          <t>3.6.12</t>
        </is>
      </c>
      <c r="C76" s="4" t="inlineStr">
        <is>
          <t>frcs</t>
        </is>
      </c>
      <c r="D76" s="4" t="inlineStr">
        <is>
          <t>Treat the radial tear as the pattern where the repair decision has the most mechanical consequence and the least reliable healing.</t>
        </is>
      </c>
      <c r="E76" s="4" t="inlineStr"/>
      <c r="F76" s="4" t="inlineStr"/>
      <c r="G76" s="4" t="inlineStr"/>
    </row>
    <row r="77">
      <c r="A77" s="4" t="inlineStr">
        <is>
          <t>3.6.12-P6</t>
        </is>
      </c>
      <c r="B77" s="4" t="inlineStr">
        <is>
          <t>3.6.12</t>
        </is>
      </c>
      <c r="C77" s="4" t="inlineStr">
        <is>
          <t>frcs</t>
        </is>
      </c>
      <c r="D77" s="4" t="inlineStr">
        <is>
          <t>Protect load after a radial repair, since the construct carries the tension.</t>
        </is>
      </c>
      <c r="E77" s="4" t="inlineStr"/>
      <c r="F77" s="4" t="inlineStr"/>
      <c r="G77" s="4" t="inlineStr"/>
    </row>
    <row r="78">
      <c r="A78" s="4" t="inlineStr">
        <is>
          <t>3.6.13-P1</t>
        </is>
      </c>
      <c r="B78" s="4" t="inlineStr">
        <is>
          <t>3.6.13</t>
        </is>
      </c>
      <c r="C78" s="4" t="inlineStr">
        <is>
          <t>medical_student</t>
        </is>
      </c>
      <c r="D78" s="4" t="inlineStr">
        <is>
          <t>Repair is preferred to resection because it preserves the load path, and the construct is what makes that possible.</t>
        </is>
      </c>
      <c r="E78" s="4" t="inlineStr"/>
      <c r="F78" s="4" t="inlineStr"/>
      <c r="G78" s="4" t="inlineStr"/>
    </row>
    <row r="79">
      <c r="A79" s="4" t="inlineStr">
        <is>
          <t>3.6.13-P2</t>
        </is>
      </c>
      <c r="B79" s="4" t="inlineStr">
        <is>
          <t>3.6.13</t>
        </is>
      </c>
      <c r="C79" s="4" t="inlineStr">
        <is>
          <t>mrcs</t>
        </is>
      </c>
      <c r="D79" s="4" t="inlineStr">
        <is>
          <t>Treat biological augmentation as addressing healing rather than fixation.</t>
        </is>
      </c>
      <c r="E79" s="4" t="inlineStr"/>
      <c r="F79" s="4" t="inlineStr"/>
      <c r="G79" s="4" t="inlineStr"/>
    </row>
    <row r="80">
      <c r="A80" s="4" t="inlineStr">
        <is>
          <t>3.6.13-P3</t>
        </is>
      </c>
      <c r="B80" s="4" t="inlineStr">
        <is>
          <t>3.6.13</t>
        </is>
      </c>
      <c r="C80" s="4" t="inlineStr">
        <is>
          <t>frcs</t>
        </is>
      </c>
      <c r="D80" s="4" t="inlineStr">
        <is>
          <t>Treat the construct as one of three requirements, alongside tissue capable of healing and a mechanical environment that lets it.</t>
        </is>
      </c>
      <c r="E80" s="4" t="inlineStr"/>
      <c r="F80" s="4" t="inlineStr"/>
      <c r="G80" s="4" t="inlineStr"/>
    </row>
    <row r="81">
      <c r="A81" s="4" t="inlineStr">
        <is>
          <t>3.6.13-P4</t>
        </is>
      </c>
      <c r="B81" s="4" t="inlineStr">
        <is>
          <t>3.6.13</t>
        </is>
      </c>
      <c r="C81" s="4" t="inlineStr">
        <is>
          <t>fellowship</t>
        </is>
      </c>
      <c r="D81" s="4" t="inlineStr">
        <is>
          <t>Identify which requirement is failing before deciding whether to repair at all.</t>
        </is>
      </c>
      <c r="E81" s="4" t="inlineStr"/>
      <c r="F81" s="4" t="inlineStr"/>
      <c r="G81" s="4" t="inlineStr"/>
    </row>
    <row r="82">
      <c r="A82" s="4" t="inlineStr">
        <is>
          <t>3.6.14-P1</t>
        </is>
      </c>
      <c r="B82" s="4" t="inlineStr">
        <is>
          <t>3.6.14</t>
        </is>
      </c>
      <c r="C82" s="4" t="inlineStr">
        <is>
          <t>mrcs</t>
        </is>
      </c>
      <c r="D82" s="4" t="inlineStr">
        <is>
          <t>Expect contact mechanics to improve towards normal rather than reach it.</t>
        </is>
      </c>
      <c r="E82" s="4" t="inlineStr"/>
      <c r="F82" s="4" t="inlineStr"/>
      <c r="G82" s="4" t="inlineStr"/>
    </row>
    <row r="83">
      <c r="A83" s="4" t="inlineStr">
        <is>
          <t>3.6.14-P2</t>
        </is>
      </c>
      <c r="B83" s="4" t="inlineStr">
        <is>
          <t>3.6.14</t>
        </is>
      </c>
      <c r="C83" s="4" t="inlineStr">
        <is>
          <t>frcs</t>
        </is>
      </c>
      <c r="D83" s="4" t="inlineStr">
        <is>
          <t>Treat transplantation as an area restoring operation with a partial tension restoring effect, and judge it on that rather than on being a meniscus replacement.</t>
        </is>
      </c>
      <c r="E83" s="4" t="inlineStr"/>
      <c r="F83" s="4" t="inlineStr"/>
      <c r="G83" s="4" t="inlineStr"/>
    </row>
    <row r="84">
      <c r="A84" s="4" t="inlineStr">
        <is>
          <t>3.6.14-P3</t>
        </is>
      </c>
      <c r="B84" s="4" t="inlineStr">
        <is>
          <t>3.6.14</t>
        </is>
      </c>
      <c r="C84" s="4" t="inlineStr">
        <is>
          <t>fellowship</t>
        </is>
      </c>
      <c r="D84" s="4" t="inlineStr">
        <is>
          <t>Address alignment and instability first or simultaneously rather than afterwards.</t>
        </is>
      </c>
      <c r="E84" s="4" t="inlineStr"/>
      <c r="F84" s="4" t="inlineStr"/>
      <c r="G84" s="4" t="inlineStr"/>
    </row>
    <row r="85">
      <c r="A85" s="4" t="inlineStr">
        <is>
          <t>3.6.14-P4</t>
        </is>
      </c>
      <c r="B85" s="4" t="inlineStr">
        <is>
          <t>3.6.14</t>
        </is>
      </c>
      <c r="C85" s="4" t="inlineStr">
        <is>
          <t>fellowship</t>
        </is>
      </c>
      <c r="D85" s="4" t="inlineStr">
        <is>
          <t>Expect a scaffold to restore area without reproducing the tensile architecture.</t>
        </is>
      </c>
      <c r="E85" s="4" t="inlineStr"/>
      <c r="F85" s="4" t="inlineStr"/>
      <c r="G85" s="4" t="inlineStr"/>
    </row>
  </sheetData>
  <dataValidations count="1">
    <dataValidation sqref="E3:E8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3.6.5-F1</t>
        </is>
      </c>
      <c r="B3" s="4" t="inlineStr">
        <is>
          <t>3.6.5</t>
        </is>
      </c>
      <c r="C3" s="4" t="inlineStr">
        <is>
          <t>medical_student</t>
        </is>
      </c>
      <c r="D3" s="4" t="inlineStr">
        <is>
          <t>85 to 90 per cent</t>
        </is>
      </c>
      <c r="E3" s="4" t="inlineStr">
        <is>
          <t>Conventional teaching puts it at around 85 to 90 per cent at 90 degrees, as contact moves onto the posterior horns.</t>
        </is>
      </c>
      <c r="F3" s="4" t="inlineStr"/>
      <c r="G3" s="4" t="inlineStr"/>
      <c r="H3" s="4" t="inlineStr"/>
    </row>
    <row r="4">
      <c r="A4" s="4" t="inlineStr">
        <is>
          <t>3.6.5-F2</t>
        </is>
      </c>
      <c r="B4" s="4" t="inlineStr">
        <is>
          <t>3.6.5</t>
        </is>
      </c>
      <c r="C4" s="4" t="inlineStr">
        <is>
          <t>medical_student</t>
        </is>
      </c>
      <c r="D4" s="4" t="inlineStr">
        <is>
          <t>90 degrees</t>
        </is>
      </c>
      <c r="E4" s="4" t="inlineStr">
        <is>
          <t>Conventional teaching puts it at around 85 to 90 per cent at 90 degrees, as contact moves onto the posterior horns.</t>
        </is>
      </c>
      <c r="F4" s="4" t="inlineStr"/>
      <c r="G4" s="4" t="inlineStr"/>
      <c r="H4" s="4" t="inlineStr"/>
    </row>
    <row r="5">
      <c r="A5" s="4" t="inlineStr">
        <is>
          <t>3.6.5-F3</t>
        </is>
      </c>
      <c r="B5" s="4" t="inlineStr">
        <is>
          <t>3.6.5</t>
        </is>
      </c>
      <c r="C5" s="4" t="inlineStr">
        <is>
          <t>mrcs</t>
        </is>
      </c>
      <c r="D5" s="4" t="inlineStr">
        <is>
          <t>50 per cent</t>
        </is>
      </c>
      <c r="E5" s="4" t="inlineStr">
        <is>
          <t>Conventional teaching gives the meniscal share as roughly 50 per cent in extension rising towards 85 to 90 per cent at 90 degrees, from cadaveric contact studies.</t>
        </is>
      </c>
      <c r="F5" s="4" t="inlineStr"/>
      <c r="G5" s="4" t="inlineStr"/>
      <c r="H5" s="4" t="inlineStr"/>
    </row>
    <row r="6">
      <c r="A6" s="4" t="inlineStr">
        <is>
          <t>3.6.5-F4</t>
        </is>
      </c>
      <c r="B6" s="4" t="inlineStr">
        <is>
          <t>3.6.5</t>
        </is>
      </c>
      <c r="C6" s="4" t="inlineStr">
        <is>
          <t>frcs</t>
        </is>
      </c>
      <c r="D6" s="4" t="inlineStr">
        <is>
          <t>85 per cent</t>
        </is>
      </c>
      <c r="E6" s="4" t="inlineStr">
        <is>
          <t>The tissue carrying 85 per cent of a compartment's load at 90 degrees is a small amount of tissue.</t>
        </is>
      </c>
      <c r="F6" s="4" t="inlineStr"/>
      <c r="G6" s="4" t="inlineStr"/>
      <c r="H6" s="4" t="inlineStr"/>
    </row>
    <row r="7">
      <c r="A7" s="4" t="inlineStr">
        <is>
          <t>3.6.6-F1</t>
        </is>
      </c>
      <c r="B7" s="4" t="inlineStr">
        <is>
          <t>3.6.6</t>
        </is>
      </c>
      <c r="C7" s="4" t="inlineStr">
        <is>
          <t>mrcs</t>
        </is>
      </c>
      <c r="D7" s="4" t="inlineStr">
        <is>
          <t>20 per cent</t>
        </is>
      </c>
      <c r="E7" s="4" t="inlineStr">
        <is>
          <t>Conventional teaching gives the meniscal contribution to shock absorption as roughly 20 per cent, from early mechanical work, and the figure is quoted more often than it is qualified.</t>
        </is>
      </c>
      <c r="F7" s="4" t="inlineStr"/>
      <c r="G7" s="4" t="inlineStr"/>
      <c r="H7" s="4" t="inlineStr"/>
    </row>
    <row r="8">
      <c r="A8" s="4" t="inlineStr">
        <is>
          <t>3.6.14-F1</t>
        </is>
      </c>
      <c r="B8" s="4" t="inlineStr">
        <is>
          <t>3.6.14</t>
        </is>
      </c>
      <c r="C8" s="4" t="inlineStr">
        <is>
          <t>mrcs</t>
        </is>
      </c>
      <c r="D8" s="4" t="inlineStr">
        <is>
          <t>5 per cent</t>
        </is>
      </c>
      <c r="E8" s="4" t="inlineStr">
        <is>
          <t>Sizing is conventionally done from plain radiographs or cross sectional imaging against published methods, and conventional teaching accepts a tolerance of around 5 per cent.</t>
        </is>
      </c>
      <c r="F8" s="4" t="inlineStr"/>
      <c r="G8" s="4" t="inlineStr"/>
      <c r="H8" s="4" t="inlineStr"/>
    </row>
  </sheetData>
  <dataValidations count="1">
    <dataValidation sqref="F3:F8"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83</f>
        <v/>
      </c>
      <c r="C2" s="3">
        <f>6</f>
        <v/>
      </c>
    </row>
    <row r="3">
      <c r="A3" s="2" t="inlineStr">
        <is>
          <t>Decided</t>
        </is>
      </c>
      <c r="B3" s="3">
        <f>COUNTIF(Recommendations!E3:E85,"&lt;&gt;")</f>
        <v/>
      </c>
      <c r="C3" s="3">
        <f>COUNTIF(Measurements!F3:F8,"&lt;&gt;")</f>
        <v/>
      </c>
    </row>
    <row r="4">
      <c r="A4" s="2" t="inlineStr">
        <is>
          <t>Still blank</t>
        </is>
      </c>
      <c r="B4" s="3">
        <f>B2-B3</f>
        <v/>
      </c>
      <c r="C4" s="3">
        <f>C2-C3</f>
        <v/>
      </c>
    </row>
    <row r="5">
      <c r="A5" s="2" t="inlineStr">
        <is>
          <t>CONFIRMED</t>
        </is>
      </c>
      <c r="B5" s="3">
        <f>COUNTIF(Recommendations!E3:E85,"CONFIRMED")</f>
        <v/>
      </c>
      <c r="C5" s="3" t="inlineStr"/>
    </row>
    <row r="6">
      <c r="A6" s="2" t="inlineStr">
        <is>
          <t>AMENDED</t>
        </is>
      </c>
      <c r="B6" s="3">
        <f>COUNTIF(Recommendations!E3:E85,"AMENDED")</f>
        <v/>
      </c>
      <c r="C6" s="3" t="inlineStr"/>
    </row>
    <row r="7">
      <c r="A7" s="2" t="inlineStr">
        <is>
          <t>WITHDRAWN</t>
        </is>
      </c>
      <c r="B7" s="3">
        <f>COUNTIF(Recommendations!E3:E85,"WITHDRAWN")</f>
        <v/>
      </c>
      <c r="C7" s="3" t="inlineStr"/>
    </row>
    <row r="8">
      <c r="A8" s="2" t="inlineStr">
        <is>
          <t>NOT_CLINICAL</t>
        </is>
      </c>
      <c r="B8" s="3">
        <f>COUNTIF(Recommendations!E3:E85,"NOT_CLINICAL")</f>
        <v/>
      </c>
      <c r="C8" s="3" t="inlineStr"/>
    </row>
    <row r="9">
      <c r="A9" s="2" t="inlineStr">
        <is>
          <t>VERIFIED</t>
        </is>
      </c>
      <c r="B9" s="3" t="inlineStr"/>
      <c r="C9" s="3">
        <f>COUNTIF(Measurements!F3:F8,"VERIFIED")</f>
        <v/>
      </c>
    </row>
    <row r="10">
      <c r="A10" s="2" t="inlineStr">
        <is>
          <t>CORRECTED</t>
        </is>
      </c>
      <c r="B10" s="3" t="inlineStr"/>
      <c r="C10" s="3">
        <f>COUNTIF(Measurements!F3:F8,"CORRECTED")</f>
        <v/>
      </c>
    </row>
    <row r="11">
      <c r="A11" s="2" t="inlineStr">
        <is>
          <t>REMOVED</t>
        </is>
      </c>
      <c r="B11" s="3" t="inlineStr"/>
      <c r="C11" s="3">
        <f>COUNTIF(Measurements!F3:F8,"REMOVED")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2026-10-10T10:14:27Z</dcterms:created>
  <dcterms:modified xmlns:dcterms="http://purl.org/dc/terms/" xmlns:xsi="http://www.w3.org/2001/XMLSchema-instance" xsi:type="dcterms:W3CDTF">2026-10-10T10:14:27Z</dcterms:modified>
</cp:coreProperties>
</file>