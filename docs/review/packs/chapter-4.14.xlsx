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4.14 Rotational Instability Examination</t>
        </is>
      </c>
    </row>
    <row r="3">
      <c r="A3" s="2" t="inlineStr">
        <is>
          <t>Section</t>
        </is>
      </c>
      <c r="B3" s="3" t="inlineStr">
        <is>
          <t>4</t>
        </is>
      </c>
    </row>
    <row r="4">
      <c r="A4" s="2" t="inlineStr">
        <is>
          <t>Chapter</t>
        </is>
      </c>
      <c r="B4" s="3" t="inlineStr">
        <is>
          <t>4.14 Rotational Instability Examination</t>
        </is>
      </c>
    </row>
    <row r="5">
      <c r="A5" s="2" t="inlineStr">
        <is>
          <t>Pages</t>
        </is>
      </c>
      <c r="B5" s="3" t="n">
        <v>6</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9,303</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11</v>
      </c>
    </row>
    <row r="12">
      <c r="A12" s="2" t="inlineStr">
        <is>
          <t>Recommendations to sign</t>
        </is>
      </c>
      <c r="B12" s="3" t="n">
        <v>12</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4.14.1</t>
        </is>
      </c>
      <c r="B2" s="6" t="inlineStr">
        <is>
          <t>Pivot Shift</t>
        </is>
      </c>
      <c r="C2" s="6" t="n">
        <v>4</v>
      </c>
      <c r="D2" s="6" t="n">
        <v>1575</v>
      </c>
      <c r="E2" s="6" t="inlineStr">
        <is>
          <t>examination/rotational-pivot-shift.html</t>
        </is>
      </c>
    </row>
    <row r="3">
      <c r="A3" s="6" t="inlineStr">
        <is>
          <t>4.14.2</t>
        </is>
      </c>
      <c r="B3" s="6" t="inlineStr">
        <is>
          <t>Slocum Test</t>
        </is>
      </c>
      <c r="C3" s="6" t="n">
        <v>4</v>
      </c>
      <c r="D3" s="6" t="n">
        <v>1447</v>
      </c>
      <c r="E3" s="6" t="inlineStr">
        <is>
          <t>examination/slocum-test.html</t>
        </is>
      </c>
    </row>
    <row r="4">
      <c r="A4" s="6" t="inlineStr">
        <is>
          <t>4.14.3</t>
        </is>
      </c>
      <c r="B4" s="6" t="inlineStr">
        <is>
          <t>Anterolateral Rotatory Instability</t>
        </is>
      </c>
      <c r="C4" s="6" t="n">
        <v>4</v>
      </c>
      <c r="D4" s="6" t="n">
        <v>1601</v>
      </c>
      <c r="E4" s="6" t="inlineStr">
        <is>
          <t>examination/anterolateral-rotatory-instability.html</t>
        </is>
      </c>
    </row>
    <row r="5">
      <c r="A5" s="6" t="inlineStr">
        <is>
          <t>4.14.4</t>
        </is>
      </c>
      <c r="B5" s="6" t="inlineStr">
        <is>
          <t>Anteromedial Rotatory Instability</t>
        </is>
      </c>
      <c r="C5" s="6" t="n">
        <v>4</v>
      </c>
      <c r="D5" s="6" t="n">
        <v>1498</v>
      </c>
      <c r="E5" s="6" t="inlineStr">
        <is>
          <t>examination/anteromedial-rotatory-instability.html</t>
        </is>
      </c>
    </row>
    <row r="6">
      <c r="A6" s="6" t="inlineStr">
        <is>
          <t>4.14.5</t>
        </is>
      </c>
      <c r="B6" s="6" t="inlineStr">
        <is>
          <t>Combined Instability Patterns</t>
        </is>
      </c>
      <c r="C6" s="6" t="n">
        <v>4</v>
      </c>
      <c r="D6" s="6" t="n">
        <v>1575</v>
      </c>
      <c r="E6" s="6" t="inlineStr">
        <is>
          <t>examination/combined-instability-patterns.html</t>
        </is>
      </c>
    </row>
    <row r="7">
      <c r="A7" s="6" t="inlineStr">
        <is>
          <t>4.14.6</t>
        </is>
      </c>
      <c r="B7" s="6" t="inlineStr">
        <is>
          <t>Examination Under Anaesthesia</t>
        </is>
      </c>
      <c r="C7" s="6" t="n">
        <v>4</v>
      </c>
      <c r="D7" s="6" t="n">
        <v>1607</v>
      </c>
      <c r="E7" s="6" t="inlineStr">
        <is>
          <t>examination/rotational-examination-under-anaesthesia.html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4.14.1</t>
        </is>
      </c>
      <c r="B2" s="4" t="inlineStr">
        <is>
          <t>Pivot Shift</t>
        </is>
      </c>
      <c r="C2" s="4" t="inlineStr">
        <is>
          <t>A firm Lachman with a persisting shift is an anterolateral problem, not a graft problem.</t>
        </is>
      </c>
    </row>
    <row r="3">
      <c r="A3" s="4" t="inlineStr">
        <is>
          <t>4.14.1</t>
        </is>
      </c>
      <c r="B3" s="4" t="inlineStr">
        <is>
          <t>Pivot Shift</t>
        </is>
      </c>
      <c r="C3" s="4" t="inlineStr">
        <is>
          <t>That knee is the main indication for a lateral extra-articular procedure at revision.</t>
        </is>
      </c>
    </row>
    <row r="4">
      <c r="A4" s="4" t="inlineStr">
        <is>
          <t>4.14.1</t>
        </is>
      </c>
      <c r="B4" s="4" t="inlineStr">
        <is>
          <t>Pivot Shift</t>
        </is>
      </c>
      <c r="C4" s="4" t="inlineStr">
        <is>
          <t>A persisting shift with a loose Lachman is a failed graft, distinguished by the translation.</t>
        </is>
      </c>
    </row>
    <row r="5">
      <c r="A5" s="4" t="inlineStr">
        <is>
          <t>4.14.1</t>
        </is>
      </c>
      <c r="B5" s="4" t="inlineStr">
        <is>
          <t>Pivot Shift</t>
        </is>
      </c>
      <c r="C5" s="4" t="inlineStr">
        <is>
          <t>After a tenodesis a negative pivot shift no longer excludes a failed reconstruction.</t>
        </is>
      </c>
    </row>
    <row r="6">
      <c r="A6" s="4" t="inlineStr">
        <is>
          <t>4.14.1</t>
        </is>
      </c>
      <c r="B6" s="4" t="inlineStr">
        <is>
          <t>Pivot Shift</t>
        </is>
      </c>
      <c r="C6" s="4" t="inlineStr">
        <is>
          <t>A corner injury gives a larger shift for the same cruciate injury.</t>
        </is>
      </c>
    </row>
    <row r="7">
      <c r="A7" s="4" t="inlineStr">
        <is>
          <t>4.14.2</t>
        </is>
      </c>
      <c r="B7" s="4" t="inlineStr">
        <is>
          <t>Slocum Test</t>
        </is>
      </c>
      <c r="C7" s="4" t="inlineStr">
        <is>
          <t>Its main remaining use is interpreting old letters.</t>
        </is>
      </c>
    </row>
    <row r="8">
      <c r="A8" s="4" t="inlineStr">
        <is>
          <t>4.14.2</t>
        </is>
      </c>
      <c r="B8" s="4" t="inlineStr">
        <is>
          <t>Slocum Test</t>
        </is>
      </c>
      <c r="C8" s="4" t="inlineStr">
        <is>
          <t>A recorded anteromedial pattern before a failed reconstruction suggests the corner was identified and not addressed.</t>
        </is>
      </c>
    </row>
    <row r="9">
      <c r="A9" s="4" t="inlineStr">
        <is>
          <t>4.14.2</t>
        </is>
      </c>
      <c r="B9" s="4" t="inlineStr">
        <is>
          <t>Slocum Test</t>
        </is>
      </c>
      <c r="C9" s="4" t="inlineStr">
        <is>
          <t>A recorded anterolateral pattern means less, because the pivot shift grade is the better record.</t>
        </is>
      </c>
    </row>
    <row r="10">
      <c r="A10" s="4" t="inlineStr">
        <is>
          <t>4.14.2</t>
        </is>
      </c>
      <c r="B10" s="4" t="inlineStr">
        <is>
          <t>Slocum Test</t>
        </is>
      </c>
      <c r="C10" s="4" t="inlineStr">
        <is>
          <t>After a meniscectomy the translation is larger for reasons unrelated to the ligaments.</t>
        </is>
      </c>
    </row>
    <row r="11">
      <c r="A11" s="4" t="inlineStr">
        <is>
          <t>4.14.2</t>
        </is>
      </c>
      <c r="B11" s="4" t="inlineStr">
        <is>
          <t>Slocum Test</t>
        </is>
      </c>
      <c r="C11" s="4" t="inlineStr">
        <is>
          <t>The findings recorded without the label are worth more than the label.</t>
        </is>
      </c>
    </row>
    <row r="12">
      <c r="A12" s="4" t="inlineStr">
        <is>
          <t>4.14.3</t>
        </is>
      </c>
      <c r="B12" s="4" t="inlineStr">
        <is>
          <t>Anterolateral Rotatory Instability</t>
        </is>
      </c>
      <c r="C12" s="4" t="inlineStr">
        <is>
          <t>It explains the commonest referral in Section 4: a firm Lachman and a knee the patient does not trust.</t>
        </is>
      </c>
    </row>
    <row r="13">
      <c r="A13" s="4" t="inlineStr">
        <is>
          <t>4.14.3</t>
        </is>
      </c>
      <c r="B13" s="4" t="inlineStr">
        <is>
          <t>Anterolateral Rotatory Instability</t>
        </is>
      </c>
      <c r="C13" s="4" t="inlineStr">
        <is>
          <t>The pattern is established under anaesthesia rather than in clinic.</t>
        </is>
      </c>
    </row>
    <row r="14">
      <c r="A14" s="4" t="inlineStr">
        <is>
          <t>4.14.3</t>
        </is>
      </c>
      <c r="B14" s="4" t="inlineStr">
        <is>
          <t>Anterolateral Rotatory Instability</t>
        </is>
      </c>
      <c r="C14" s="4" t="inlineStr">
        <is>
          <t>A normal shift under anaesthesia with the same complaint is a confidence problem, and surgery makes it worse.</t>
        </is>
      </c>
    </row>
    <row r="15">
      <c r="A15" s="4" t="inlineStr">
        <is>
          <t>4.14.3</t>
        </is>
      </c>
      <c r="B15" s="4" t="inlineStr">
        <is>
          <t>Anterolateral Rotatory Instability</t>
        </is>
      </c>
      <c r="C15" s="4" t="inlineStr">
        <is>
          <t>After a tenodesis the shift can be abolished over an incompetent graft.</t>
        </is>
      </c>
    </row>
    <row r="16">
      <c r="A16" s="4" t="inlineStr">
        <is>
          <t>4.14.3</t>
        </is>
      </c>
      <c r="B16" s="4" t="inlineStr">
        <is>
          <t>Anterolateral Rotatory Instability</t>
        </is>
      </c>
      <c r="C16" s="4" t="inlineStr">
        <is>
          <t>A deficient lateral meniscus gives a large shift after sound surgery.</t>
        </is>
      </c>
    </row>
    <row r="17">
      <c r="A17" s="4" t="inlineStr">
        <is>
          <t>4.14.4</t>
        </is>
      </c>
      <c r="B17" s="4" t="inlineStr">
        <is>
          <t>Anteromedial Rotatory Instability</t>
        </is>
      </c>
      <c r="C17" s="4" t="inlineStr">
        <is>
          <t>It explains the patient whose medial injury was treated correctly and whose knee still fails on turning.</t>
        </is>
      </c>
    </row>
    <row r="18">
      <c r="A18" s="4" t="inlineStr">
        <is>
          <t>4.14.4</t>
        </is>
      </c>
      <c r="B18" s="4" t="inlineStr">
        <is>
          <t>Anteromedial Rotatory Instability</t>
        </is>
      </c>
      <c r="C18" s="4" t="inlineStr">
        <is>
          <t>A corner healed long gives a firm endpoint over a rotationally lax joint.</t>
        </is>
      </c>
    </row>
    <row r="19">
      <c r="A19" s="4" t="inlineStr">
        <is>
          <t>4.14.4</t>
        </is>
      </c>
      <c r="B19" s="4" t="inlineStr">
        <is>
          <t>Anteromedial Rotatory Instability</t>
        </is>
      </c>
      <c r="C19" s="4" t="inlineStr">
        <is>
          <t>A stretched graft with this pattern has its explanation, not a second diagnosis.</t>
        </is>
      </c>
    </row>
    <row r="20">
      <c r="A20" s="4" t="inlineStr">
        <is>
          <t>4.14.4</t>
        </is>
      </c>
      <c r="B20" s="4" t="inlineStr">
        <is>
          <t>Anteromedial Rotatory Instability</t>
        </is>
      </c>
      <c r="C20" s="4" t="inlineStr">
        <is>
          <t>A varus limb makes a medial reconstruction a poor proposition.</t>
        </is>
      </c>
    </row>
    <row r="21">
      <c r="A21" s="4" t="inlineStr">
        <is>
          <t>4.14.4</t>
        </is>
      </c>
      <c r="B21" s="4" t="inlineStr">
        <is>
          <t>Anteromedial Rotatory Instability</t>
        </is>
      </c>
      <c r="C21" s="4" t="inlineStr">
        <is>
          <t>A previous lateral procedure constrains the rotation and makes the assessment under read.</t>
        </is>
      </c>
    </row>
    <row r="22">
      <c r="A22" s="4" t="inlineStr">
        <is>
          <t>4.14.5</t>
        </is>
      </c>
      <c r="B22" s="4" t="inlineStr">
        <is>
          <t>Combined Instability Patterns</t>
        </is>
      </c>
      <c r="C22" s="4" t="inlineStr">
        <is>
          <t>The examination is better evidence of the original pattern than the operation note.</t>
        </is>
      </c>
    </row>
    <row r="23">
      <c r="A23" s="4" t="inlineStr">
        <is>
          <t>4.14.5</t>
        </is>
      </c>
      <c r="B23" s="4" t="inlineStr">
        <is>
          <t>Combined Instability Patterns</t>
        </is>
      </c>
      <c r="C23" s="4" t="inlineStr">
        <is>
          <t>Two sound reconstructions with a persisting complaint usually means a bony factor.</t>
        </is>
      </c>
    </row>
    <row r="24">
      <c r="A24" s="4" t="inlineStr">
        <is>
          <t>4.14.5</t>
        </is>
      </c>
      <c r="B24" s="4" t="inlineStr">
        <is>
          <t>Combined Instability Patterns</t>
        </is>
      </c>
      <c r="C24" s="4" t="inlineStr">
        <is>
          <t>A pattern that fits no recognised combination raises generalised hypermobility.</t>
        </is>
      </c>
    </row>
    <row r="25">
      <c r="A25" s="4" t="inlineStr">
        <is>
          <t>4.14.5</t>
        </is>
      </c>
      <c r="B25" s="4" t="inlineStr">
        <is>
          <t>Combined Instability Patterns</t>
        </is>
      </c>
      <c r="C25" s="4" t="inlineStr">
        <is>
          <t>Previous surgery constrains the pattern, so the operation notes are needed to interpret it.</t>
        </is>
      </c>
    </row>
    <row r="26">
      <c r="A26" s="4" t="inlineStr">
        <is>
          <t>4.14.5</t>
        </is>
      </c>
      <c r="B26" s="4" t="inlineStr">
        <is>
          <t>Combined Instability Patterns</t>
        </is>
      </c>
      <c r="C26" s="4" t="inlineStr">
        <is>
          <t>An unrecovered nerve palsy changes the dynamic examination permanently and gets blamed on laxity.</t>
        </is>
      </c>
    </row>
    <row r="27">
      <c r="A27" s="4" t="inlineStr">
        <is>
          <t>4.14.6</t>
        </is>
      </c>
      <c r="B27" s="4" t="inlineStr">
        <is>
          <t>Examination Under Anaesthesia</t>
        </is>
      </c>
      <c r="C27" s="4" t="inlineStr">
        <is>
          <t>The anaesthetised examination from the first operation is often the most useful document in the file.</t>
        </is>
      </c>
    </row>
    <row r="28">
      <c r="A28" s="4" t="inlineStr">
        <is>
          <t>4.14.6</t>
        </is>
      </c>
      <c r="B28" s="4" t="inlineStr">
        <is>
          <t>Examination Under Anaesthesia</t>
        </is>
      </c>
      <c r="C28" s="4" t="inlineStr">
        <is>
          <t>A recorded grade zero shift then and a high grade now establishes that something changed.</t>
        </is>
      </c>
    </row>
    <row r="29">
      <c r="A29" s="4" t="inlineStr">
        <is>
          <t>4.14.6</t>
        </is>
      </c>
      <c r="B29" s="4" t="inlineStr">
        <is>
          <t>Examination Under Anaesthesia</t>
        </is>
      </c>
      <c r="C29" s="4" t="inlineStr">
        <is>
          <t>An examination after the tourniquet or a long arthroscopy is worth discounting.</t>
        </is>
      </c>
    </row>
    <row r="30">
      <c r="A30" s="4" t="inlineStr">
        <is>
          <t>4.14.6</t>
        </is>
      </c>
      <c r="B30" s="4" t="inlineStr">
        <is>
          <t>Examination Under Anaesthesia</t>
        </is>
      </c>
      <c r="C30" s="4" t="inlineStr">
        <is>
          <t>In a multiply operated knee the other knee is no longer a comparison with normal.</t>
        </is>
      </c>
    </row>
    <row r="31">
      <c r="A31" s="4" t="inlineStr">
        <is>
          <t>4.14.6</t>
        </is>
      </c>
      <c r="B31" s="4" t="inlineStr">
        <is>
          <t>Examination Under Anaesthesia</t>
        </is>
      </c>
      <c r="C31" s="4" t="inlineStr">
        <is>
          <t>This is the strongest examination evidence that exists, which is an argument for recording it properly.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4.14.1-P1</t>
        </is>
      </c>
      <c r="B3" s="4" t="inlineStr">
        <is>
          <t>4.14.1</t>
        </is>
      </c>
      <c r="C3" s="4" t="inlineStr">
        <is>
          <t>medical_student</t>
        </is>
      </c>
      <c r="D3" s="4" t="inlineStr">
        <is>
          <t>Compare with the other knee using the same grip and the same forces, and grade the glide, the clunk and whether it is reproducible.</t>
        </is>
      </c>
      <c r="E3" s="4" t="inlineStr"/>
      <c r="F3" s="4" t="inlineStr"/>
      <c r="G3" s="4" t="inlineStr"/>
    </row>
    <row r="4">
      <c r="A4" s="4" t="inlineStr">
        <is>
          <t>4.14.1-P2</t>
        </is>
      </c>
      <c r="B4" s="4" t="inlineStr">
        <is>
          <t>4.14.1</t>
        </is>
      </c>
      <c r="C4" s="4" t="inlineStr">
        <is>
          <t>medical_student</t>
        </is>
      </c>
      <c r="D4" s="4" t="inlineStr">
        <is>
          <t>A shift in a knee with an intact Lachman test should be distrusted, since the cruciate resists the translation the shift depends on.</t>
        </is>
      </c>
      <c r="E4" s="4" t="inlineStr"/>
      <c r="F4" s="4" t="inlineStr"/>
      <c r="G4" s="4" t="inlineStr"/>
    </row>
    <row r="5">
      <c r="A5" s="4" t="inlineStr">
        <is>
          <t>4.14.1-P3</t>
        </is>
      </c>
      <c r="B5" s="4" t="inlineStr">
        <is>
          <t>4.14.1</t>
        </is>
      </c>
      <c r="C5" s="4" t="inlineStr">
        <is>
          <t>medical_student</t>
        </is>
      </c>
      <c r="D5" s="4" t="inlineStr">
        <is>
          <t>- A shift with an intact Lachman test should be distrusted.</t>
        </is>
      </c>
      <c r="E5" s="4" t="inlineStr"/>
      <c r="F5" s="4" t="inlineStr"/>
      <c r="G5" s="4" t="inlineStr"/>
    </row>
    <row r="6">
      <c r="A6" s="4" t="inlineStr">
        <is>
          <t>4.14.3-P1</t>
        </is>
      </c>
      <c r="B6" s="4" t="inlineStr">
        <is>
          <t>4.14.3</t>
        </is>
      </c>
      <c r="C6" s="4" t="inlineStr">
        <is>
          <t>medical_student</t>
        </is>
      </c>
      <c r="D6" s="4" t="inlineStr">
        <is>
          <t>Ask the patient to describe the movement that fails, since a rotational complaint is more specific than any of the tests.</t>
        </is>
      </c>
      <c r="E6" s="4" t="inlineStr"/>
      <c r="F6" s="4" t="inlineStr"/>
      <c r="G6" s="4" t="inlineStr"/>
    </row>
    <row r="7">
      <c r="A7" s="4" t="inlineStr">
        <is>
          <t>4.14.3-P2</t>
        </is>
      </c>
      <c r="B7" s="4" t="inlineStr">
        <is>
          <t>4.14.3</t>
        </is>
      </c>
      <c r="C7" s="4" t="inlineStr">
        <is>
          <t>medical_student</t>
        </is>
      </c>
      <c r="D7" s="4" t="inlineStr">
        <is>
          <t>A lateral meniscal posterior horn tear enlarges the pattern mechanically, so a large shift should prompt a search for one.</t>
        </is>
      </c>
      <c r="E7" s="4" t="inlineStr"/>
      <c r="F7" s="4" t="inlineStr"/>
      <c r="G7" s="4" t="inlineStr"/>
    </row>
    <row r="8">
      <c r="A8" s="4" t="inlineStr">
        <is>
          <t>4.14.3-P3</t>
        </is>
      </c>
      <c r="B8" s="4" t="inlineStr">
        <is>
          <t>4.14.3</t>
        </is>
      </c>
      <c r="C8" s="4" t="inlineStr">
        <is>
          <t>frcs</t>
        </is>
      </c>
      <c r="D8" s="4" t="inlineStr">
        <is>
          <t>Where the awake assessment is equivocal and the decision is real, examination under anaesthesia is how it is settled, and it should be arranged before the operating list rather than discovered on it.</t>
        </is>
      </c>
      <c r="E8" s="4" t="inlineStr"/>
      <c r="F8" s="4" t="inlineStr"/>
      <c r="G8" s="4" t="inlineStr"/>
    </row>
    <row r="9">
      <c r="A9" s="4" t="inlineStr">
        <is>
          <t>4.14.4-P1</t>
        </is>
      </c>
      <c r="B9" s="4" t="inlineStr">
        <is>
          <t>4.14.4</t>
        </is>
      </c>
      <c r="C9" s="4" t="inlineStr">
        <is>
          <t>medical_student</t>
        </is>
      </c>
      <c r="D9" s="4" t="inlineStr">
        <is>
          <t>Repeat it with the tibia externally rotated by about fifteen degrees, watching the medial plateau.</t>
        </is>
      </c>
      <c r="E9" s="4" t="inlineStr"/>
      <c r="F9" s="4" t="inlineStr"/>
      <c r="G9" s="4" t="inlineStr"/>
    </row>
    <row r="10">
      <c r="A10" s="4" t="inlineStr">
        <is>
          <t>4.14.4-P2</t>
        </is>
      </c>
      <c r="B10" s="4" t="inlineStr">
        <is>
          <t>4.14.4</t>
        </is>
      </c>
      <c r="C10" s="4" t="inlineStr">
        <is>
          <t>medical_student</t>
        </is>
      </c>
      <c r="D10" s="4" t="inlineStr">
        <is>
          <t>Ask the patient which direction the knee fails in, since turning away from the affected leg is the movement this pattern describes.</t>
        </is>
      </c>
      <c r="E10" s="4" t="inlineStr"/>
      <c r="F10" s="4" t="inlineStr"/>
      <c r="G10" s="4" t="inlineStr"/>
    </row>
    <row r="11">
      <c r="A11" s="4" t="inlineStr">
        <is>
          <t>4.14.5-P1</t>
        </is>
      </c>
      <c r="B11" s="4" t="inlineStr">
        <is>
          <t>4.14.5</t>
        </is>
      </c>
      <c r="C11" s="4" t="inlineStr">
        <is>
          <t>medical_student</t>
        </is>
      </c>
      <c r="D11" s="4" t="inlineStr">
        <is>
          <t>Examine in a fixed order, so the pattern emerges rather than being assembled from remembered findings.</t>
        </is>
      </c>
      <c r="E11" s="4" t="inlineStr"/>
      <c r="F11" s="4" t="inlineStr"/>
      <c r="G11" s="4" t="inlineStr"/>
    </row>
    <row r="12">
      <c r="A12" s="4" t="inlineStr">
        <is>
          <t>4.14.5-P2</t>
        </is>
      </c>
      <c r="B12" s="4" t="inlineStr">
        <is>
          <t>4.14.5</t>
        </is>
      </c>
      <c r="C12" s="4" t="inlineStr">
        <is>
          <t>medical_student</t>
        </is>
      </c>
      <c r="D12" s="4" t="inlineStr">
        <is>
          <t>Record the pattern as a sentence rather than a list of positive tests, because that is what the next clinician needs.</t>
        </is>
      </c>
      <c r="E12" s="4" t="inlineStr"/>
      <c r="F12" s="4" t="inlineStr"/>
      <c r="G12" s="4" t="inlineStr"/>
    </row>
    <row r="13">
      <c r="A13" s="4" t="inlineStr">
        <is>
          <t>4.14.6-P1</t>
        </is>
      </c>
      <c r="B13" s="4" t="inlineStr">
        <is>
          <t>4.14.6</t>
        </is>
      </c>
      <c r="C13" s="4" t="inlineStr">
        <is>
          <t>medical_student</t>
        </is>
      </c>
      <c r="D13" s="4" t="inlineStr">
        <is>
          <t>Examine both knees, always, and examine the uninjured one first so the normal is established before the abnormal is interpreted.</t>
        </is>
      </c>
      <c r="E13" s="4" t="inlineStr"/>
      <c r="F13" s="4" t="inlineStr"/>
      <c r="G13" s="4" t="inlineStr"/>
    </row>
    <row r="14">
      <c r="A14" s="4" t="inlineStr">
        <is>
          <t>4.14.6-P2</t>
        </is>
      </c>
      <c r="B14" s="4" t="inlineStr">
        <is>
          <t>4.14.6</t>
        </is>
      </c>
      <c r="C14" s="4" t="inlineStr">
        <is>
          <t>medical_student</t>
        </is>
      </c>
      <c r="D14" s="4" t="inlineStr">
        <is>
          <t>Record the findings in the operation note as numbers and grades rather than as positive or negative, because this record is the one that will be read years later.</t>
        </is>
      </c>
      <c r="E14" s="4" t="inlineStr"/>
      <c r="F14" s="4" t="inlineStr"/>
      <c r="G14" s="4" t="inlineStr"/>
    </row>
  </sheetData>
  <dataValidations count="1">
    <dataValidation sqref="E3:E14"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4.14.1-F1</t>
        </is>
      </c>
      <c r="B3" s="4" t="inlineStr">
        <is>
          <t>4.14.1</t>
        </is>
      </c>
      <c r="C3" s="4" t="inlineStr">
        <is>
          <t>medical_student</t>
        </is>
      </c>
      <c r="D3" s="4" t="inlineStr">
        <is>
          <t>twenty to thirty degrees</t>
        </is>
      </c>
      <c r="E3" s="4" t="inlineStr">
        <is>
          <t>Feel for the lateral tibial plateau reducing from a subluxed position as the knee passes about twenty to thirty degrees of flexion.</t>
        </is>
      </c>
      <c r="F3" s="4" t="inlineStr"/>
      <c r="G3" s="4" t="inlineStr"/>
      <c r="H3" s="4" t="inlineStr"/>
    </row>
    <row r="4">
      <c r="A4" s="4" t="inlineStr">
        <is>
          <t>4.14.2-F1</t>
        </is>
      </c>
      <c r="B4" s="4" t="inlineStr">
        <is>
          <t>4.14.2</t>
        </is>
      </c>
      <c r="C4" s="4" t="inlineStr">
        <is>
          <t>medical_student</t>
        </is>
      </c>
      <c r="D4" s="4" t="inlineStr">
        <is>
          <t>ninety degrees</t>
        </is>
      </c>
      <c r="E4" s="4" t="inlineStr">
        <is>
          <t>Position the patient supine with the knee flexed to about ninety degrees and the foot flat on the couch, as for an anterior drawer.</t>
        </is>
      </c>
      <c r="F4" s="4" t="inlineStr"/>
      <c r="G4" s="4" t="inlineStr"/>
      <c r="H4" s="4" t="inlineStr"/>
    </row>
    <row r="5">
      <c r="A5" s="4" t="inlineStr">
        <is>
          <t>4.14.2-F2</t>
        </is>
      </c>
      <c r="B5" s="4" t="inlineStr">
        <is>
          <t>4.14.2</t>
        </is>
      </c>
      <c r="C5" s="4" t="inlineStr">
        <is>
          <t>medical_student</t>
        </is>
      </c>
      <c r="D5" s="4" t="inlineStr">
        <is>
          <t>fifteen degrees</t>
        </is>
      </c>
      <c r="E5" s="4" t="inlineStr">
        <is>
          <t>Rotate the foot externally by about fifteen degrees and sit on it to hold it there.</t>
        </is>
      </c>
      <c r="F5" s="4" t="inlineStr"/>
      <c r="G5" s="4" t="inlineStr"/>
      <c r="H5" s="4" t="inlineStr"/>
    </row>
    <row r="6">
      <c r="A6" s="4" t="inlineStr">
        <is>
          <t>4.14.2-F3</t>
        </is>
      </c>
      <c r="B6" s="4" t="inlineStr">
        <is>
          <t>4.14.2</t>
        </is>
      </c>
      <c r="C6" s="4" t="inlineStr">
        <is>
          <t>medical_student</t>
        </is>
      </c>
      <c r="D6" s="4" t="inlineStr">
        <is>
          <t>thirty degrees</t>
        </is>
      </c>
      <c r="E6" s="4" t="inlineStr">
        <is>
          <t>Then rotate the foot internally by about thirty degrees, hold it, and draw forwards again, this time watching the lateral plateau.</t>
        </is>
      </c>
      <c r="F6" s="4" t="inlineStr"/>
      <c r="G6" s="4" t="inlineStr"/>
      <c r="H6" s="4" t="inlineStr"/>
    </row>
    <row r="7">
      <c r="A7" s="4" t="inlineStr">
        <is>
          <t>4.14.2-F4</t>
        </is>
      </c>
      <c r="B7" s="4" t="inlineStr">
        <is>
          <t>4.14.2</t>
        </is>
      </c>
      <c r="C7" s="4" t="inlineStr">
        <is>
          <t>mrcs</t>
        </is>
      </c>
      <c r="D7" s="4" t="inlineStr">
        <is>
          <t>ninety degree</t>
        </is>
      </c>
      <c r="E7" s="4" t="inlineStr">
        <is>
          <t>The expected points are the ninety degree position, the amount of rotation in each direction, holding the foot, watching the plateau rather than the tubercle, and the neutral comparison.</t>
        </is>
      </c>
      <c r="F7" s="4" t="inlineStr"/>
      <c r="G7" s="4" t="inlineStr"/>
      <c r="H7" s="4" t="inlineStr"/>
    </row>
    <row r="8">
      <c r="A8" s="4" t="inlineStr">
        <is>
          <t>4.14.3-F1</t>
        </is>
      </c>
      <c r="B8" s="4" t="inlineStr">
        <is>
          <t>4.14.3</t>
        </is>
      </c>
      <c r="C8" s="4" t="inlineStr">
        <is>
          <t>medical_student</t>
        </is>
      </c>
      <c r="D8" s="4" t="inlineStr">
        <is>
          <t>ninety degrees</t>
        </is>
      </c>
      <c r="E8" s="4" t="inlineStr">
        <is>
          <t>Perform the Slocum test with the tibia internally rotated, which reads the same restraint at ninety degrees.</t>
        </is>
      </c>
      <c r="F8" s="4" t="inlineStr"/>
      <c r="G8" s="4" t="inlineStr"/>
      <c r="H8" s="4" t="inlineStr"/>
    </row>
    <row r="9">
      <c r="A9" s="4" t="inlineStr">
        <is>
          <t>4.14.4-F1</t>
        </is>
      </c>
      <c r="B9" s="4" t="inlineStr">
        <is>
          <t>4.14.4</t>
        </is>
      </c>
      <c r="C9" s="4" t="inlineStr">
        <is>
          <t>medical_student</t>
        </is>
      </c>
      <c r="D9" s="4" t="inlineStr">
        <is>
          <t>thirty degrees</t>
        </is>
      </c>
      <c r="E9" s="4" t="inlineStr">
        <is>
          <t>Perform valgus stress at thirty degrees and in full extension, because opening in extension is the finding that implicates the posteromedial corner.</t>
        </is>
      </c>
      <c r="F9" s="4" t="inlineStr"/>
      <c r="G9" s="4" t="inlineStr"/>
      <c r="H9" s="4" t="inlineStr"/>
    </row>
    <row r="10">
      <c r="A10" s="4" t="inlineStr">
        <is>
          <t>4.14.4-F2</t>
        </is>
      </c>
      <c r="B10" s="4" t="inlineStr">
        <is>
          <t>4.14.4</t>
        </is>
      </c>
      <c r="C10" s="4" t="inlineStr">
        <is>
          <t>medical_student</t>
        </is>
      </c>
      <c r="D10" s="4" t="inlineStr">
        <is>
          <t>fifteen degrees</t>
        </is>
      </c>
      <c r="E10" s="4" t="inlineStr">
        <is>
          <t>Repeat it with the tibia externally rotated by about fifteen degrees, watching the medial plateau.</t>
        </is>
      </c>
      <c r="F10" s="4" t="inlineStr"/>
      <c r="G10" s="4" t="inlineStr"/>
      <c r="H10" s="4" t="inlineStr"/>
    </row>
    <row r="11">
      <c r="A11" s="4" t="inlineStr">
        <is>
          <t>4.14.5-F1</t>
        </is>
      </c>
      <c r="B11" s="4" t="inlineStr">
        <is>
          <t>4.14.5</t>
        </is>
      </c>
      <c r="C11" s="4" t="inlineStr">
        <is>
          <t>medical_student</t>
        </is>
      </c>
      <c r="D11" s="4" t="inlineStr">
        <is>
          <t>thirty degrees</t>
        </is>
      </c>
      <c r="E11" s="4" t="inlineStr">
        <is>
          <t>Then the collaterals: valgus and varus at thirty degrees and in full extension.</t>
        </is>
      </c>
      <c r="F11" s="4" t="inlineStr"/>
      <c r="G11" s="4" t="inlineStr"/>
      <c r="H11" s="4" t="inlineStr"/>
    </row>
    <row r="12">
      <c r="A12" s="4" t="inlineStr">
        <is>
          <t>4.14.5-F2</t>
        </is>
      </c>
      <c r="B12" s="4" t="inlineStr">
        <is>
          <t>4.14.5</t>
        </is>
      </c>
      <c r="C12" s="4" t="inlineStr">
        <is>
          <t>medical_student</t>
        </is>
      </c>
      <c r="D12" s="4" t="inlineStr">
        <is>
          <t>thirty and ninety degrees</t>
        </is>
      </c>
      <c r="E12" s="4" t="inlineStr">
        <is>
          <t>Then rotation: the dial test at thirty and ninety degrees, the pivot shift, and the anterior drawer in external rotation.</t>
        </is>
      </c>
      <c r="F12" s="4" t="inlineStr"/>
      <c r="G12" s="4" t="inlineStr"/>
      <c r="H12" s="4" t="inlineStr"/>
    </row>
    <row r="13">
      <c r="A13" s="4" t="inlineStr">
        <is>
          <t>4.14.6-F1</t>
        </is>
      </c>
      <c r="B13" s="4" t="inlineStr">
        <is>
          <t>4.14.6</t>
        </is>
      </c>
      <c r="C13" s="4" t="inlineStr">
        <is>
          <t>medical_student</t>
        </is>
      </c>
      <c r="D13" s="4" t="inlineStr">
        <is>
          <t>thirty and ninety degrees</t>
        </is>
      </c>
      <c r="E13" s="4" t="inlineStr">
        <is>
          <t>Perform the dial test at thirty and ninety degrees on both sides.</t>
        </is>
      </c>
      <c r="F13" s="4" t="inlineStr"/>
      <c r="G13" s="4" t="inlineStr"/>
      <c r="H13" s="4" t="inlineStr"/>
    </row>
  </sheetData>
  <dataValidations count="1">
    <dataValidation sqref="F3:F13"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12</f>
        <v/>
      </c>
      <c r="C2" s="3">
        <f>11</f>
        <v/>
      </c>
    </row>
    <row r="3">
      <c r="A3" s="2" t="inlineStr">
        <is>
          <t>Decided</t>
        </is>
      </c>
      <c r="B3" s="3">
        <f>COUNTIF(Recommendations!E3:E14,"&lt;&gt;")</f>
        <v/>
      </c>
      <c r="C3" s="3">
        <f>COUNTIF(Measurements!F3:F13,"&lt;&gt;")</f>
        <v/>
      </c>
    </row>
    <row r="4">
      <c r="A4" s="2" t="inlineStr">
        <is>
          <t>Still blank</t>
        </is>
      </c>
      <c r="B4" s="3">
        <f>B2-B3</f>
        <v/>
      </c>
      <c r="C4" s="3">
        <f>C2-C3</f>
        <v/>
      </c>
    </row>
    <row r="5">
      <c r="A5" s="2" t="inlineStr">
        <is>
          <t>CONFIRMED</t>
        </is>
      </c>
      <c r="B5" s="3">
        <f>COUNTIF(Recommendations!E3:E14,"CONFIRMED")</f>
        <v/>
      </c>
      <c r="C5" s="3" t="inlineStr"/>
    </row>
    <row r="6">
      <c r="A6" s="2" t="inlineStr">
        <is>
          <t>AMENDED</t>
        </is>
      </c>
      <c r="B6" s="3">
        <f>COUNTIF(Recommendations!E3:E14,"AMENDED")</f>
        <v/>
      </c>
      <c r="C6" s="3" t="inlineStr"/>
    </row>
    <row r="7">
      <c r="A7" s="2" t="inlineStr">
        <is>
          <t>WITHDRAWN</t>
        </is>
      </c>
      <c r="B7" s="3">
        <f>COUNTIF(Recommendations!E3:E14,"WITHDRAWN")</f>
        <v/>
      </c>
      <c r="C7" s="3" t="inlineStr"/>
    </row>
    <row r="8">
      <c r="A8" s="2" t="inlineStr">
        <is>
          <t>NOT_CLINICAL</t>
        </is>
      </c>
      <c r="B8" s="3">
        <f>COUNTIF(Recommendations!E3:E14,"NOT_CLINICAL")</f>
        <v/>
      </c>
      <c r="C8" s="3" t="inlineStr"/>
    </row>
    <row r="9">
      <c r="A9" s="2" t="inlineStr">
        <is>
          <t>VERIFIED</t>
        </is>
      </c>
      <c r="B9" s="3" t="inlineStr"/>
      <c r="C9" s="3">
        <f>COUNTIF(Measurements!F3:F13,"VERIFIED")</f>
        <v/>
      </c>
    </row>
    <row r="10">
      <c r="A10" s="2" t="inlineStr">
        <is>
          <t>CORRECTED</t>
        </is>
      </c>
      <c r="B10" s="3" t="inlineStr"/>
      <c r="C10" s="3">
        <f>COUNTIF(Measurements!F3:F13,"CORRECTED")</f>
        <v/>
      </c>
    </row>
    <row r="11">
      <c r="A11" s="2" t="inlineStr">
        <is>
          <t>REMOVED</t>
        </is>
      </c>
      <c r="B11" s="3" t="inlineStr"/>
      <c r="C11" s="3">
        <f>COUNTIF(Measurements!F3:F13,"REMOVED")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2026-10-12T20:26:57Z</dcterms:created>
  <dcterms:modified xmlns:dcterms="http://purl.org/dc/terms/" xmlns:xsi="http://www.w3.org/2001/XMLSchema-instance" xsi:type="dcterms:W3CDTF">2026-10-12T20:26:57Z</dcterms:modified>
</cp:coreProperties>
</file>