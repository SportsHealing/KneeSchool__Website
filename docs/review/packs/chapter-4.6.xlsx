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4.6 Palpation</t>
        </is>
      </c>
    </row>
    <row r="3">
      <c r="A3" s="2" t="inlineStr">
        <is>
          <t>Section</t>
        </is>
      </c>
      <c r="B3" s="3" t="inlineStr">
        <is>
          <t>4</t>
        </is>
      </c>
    </row>
    <row r="4">
      <c r="A4" s="2" t="inlineStr">
        <is>
          <t>Chapter</t>
        </is>
      </c>
      <c r="B4" s="3" t="inlineStr">
        <is>
          <t>4.6 Palpation</t>
        </is>
      </c>
    </row>
    <row r="5">
      <c r="A5" s="2" t="inlineStr">
        <is>
          <t>Pages</t>
        </is>
      </c>
      <c r="B5" s="3" t="n">
        <v>10</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15,084</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5</v>
      </c>
    </row>
    <row r="12">
      <c r="A12" s="2" t="inlineStr">
        <is>
          <t>Recommendations to sign</t>
        </is>
      </c>
      <c r="B12" s="3" t="n">
        <v>15</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4.6.1</t>
        </is>
      </c>
      <c r="B2" s="6" t="inlineStr">
        <is>
          <t>Systematic Palpation</t>
        </is>
      </c>
      <c r="C2" s="6" t="n">
        <v>4</v>
      </c>
      <c r="D2" s="6" t="n">
        <v>1597</v>
      </c>
      <c r="E2" s="6" t="inlineStr">
        <is>
          <t>examination/systematic-palpation.html</t>
        </is>
      </c>
    </row>
    <row r="3">
      <c r="A3" s="6" t="inlineStr">
        <is>
          <t>4.6.2</t>
        </is>
      </c>
      <c r="B3" s="6" t="inlineStr">
        <is>
          <t>Temperature Assessment</t>
        </is>
      </c>
      <c r="C3" s="6" t="n">
        <v>4</v>
      </c>
      <c r="D3" s="6" t="n">
        <v>1435</v>
      </c>
      <c r="E3" s="6" t="inlineStr">
        <is>
          <t>examination/temperature-assessment.html</t>
        </is>
      </c>
    </row>
    <row r="4">
      <c r="A4" s="6" t="inlineStr">
        <is>
          <t>4.6.3</t>
        </is>
      </c>
      <c r="B4" s="6" t="inlineStr">
        <is>
          <t>Effusion Assessment</t>
        </is>
      </c>
      <c r="C4" s="6" t="n">
        <v>4</v>
      </c>
      <c r="D4" s="6" t="n">
        <v>1487</v>
      </c>
      <c r="E4" s="6" t="inlineStr">
        <is>
          <t>examination/effusion-on-palpation.html</t>
        </is>
      </c>
    </row>
    <row r="5">
      <c r="A5" s="6" t="inlineStr">
        <is>
          <t>4.6.4</t>
        </is>
      </c>
      <c r="B5" s="6" t="inlineStr">
        <is>
          <t>Joint Line Tenderness</t>
        </is>
      </c>
      <c r="C5" s="6" t="n">
        <v>4</v>
      </c>
      <c r="D5" s="6" t="n">
        <v>1548</v>
      </c>
      <c r="E5" s="6" t="inlineStr">
        <is>
          <t>examination/joint-line-tenderness.html</t>
        </is>
      </c>
    </row>
    <row r="6">
      <c r="A6" s="6" t="inlineStr">
        <is>
          <t>4.6.5</t>
        </is>
      </c>
      <c r="B6" s="6" t="inlineStr">
        <is>
          <t>Patellar Tenderness</t>
        </is>
      </c>
      <c r="C6" s="6" t="n">
        <v>4</v>
      </c>
      <c r="D6" s="6" t="n">
        <v>1452</v>
      </c>
      <c r="E6" s="6" t="inlineStr">
        <is>
          <t>examination/patellar-tenderness.html</t>
        </is>
      </c>
    </row>
    <row r="7">
      <c r="A7" s="6" t="inlineStr">
        <is>
          <t>4.6.6</t>
        </is>
      </c>
      <c r="B7" s="6" t="inlineStr">
        <is>
          <t>Tendon Tenderness</t>
        </is>
      </c>
      <c r="C7" s="6" t="n">
        <v>4</v>
      </c>
      <c r="D7" s="6" t="n">
        <v>1476</v>
      </c>
      <c r="E7" s="6" t="inlineStr">
        <is>
          <t>examination/tendon-tenderness.html</t>
        </is>
      </c>
    </row>
    <row r="8">
      <c r="A8" s="6" t="inlineStr">
        <is>
          <t>4.6.7</t>
        </is>
      </c>
      <c r="B8" s="6" t="inlineStr">
        <is>
          <t>Tibial Tubercle Tenderness</t>
        </is>
      </c>
      <c r="C8" s="6" t="n">
        <v>4</v>
      </c>
      <c r="D8" s="6" t="n">
        <v>1457</v>
      </c>
      <c r="E8" s="6" t="inlineStr">
        <is>
          <t>examination/tibial-tubercle-tenderness.html</t>
        </is>
      </c>
    </row>
    <row r="9">
      <c r="A9" s="6" t="inlineStr">
        <is>
          <t>4.6.8</t>
        </is>
      </c>
      <c r="B9" s="6" t="inlineStr">
        <is>
          <t>Fibular Head Tenderness</t>
        </is>
      </c>
      <c r="C9" s="6" t="n">
        <v>4</v>
      </c>
      <c r="D9" s="6" t="n">
        <v>1559</v>
      </c>
      <c r="E9" s="6" t="inlineStr">
        <is>
          <t>examination/fibular-head-tenderness.html</t>
        </is>
      </c>
    </row>
    <row r="10">
      <c r="A10" s="6" t="inlineStr">
        <is>
          <t>4.6.9</t>
        </is>
      </c>
      <c r="B10" s="6" t="inlineStr">
        <is>
          <t>Posterior Knee Palpation</t>
        </is>
      </c>
      <c r="C10" s="6" t="n">
        <v>4</v>
      </c>
      <c r="D10" s="6" t="n">
        <v>1560</v>
      </c>
      <c r="E10" s="6" t="inlineStr">
        <is>
          <t>examination/posterior-knee-palpation.html</t>
        </is>
      </c>
    </row>
    <row r="11">
      <c r="A11" s="6" t="inlineStr">
        <is>
          <t>4.6.10</t>
        </is>
      </c>
      <c r="B11" s="6" t="inlineStr">
        <is>
          <t>Popliteal Fossa Examination</t>
        </is>
      </c>
      <c r="C11" s="6" t="n">
        <v>4</v>
      </c>
      <c r="D11" s="6" t="n">
        <v>1513</v>
      </c>
      <c r="E11" s="6" t="inlineStr">
        <is>
          <t>examination/popliteal-fossa-examination.html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4.6.1</t>
        </is>
      </c>
      <c r="B2" s="4" t="inlineStr">
        <is>
          <t>Systematic Palpation</t>
        </is>
      </c>
      <c r="C2" s="4" t="inlineStr">
        <is>
          <t>Repeating palpation properly answers a surprising number of referrals.</t>
        </is>
      </c>
    </row>
    <row r="3">
      <c r="A3" s="4" t="inlineStr">
        <is>
          <t>4.6.1</t>
        </is>
      </c>
      <c r="B3" s="4" t="inlineStr">
        <is>
          <t>Systematic Palpation</t>
        </is>
      </c>
      <c r="C3" s="4" t="inlineStr">
        <is>
          <t>Tenderness over the pes insertion or the collateral's course is a soft tissue problem.</t>
        </is>
      </c>
    </row>
    <row r="4">
      <c r="A4" s="4" t="inlineStr">
        <is>
          <t>4.6.1</t>
        </is>
      </c>
      <c r="B4" s="4" t="inlineStr">
        <is>
          <t>Systematic Palpation</t>
        </is>
      </c>
      <c r="C4" s="4" t="inlineStr">
        <is>
          <t>Localised tenderness over a tunnel or a device is a hardware problem only palpation finds.</t>
        </is>
      </c>
    </row>
    <row r="5">
      <c r="A5" s="4" t="inlineStr">
        <is>
          <t>4.6.1</t>
        </is>
      </c>
      <c r="B5" s="4" t="inlineStr">
        <is>
          <t>Systematic Palpation</t>
        </is>
      </c>
      <c r="C5" s="4" t="inlineStr">
        <is>
          <t>Tenderness sitting more posteriorly on the medial joint line suggests a root or meniscotibial problem.</t>
        </is>
      </c>
    </row>
    <row r="6">
      <c r="A6" s="4" t="inlineStr">
        <is>
          <t>4.6.1</t>
        </is>
      </c>
      <c r="B6" s="4" t="inlineStr">
        <is>
          <t>Systematic Palpation</t>
        </is>
      </c>
      <c r="C6" s="4" t="inlineStr">
        <is>
          <t>Tenderness over several unrelated structures is a pain presentation, not a structural one.</t>
        </is>
      </c>
    </row>
    <row r="7">
      <c r="A7" s="4" t="inlineStr">
        <is>
          <t>4.6.2</t>
        </is>
      </c>
      <c r="B7" s="4" t="inlineStr">
        <is>
          <t>Temperature Assessment</t>
        </is>
      </c>
      <c r="C7" s="4" t="inlineStr">
        <is>
          <t>A knee still warm months after surgery raises low grade infection.</t>
        </is>
      </c>
    </row>
    <row r="8">
      <c r="A8" s="4" t="inlineStr">
        <is>
          <t>4.6.2</t>
        </is>
      </c>
      <c r="B8" s="4" t="inlineStr">
        <is>
          <t>Temperature Assessment</t>
        </is>
      </c>
      <c r="C8" s="4" t="inlineStr">
        <is>
          <t>A normal inflammatory marker does not exclude it in that setting.</t>
        </is>
      </c>
    </row>
    <row r="9">
      <c r="A9" s="4" t="inlineStr">
        <is>
          <t>4.6.2</t>
        </is>
      </c>
      <c r="B9" s="4" t="inlineStr">
        <is>
          <t>Temperature Assessment</t>
        </is>
      </c>
      <c r="C9" s="4" t="inlineStr">
        <is>
          <t>A warm knee with a recurrent effusion and normal mechanics is not helped by arthroscopy.</t>
        </is>
      </c>
    </row>
    <row r="10">
      <c r="A10" s="4" t="inlineStr">
        <is>
          <t>4.6.2</t>
        </is>
      </c>
      <c r="B10" s="4" t="inlineStr">
        <is>
          <t>Temperature Assessment</t>
        </is>
      </c>
      <c r="C10" s="4" t="inlineStr">
        <is>
          <t>Immunosuppression blunts the usual signs and lowers the threshold for investigation.</t>
        </is>
      </c>
    </row>
    <row r="11">
      <c r="A11" s="4" t="inlineStr">
        <is>
          <t>4.6.2</t>
        </is>
      </c>
      <c r="B11" s="4" t="inlineStr">
        <is>
          <t>Temperature Assessment</t>
        </is>
      </c>
      <c r="C11" s="4" t="inlineStr">
        <is>
          <t>The absence of a documented vascular examination in a multiligament injury is a serious gap.</t>
        </is>
      </c>
    </row>
    <row r="12">
      <c r="A12" s="4" t="inlineStr">
        <is>
          <t>4.6.3</t>
        </is>
      </c>
      <c r="B12" s="4" t="inlineStr">
        <is>
          <t>Effusion Assessment</t>
        </is>
      </c>
      <c r="C12" s="4" t="inlineStr">
        <is>
          <t>A persistently effused knee is usually not a mechanical problem.</t>
        </is>
      </c>
    </row>
    <row r="13">
      <c r="A13" s="4" t="inlineStr">
        <is>
          <t>4.6.3</t>
        </is>
      </c>
      <c r="B13" s="4" t="inlineStr">
        <is>
          <t>Effusion Assessment</t>
        </is>
      </c>
      <c r="C13" s="4" t="inlineStr">
        <is>
          <t>An effusion after reconstruction or arthroplasty raises low grade infection.</t>
        </is>
      </c>
    </row>
    <row r="14">
      <c r="A14" s="4" t="inlineStr">
        <is>
          <t>4.6.3</t>
        </is>
      </c>
      <c r="B14" s="4" t="inlineStr">
        <is>
          <t>Effusion Assessment</t>
        </is>
      </c>
      <c r="C14" s="4" t="inlineStr">
        <is>
          <t>A chronically effused knee cannot be rehabilitated until the effusion is addressed.</t>
        </is>
      </c>
    </row>
    <row r="15">
      <c r="A15" s="4" t="inlineStr">
        <is>
          <t>4.6.3</t>
        </is>
      </c>
      <c r="B15" s="4" t="inlineStr">
        <is>
          <t>Effusion Assessment</t>
        </is>
      </c>
      <c r="C15" s="4" t="inlineStr">
        <is>
          <t>A knee that effuses only after activity may be dry in clinic.</t>
        </is>
      </c>
    </row>
    <row r="16">
      <c r="A16" s="4" t="inlineStr">
        <is>
          <t>4.6.3</t>
        </is>
      </c>
      <c r="B16" s="4" t="inlineStr">
        <is>
          <t>Effusion Assessment</t>
        </is>
      </c>
      <c r="C16" s="4" t="inlineStr">
        <is>
          <t>The documented presence or absence at presentation is frequently disputed and decisive.</t>
        </is>
      </c>
    </row>
    <row r="17">
      <c r="A17" s="4" t="inlineStr">
        <is>
          <t>4.6.4</t>
        </is>
      </c>
      <c r="B17" s="4" t="inlineStr">
        <is>
          <t>Joint Line Tenderness</t>
        </is>
      </c>
      <c r="C17" s="4" t="inlineStr">
        <is>
          <t>The precise position is often the most useful thing in the examination and is almost never recorded.</t>
        </is>
      </c>
    </row>
    <row r="18">
      <c r="A18" s="4" t="inlineStr">
        <is>
          <t>4.6.4</t>
        </is>
      </c>
      <c r="B18" s="4" t="inlineStr">
        <is>
          <t>Joint Line Tenderness</t>
        </is>
      </c>
      <c r="C18" s="4" t="inlineStr">
        <is>
          <t>Tenderness posterior to the posterior horn suggests a root avulsion or meniscotibial separation.</t>
        </is>
      </c>
    </row>
    <row r="19">
      <c r="A19" s="4" t="inlineStr">
        <is>
          <t>4.6.4</t>
        </is>
      </c>
      <c r="B19" s="4" t="inlineStr">
        <is>
          <t>Joint Line Tenderness</t>
        </is>
      </c>
      <c r="C19" s="4" t="inlineStr">
        <is>
          <t>Tenderness at an old meniscectomy site in a young patient raises early compartment change.</t>
        </is>
      </c>
    </row>
    <row r="20">
      <c r="A20" s="4" t="inlineStr">
        <is>
          <t>4.6.4</t>
        </is>
      </c>
      <c r="B20" s="4" t="inlineStr">
        <is>
          <t>Joint Line Tenderness</t>
        </is>
      </c>
      <c r="C20" s="4" t="inlineStr">
        <is>
          <t>Whole joint line tenderness with a normal arthroscopy raises the surface or a synovial process.</t>
        </is>
      </c>
    </row>
    <row r="21">
      <c r="A21" s="4" t="inlineStr">
        <is>
          <t>4.6.4</t>
        </is>
      </c>
      <c r="B21" s="4" t="inlineStr">
        <is>
          <t>Joint Line Tenderness</t>
        </is>
      </c>
      <c r="C21" s="4" t="inlineStr">
        <is>
          <t>After a repair, persistent local tenderness is expected for months.</t>
        </is>
      </c>
    </row>
    <row r="22">
      <c r="A22" s="4" t="inlineStr">
        <is>
          <t>4.6.5</t>
        </is>
      </c>
      <c r="B22" s="4" t="inlineStr">
        <is>
          <t>Patellar Tenderness</t>
        </is>
      </c>
      <c r="C22" s="4" t="inlineStr">
        <is>
          <t>Palpation localises the anterior problem that has been treated as something else.</t>
        </is>
      </c>
    </row>
    <row r="23">
      <c r="A23" s="4" t="inlineStr">
        <is>
          <t>4.6.5</t>
        </is>
      </c>
      <c r="B23" s="4" t="inlineStr">
        <is>
          <t>Patellar Tenderness</t>
        </is>
      </c>
      <c r="C23" s="4" t="inlineStr">
        <is>
          <t>Facet tenderness with stair pain in a meniscal referral changes the plan.</t>
        </is>
      </c>
    </row>
    <row r="24">
      <c r="A24" s="4" t="inlineStr">
        <is>
          <t>4.6.5</t>
        </is>
      </c>
      <c r="B24" s="4" t="inlineStr">
        <is>
          <t>Patellar Tenderness</t>
        </is>
      </c>
      <c r="C24" s="4" t="inlineStr">
        <is>
          <t>Facet tenderness with posterior cruciate deficiency is a consequence of the deficiency.</t>
        </is>
      </c>
    </row>
    <row r="25">
      <c r="A25" s="4" t="inlineStr">
        <is>
          <t>4.6.5</t>
        </is>
      </c>
      <c r="B25" s="4" t="inlineStr">
        <is>
          <t>Patellar Tenderness</t>
        </is>
      </c>
      <c r="C25" s="4" t="inlineStr">
        <is>
          <t>Tenderness over a tendon harvest site is graft site pain, not a patellar problem.</t>
        </is>
      </c>
    </row>
    <row r="26">
      <c r="A26" s="4" t="inlineStr">
        <is>
          <t>4.6.5</t>
        </is>
      </c>
      <c r="B26" s="4" t="inlineStr">
        <is>
          <t>Patellar Tenderness</t>
        </is>
      </c>
      <c r="C26" s="4" t="inlineStr">
        <is>
          <t>Medial retinacular tenderness recorded acutely is useful evidence of a dislocation.</t>
        </is>
      </c>
    </row>
    <row r="27">
      <c r="A27" s="4" t="inlineStr">
        <is>
          <t>4.6.6</t>
        </is>
      </c>
      <c r="B27" s="4" t="inlineStr">
        <is>
          <t>Tendon Tenderness</t>
        </is>
      </c>
      <c r="C27" s="4" t="inlineStr">
        <is>
          <t>Tendon tenderness explains the knee investigated intra-articularly with an extra-articular problem.</t>
        </is>
      </c>
    </row>
    <row r="28">
      <c r="A28" s="4" t="inlineStr">
        <is>
          <t>4.6.6</t>
        </is>
      </c>
      <c r="B28" s="4" t="inlineStr">
        <is>
          <t>Tendon Tenderness</t>
        </is>
      </c>
      <c r="C28" s="4" t="inlineStr">
        <is>
          <t>Donor site pain years after a reconstruction is common and under recognised.</t>
        </is>
      </c>
    </row>
    <row r="29">
      <c r="A29" s="4" t="inlineStr">
        <is>
          <t>4.6.6</t>
        </is>
      </c>
      <c r="B29" s="4" t="inlineStr">
        <is>
          <t>Tendon Tenderness</t>
        </is>
      </c>
      <c r="C29" s="4" t="inlineStr">
        <is>
          <t>Pes tenderness with compartment change means two sources of medial pain.</t>
        </is>
      </c>
    </row>
    <row r="30">
      <c r="A30" s="4" t="inlineStr">
        <is>
          <t>4.6.6</t>
        </is>
      </c>
      <c r="B30" s="4" t="inlineStr">
        <is>
          <t>Tendon Tenderness</t>
        </is>
      </c>
      <c r="C30" s="4" t="inlineStr">
        <is>
          <t>In an athlete the management belongs to load rather than to surgery.</t>
        </is>
      </c>
    </row>
    <row r="31">
      <c r="A31" s="4" t="inlineStr">
        <is>
          <t>4.6.6</t>
        </is>
      </c>
      <c r="B31" s="4" t="inlineStr">
        <is>
          <t>Tendon Tenderness</t>
        </is>
      </c>
      <c r="C31" s="4" t="inlineStr">
        <is>
          <t>A late diagnosed tendon rupture usually traces to a missing active extension test.</t>
        </is>
      </c>
    </row>
    <row r="32">
      <c r="A32" s="4" t="inlineStr">
        <is>
          <t>4.6.7</t>
        </is>
      </c>
      <c r="B32" s="4" t="inlineStr">
        <is>
          <t>Tibial Tubercle Tenderness</t>
        </is>
      </c>
      <c r="C32" s="4" t="inlineStr">
        <is>
          <t>The commonest relevance is the knee that has had a tubercle osteotomy and still hurts.</t>
        </is>
      </c>
    </row>
    <row r="33">
      <c r="A33" s="4" t="inlineStr">
        <is>
          <t>4.6.7</t>
        </is>
      </c>
      <c r="B33" s="4" t="inlineStr">
        <is>
          <t>Tibial Tubercle Tenderness</t>
        </is>
      </c>
      <c r="C33" s="4" t="inlineStr">
        <is>
          <t>Localised tenderness over a screw is prominent hardware, with a reliable small operation.</t>
        </is>
      </c>
    </row>
    <row r="34">
      <c r="A34" s="4" t="inlineStr">
        <is>
          <t>4.6.7</t>
        </is>
      </c>
      <c r="B34" s="4" t="inlineStr">
        <is>
          <t>Tibial Tubercle Tenderness</t>
        </is>
      </c>
      <c r="C34" s="4" t="inlineStr">
        <is>
          <t>A bone patellar tendon bone harvest site sits at exactly this point.</t>
        </is>
      </c>
    </row>
    <row r="35">
      <c r="A35" s="4" t="inlineStr">
        <is>
          <t>4.6.7</t>
        </is>
      </c>
      <c r="B35" s="4" t="inlineStr">
        <is>
          <t>Tibial Tubercle Tenderness</t>
        </is>
      </c>
      <c r="C35" s="4" t="inlineStr">
        <is>
          <t>Tenderness with movement at an osteotomy site suggests a non union.</t>
        </is>
      </c>
    </row>
    <row r="36">
      <c r="A36" s="4" t="inlineStr">
        <is>
          <t>4.6.7</t>
        </is>
      </c>
      <c r="B36" s="4" t="inlineStr">
        <is>
          <t>Tibial Tubercle Tenderness</t>
        </is>
      </c>
      <c r="C36" s="4" t="inlineStr">
        <is>
          <t>A late diagnosed avulsion usually traces to a missing active extension test.</t>
        </is>
      </c>
    </row>
    <row r="37">
      <c r="A37" s="4" t="inlineStr">
        <is>
          <t>4.6.8</t>
        </is>
      </c>
      <c r="B37" s="4" t="inlineStr">
        <is>
          <t>Fibular Head Tenderness</t>
        </is>
      </c>
      <c r="C37" s="4" t="inlineStr">
        <is>
          <t>Persisting tenderness over a device after corner reconstruction is prominent hardware.</t>
        </is>
      </c>
    </row>
    <row r="38">
      <c r="A38" s="4" t="inlineStr">
        <is>
          <t>4.6.8</t>
        </is>
      </c>
      <c r="B38" s="4" t="inlineStr">
        <is>
          <t>Fibular Head Tenderness</t>
        </is>
      </c>
      <c r="C38" s="4" t="inlineStr">
        <is>
          <t>A partial nerve deficit after corner surgery is an operative injury or a compressive problem.</t>
        </is>
      </c>
    </row>
    <row r="39">
      <c r="A39" s="4" t="inlineStr">
        <is>
          <t>4.6.8</t>
        </is>
      </c>
      <c r="B39" s="4" t="inlineStr">
        <is>
          <t>Fibular Head Tenderness</t>
        </is>
      </c>
      <c r="C39" s="4" t="inlineStr">
        <is>
          <t>A foot drop with no injury is a compressive lesion until proven otherwise.</t>
        </is>
      </c>
    </row>
    <row r="40">
      <c r="A40" s="4" t="inlineStr">
        <is>
          <t>4.6.8</t>
        </is>
      </c>
      <c r="B40" s="4" t="inlineStr">
        <is>
          <t>Fibular Head Tenderness</t>
        </is>
      </c>
      <c r="C40" s="4" t="inlineStr">
        <is>
          <t>Previous fibular surgery means the attachments may not be where they are palpated for.</t>
        </is>
      </c>
    </row>
    <row r="41">
      <c r="A41" s="4" t="inlineStr">
        <is>
          <t>4.6.8</t>
        </is>
      </c>
      <c r="B41" s="4" t="inlineStr">
        <is>
          <t>Fibular Head Tenderness</t>
        </is>
      </c>
      <c r="C41" s="4" t="inlineStr">
        <is>
          <t>An undocumented nerve examination in a lateral injury is a serious gap in a record.</t>
        </is>
      </c>
    </row>
    <row r="42">
      <c r="A42" s="4" t="inlineStr">
        <is>
          <t>4.6.9</t>
        </is>
      </c>
      <c r="B42" s="4" t="inlineStr">
        <is>
          <t>Posterior Knee Palpation</t>
        </is>
      </c>
      <c r="C42" s="4" t="inlineStr">
        <is>
          <t>Doing the posterior examination answers a proportion of referrals outright.</t>
        </is>
      </c>
    </row>
    <row r="43">
      <c r="A43" s="4" t="inlineStr">
        <is>
          <t>4.6.9</t>
        </is>
      </c>
      <c r="B43" s="4" t="inlineStr">
        <is>
          <t>Posterior Knee Palpation</t>
        </is>
      </c>
      <c r="C43" s="4" t="inlineStr">
        <is>
          <t>A persisting posteromedial complaint after reconstruction is an unaddressed corner.</t>
        </is>
      </c>
    </row>
    <row r="44">
      <c r="A44" s="4" t="inlineStr">
        <is>
          <t>4.6.9</t>
        </is>
      </c>
      <c r="B44" s="4" t="inlineStr">
        <is>
          <t>Posterior Knee Palpation</t>
        </is>
      </c>
      <c r="C44" s="4" t="inlineStr">
        <is>
          <t>A popliteal mass that does not change with knee position needs imaging rather than reassurance.</t>
        </is>
      </c>
    </row>
    <row r="45">
      <c r="A45" s="4" t="inlineStr">
        <is>
          <t>4.6.9</t>
        </is>
      </c>
      <c r="B45" s="4" t="inlineStr">
        <is>
          <t>Posterior Knee Palpation</t>
        </is>
      </c>
      <c r="C45" s="4" t="inlineStr">
        <is>
          <t>Distal symptoms with a popliteal mass mean a compressive lesion.</t>
        </is>
      </c>
    </row>
    <row r="46">
      <c r="A46" s="4" t="inlineStr">
        <is>
          <t>4.6.9</t>
        </is>
      </c>
      <c r="B46" s="4" t="inlineStr">
        <is>
          <t>Posterior Knee Palpation</t>
        </is>
      </c>
      <c r="C46" s="4" t="inlineStr">
        <is>
          <t>The absence of any recorded posterior examination is a reasonable criticism of a record.</t>
        </is>
      </c>
    </row>
    <row r="47">
      <c r="A47" s="4" t="inlineStr">
        <is>
          <t>4.6.10</t>
        </is>
      </c>
      <c r="B47" s="4" t="inlineStr">
        <is>
          <t>Popliteal Fossa Examination</t>
        </is>
      </c>
      <c r="C47" s="4" t="inlineStr">
        <is>
          <t>A recurrent cyst after excision has an unaddressed intra-articular cause.</t>
        </is>
      </c>
    </row>
    <row r="48">
      <c r="A48" s="4" t="inlineStr">
        <is>
          <t>4.6.10</t>
        </is>
      </c>
      <c r="B48" s="4" t="inlineStr">
        <is>
          <t>Popliteal Fossa Examination</t>
        </is>
      </c>
      <c r="C48" s="4" t="inlineStr">
        <is>
          <t>A firm mass called a cyst for months has had a diagnosis rather than an examination.</t>
        </is>
      </c>
    </row>
    <row r="49">
      <c r="A49" s="4" t="inlineStr">
        <is>
          <t>4.6.10</t>
        </is>
      </c>
      <c r="B49" s="4" t="inlineStr">
        <is>
          <t>Popliteal Fossa Examination</t>
        </is>
      </c>
      <c r="C49" s="4" t="inlineStr">
        <is>
          <t>A foot drop with a mass at the fibular neck is a compressive ganglion.</t>
        </is>
      </c>
    </row>
    <row r="50">
      <c r="A50" s="4" t="inlineStr">
        <is>
          <t>4.6.10</t>
        </is>
      </c>
      <c r="B50" s="4" t="inlineStr">
        <is>
          <t>Popliteal Fossa Examination</t>
        </is>
      </c>
      <c r="C50" s="4" t="inlineStr">
        <is>
          <t>After posterior surgery a mass may be a pseudoaneurysm rather than a cyst.</t>
        </is>
      </c>
    </row>
    <row r="51">
      <c r="A51" s="4" t="inlineStr">
        <is>
          <t>4.6.10</t>
        </is>
      </c>
      <c r="B51" s="4" t="inlineStr">
        <is>
          <t>Popliteal Fossa Examination</t>
        </is>
      </c>
      <c r="C51" s="4" t="inlineStr">
        <is>
          <t>An undocumented vascular examination in a dislocated knee is among the most serious omissions.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4.6.1-P1</t>
        </is>
      </c>
      <c r="B3" s="4" t="inlineStr">
        <is>
          <t>4.6.1</t>
        </is>
      </c>
      <c r="C3" s="4" t="inlineStr">
        <is>
          <t>medical_student</t>
        </is>
      </c>
      <c r="D3" s="4" t="inlineStr">
        <is>
          <t>Start with temperature, with the back of the hand, comparing both knees and the thigh and calf of each.</t>
        </is>
      </c>
      <c r="E3" s="4" t="inlineStr"/>
      <c r="F3" s="4" t="inlineStr"/>
      <c r="G3" s="4" t="inlineStr"/>
    </row>
    <row r="4">
      <c r="A4" s="4" t="inlineStr">
        <is>
          <t>4.6.1-P2</t>
        </is>
      </c>
      <c r="B4" s="4" t="inlineStr">
        <is>
          <t>4.6.1</t>
        </is>
      </c>
      <c r="C4" s="4" t="inlineStr">
        <is>
          <t>medical_student</t>
        </is>
      </c>
      <c r="D4" s="4" t="inlineStr">
        <is>
          <t>Assess for an effusion before anything that hurts, because a tender knee stops cooperating.</t>
        </is>
      </c>
      <c r="E4" s="4" t="inlineStr"/>
      <c r="F4" s="4" t="inlineStr"/>
      <c r="G4" s="4" t="inlineStr"/>
    </row>
    <row r="5">
      <c r="A5" s="4" t="inlineStr">
        <is>
          <t>4.6.1-P3</t>
        </is>
      </c>
      <c r="B5" s="4" t="inlineStr">
        <is>
          <t>4.6.1</t>
        </is>
      </c>
      <c r="C5" s="4" t="inlineStr">
        <is>
          <t>fellowship</t>
        </is>
      </c>
      <c r="D5" s="4" t="inlineStr">
        <is>
          <t>In medicolegal work a recorded tender point is weak evidence, since tenderness is a reported symptom rather than an observed sign, and that limit should be stated.</t>
        </is>
      </c>
      <c r="E5" s="4" t="inlineStr"/>
      <c r="F5" s="4" t="inlineStr"/>
      <c r="G5" s="4" t="inlineStr"/>
    </row>
    <row r="6">
      <c r="A6" s="4" t="inlineStr">
        <is>
          <t>4.6.2-P1</t>
        </is>
      </c>
      <c r="B6" s="4" t="inlineStr">
        <is>
          <t>4.6.2</t>
        </is>
      </c>
      <c r="C6" s="4" t="inlineStr">
        <is>
          <t>medical_student</t>
        </is>
      </c>
      <c r="D6" s="4" t="inlineStr">
        <is>
          <t>Use the back of the hand, which is more sensitive to temperature than the palm.</t>
        </is>
      </c>
      <c r="E6" s="4" t="inlineStr"/>
      <c r="F6" s="4" t="inlineStr"/>
      <c r="G6" s="4" t="inlineStr"/>
    </row>
    <row r="7">
      <c r="A7" s="4" t="inlineStr">
        <is>
          <t>4.6.2-P2</t>
        </is>
      </c>
      <c r="B7" s="4" t="inlineStr">
        <is>
          <t>4.6.2</t>
        </is>
      </c>
      <c r="C7" s="4" t="inlineStr">
        <is>
          <t>medical_student</t>
        </is>
      </c>
      <c r="D7" s="4" t="inlineStr">
        <is>
          <t>Compare the two knees directly, moving between them rather than assessing one and then the other.</t>
        </is>
      </c>
      <c r="E7" s="4" t="inlineStr"/>
      <c r="F7" s="4" t="inlineStr"/>
      <c r="G7" s="4" t="inlineStr"/>
    </row>
    <row r="8">
      <c r="A8" s="4" t="inlineStr">
        <is>
          <t>4.6.2-P3</t>
        </is>
      </c>
      <c r="B8" s="4" t="inlineStr">
        <is>
          <t>4.6.2</t>
        </is>
      </c>
      <c r="C8" s="4" t="inlineStr">
        <is>
          <t>medical_student</t>
        </is>
      </c>
      <c r="D8" s="4" t="inlineStr">
        <is>
          <t>Compare each knee with the thigh and the calf of the same limb, since a warm knee against a warm limb is different from a warm knee against a cool one.</t>
        </is>
      </c>
      <c r="E8" s="4" t="inlineStr"/>
      <c r="F8" s="4" t="inlineStr"/>
      <c r="G8" s="4" t="inlineStr"/>
    </row>
    <row r="9">
      <c r="A9" s="4" t="inlineStr">
        <is>
          <t>4.6.2-P4</t>
        </is>
      </c>
      <c r="B9" s="4" t="inlineStr">
        <is>
          <t>4.6.2</t>
        </is>
      </c>
      <c r="C9" s="4" t="inlineStr">
        <is>
          <t>medical_student</t>
        </is>
      </c>
      <c r="D9" s="4" t="inlineStr">
        <is>
          <t>Use the back of the hand and compare the two knees directly.</t>
        </is>
      </c>
      <c r="E9" s="4" t="inlineStr"/>
      <c r="F9" s="4" t="inlineStr"/>
      <c r="G9" s="4" t="inlineStr"/>
    </row>
    <row r="10">
      <c r="A10" s="4" t="inlineStr">
        <is>
          <t>4.6.3-P1</t>
        </is>
      </c>
      <c r="B10" s="4" t="inlineStr">
        <is>
          <t>4.6.3</t>
        </is>
      </c>
      <c r="C10" s="4" t="inlineStr">
        <is>
          <t>medical_student</t>
        </is>
      </c>
      <c r="D10" s="4" t="inlineStr">
        <is>
          <t>With the patient supine and the knee extended, place one hand above the patella and milk the suprapatellar pouch downwards.</t>
        </is>
      </c>
      <c r="E10" s="4" t="inlineStr"/>
      <c r="F10" s="4" t="inlineStr"/>
      <c r="G10" s="4" t="inlineStr"/>
    </row>
    <row r="11">
      <c r="A11" s="4" t="inlineStr">
        <is>
          <t>4.6.4-P1</t>
        </is>
      </c>
      <c r="B11" s="4" t="inlineStr">
        <is>
          <t>4.6.4</t>
        </is>
      </c>
      <c r="C11" s="4" t="inlineStr">
        <is>
          <t>medical_student</t>
        </is>
      </c>
      <c r="D11" s="4" t="inlineStr">
        <is>
          <t>Repeat with the knee in a different flexion angle if the tenderness is posterior, since deeper flexion brings the posterior horns more accessible.</t>
        </is>
      </c>
      <c r="E11" s="4" t="inlineStr"/>
      <c r="F11" s="4" t="inlineStr"/>
      <c r="G11" s="4" t="inlineStr"/>
    </row>
    <row r="12">
      <c r="A12" s="4" t="inlineStr">
        <is>
          <t>4.6.4-P2</t>
        </is>
      </c>
      <c r="B12" s="4" t="inlineStr">
        <is>
          <t>4.6.4</t>
        </is>
      </c>
      <c r="C12" s="4" t="inlineStr">
        <is>
          <t>medical_student</t>
        </is>
      </c>
      <c r="D12" s="4" t="inlineStr">
        <is>
          <t>Record the location precisely, because anterior, mid and posterior joint line tenderness mean different things.</t>
        </is>
      </c>
      <c r="E12" s="4" t="inlineStr"/>
      <c r="F12" s="4" t="inlineStr"/>
      <c r="G12" s="4" t="inlineStr"/>
    </row>
    <row r="13">
      <c r="A13" s="4" t="inlineStr">
        <is>
          <t>4.6.4-P3</t>
        </is>
      </c>
      <c r="B13" s="4" t="inlineStr">
        <is>
          <t>4.6.4</t>
        </is>
      </c>
      <c r="C13" s="4" t="inlineStr">
        <is>
          <t>fellowship</t>
        </is>
      </c>
      <c r="D13" s="4" t="inlineStr">
        <is>
          <t>In medicolegal work tenderness is a reported symptom rather than an observed sign, and that limit should be stated when an opinion rests on it.</t>
        </is>
      </c>
      <c r="E13" s="4" t="inlineStr"/>
      <c r="F13" s="4" t="inlineStr"/>
      <c r="G13" s="4" t="inlineStr"/>
    </row>
    <row r="14">
      <c r="A14" s="4" t="inlineStr">
        <is>
          <t>4.6.6-P1</t>
        </is>
      </c>
      <c r="B14" s="4" t="inlineStr">
        <is>
          <t>4.6.6</t>
        </is>
      </c>
      <c r="C14" s="4" t="inlineStr">
        <is>
          <t>medical_student</t>
        </is>
      </c>
      <c r="D14" s="4" t="inlineStr">
        <is>
          <t>Ask the patient to contract against resistance in each case, since a painful resisted contraction localises to the tendon rather than to the joint.</t>
        </is>
      </c>
      <c r="E14" s="4" t="inlineStr"/>
      <c r="F14" s="4" t="inlineStr"/>
      <c r="G14" s="4" t="inlineStr"/>
    </row>
    <row r="15">
      <c r="A15" s="4" t="inlineStr">
        <is>
          <t>4.6.7-P1</t>
        </is>
      </c>
      <c r="B15" s="4" t="inlineStr">
        <is>
          <t>4.6.7</t>
        </is>
      </c>
      <c r="C15" s="4" t="inlineStr">
        <is>
          <t>medical_student</t>
        </is>
      </c>
      <c r="D15" s="4" t="inlineStr">
        <is>
          <t>Ask the patient to extend the knee against resistance and note whether that reproduces the pain, which localises it to the insertion.</t>
        </is>
      </c>
      <c r="E15" s="4" t="inlineStr"/>
      <c r="F15" s="4" t="inlineStr"/>
      <c r="G15" s="4" t="inlineStr"/>
    </row>
    <row r="16">
      <c r="A16" s="4" t="inlineStr">
        <is>
          <t>4.6.8-P1</t>
        </is>
      </c>
      <c r="B16" s="4" t="inlineStr">
        <is>
          <t>4.6.8</t>
        </is>
      </c>
      <c r="C16" s="4" t="inlineStr">
        <is>
          <t>medical_student</t>
        </is>
      </c>
      <c r="D16" s="4" t="inlineStr">
        <is>
          <t>Examine the common peroneal nerve: ankle dorsiflexion, great toe extension and sensation over the dorsum of the foot.</t>
        </is>
      </c>
      <c r="E16" s="4" t="inlineStr"/>
      <c r="F16" s="4" t="inlineStr"/>
      <c r="G16" s="4" t="inlineStr"/>
    </row>
    <row r="17">
      <c r="A17" s="4" t="inlineStr">
        <is>
          <t>4.6.10-P1</t>
        </is>
      </c>
      <c r="B17" s="4" t="inlineStr">
        <is>
          <t>4.6.10</t>
        </is>
      </c>
      <c r="C17" s="4" t="inlineStr">
        <is>
          <t>medical_student</t>
        </is>
      </c>
      <c r="D17" s="4" t="inlineStr">
        <is>
          <t>Examine the foot: the pulses, the temperature, the sensation and the motor function, because a mass or an arterial problem shows itself distally.</t>
        </is>
      </c>
      <c r="E17" s="4" t="inlineStr"/>
      <c r="F17" s="4" t="inlineStr"/>
      <c r="G17" s="4" t="inlineStr"/>
    </row>
  </sheetData>
  <dataValidations count="1">
    <dataValidation sqref="E3:E17"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4.6.1-F1</t>
        </is>
      </c>
      <c r="B3" s="4" t="inlineStr">
        <is>
          <t>4.6.1</t>
        </is>
      </c>
      <c r="C3" s="4" t="inlineStr">
        <is>
          <t>medical_student</t>
        </is>
      </c>
      <c r="D3" s="4" t="inlineStr">
        <is>
          <t>ninety degrees</t>
        </is>
      </c>
      <c r="E3" s="4" t="inlineStr">
        <is>
          <t>With the knee flexed to ninety degrees, palpate the joint line from the patellar tendon round medially to the posteromedial corner, then from the tendon round laterally.</t>
        </is>
      </c>
      <c r="F3" s="4" t="inlineStr"/>
      <c r="G3" s="4" t="inlineStr"/>
      <c r="H3" s="4" t="inlineStr"/>
    </row>
    <row r="4">
      <c r="A4" s="4" t="inlineStr">
        <is>
          <t>4.6.4-F1</t>
        </is>
      </c>
      <c r="B4" s="4" t="inlineStr">
        <is>
          <t>4.6.4</t>
        </is>
      </c>
      <c r="C4" s="4" t="inlineStr">
        <is>
          <t>medical_student</t>
        </is>
      </c>
      <c r="D4" s="4" t="inlineStr">
        <is>
          <t>ninety degrees</t>
        </is>
      </c>
      <c r="E4" s="4" t="inlineStr">
        <is>
          <t>Flex the knee to about ninety degrees with the foot on the couch, which opens the joint line and brings the anterior horns forward.</t>
        </is>
      </c>
      <c r="F4" s="4" t="inlineStr"/>
      <c r="G4" s="4" t="inlineStr"/>
      <c r="H4" s="4" t="inlineStr"/>
    </row>
    <row r="5">
      <c r="A5" s="4" t="inlineStr">
        <is>
          <t>4.6.5-F1</t>
        </is>
      </c>
      <c r="B5" s="4" t="inlineStr">
        <is>
          <t>4.6.5</t>
        </is>
      </c>
      <c r="C5" s="4" t="inlineStr">
        <is>
          <t>medical_student</t>
        </is>
      </c>
      <c r="D5" s="4" t="inlineStr">
        <is>
          <t>ninety degrees</t>
        </is>
      </c>
      <c r="E5" s="4" t="inlineStr">
        <is>
          <t>Flex the knee to ninety degrees and palpate the patellar tendon under tension, then extend it again and palpate the tendon relaxed, since tendon tenderness changes with tension.</t>
        </is>
      </c>
      <c r="F5" s="4" t="inlineStr"/>
      <c r="G5" s="4" t="inlineStr"/>
      <c r="H5" s="4" t="inlineStr"/>
    </row>
    <row r="6">
      <c r="A6" s="4" t="inlineStr">
        <is>
          <t>4.6.7-F1</t>
        </is>
      </c>
      <c r="B6" s="4" t="inlineStr">
        <is>
          <t>4.6.7</t>
        </is>
      </c>
      <c r="C6" s="4" t="inlineStr">
        <is>
          <t>medical_student</t>
        </is>
      </c>
      <c r="D6" s="4" t="inlineStr">
        <is>
          <t>ninety degrees</t>
        </is>
      </c>
      <c r="E6" s="4" t="inlineStr">
        <is>
          <t>With the knee flexed to about ninety degrees, find the tubercle as the bony prominence below the patella where the tendon inserts.</t>
        </is>
      </c>
      <c r="F6" s="4" t="inlineStr"/>
      <c r="G6" s="4" t="inlineStr"/>
      <c r="H6" s="4" t="inlineStr"/>
    </row>
    <row r="7">
      <c r="A7" s="4" t="inlineStr">
        <is>
          <t>4.6.9-F1</t>
        </is>
      </c>
      <c r="B7" s="4" t="inlineStr">
        <is>
          <t>4.6.9</t>
        </is>
      </c>
      <c r="C7" s="4" t="inlineStr">
        <is>
          <t>medical_student</t>
        </is>
      </c>
      <c r="D7" s="4" t="inlineStr">
        <is>
          <t>ninety degrees</t>
        </is>
      </c>
      <c r="E7" s="4" t="inlineStr">
        <is>
          <t>With the patient supine and the knee flexed to about ninety degrees, reach behind the knee with both hands and palpate the posterior joint line medially and laterally.</t>
        </is>
      </c>
      <c r="F7" s="4" t="inlineStr"/>
      <c r="G7" s="4" t="inlineStr"/>
      <c r="H7" s="4" t="inlineStr"/>
    </row>
  </sheetData>
  <dataValidations count="1">
    <dataValidation sqref="F3:F7"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15</f>
        <v/>
      </c>
      <c r="C2" s="3">
        <f>5</f>
        <v/>
      </c>
    </row>
    <row r="3">
      <c r="A3" s="2" t="inlineStr">
        <is>
          <t>Decided</t>
        </is>
      </c>
      <c r="B3" s="3">
        <f>COUNTIF(Recommendations!E3:E17,"&lt;&gt;")</f>
        <v/>
      </c>
      <c r="C3" s="3">
        <f>COUNTIF(Measurements!F3:F7,"&lt;&gt;")</f>
        <v/>
      </c>
    </row>
    <row r="4">
      <c r="A4" s="2" t="inlineStr">
        <is>
          <t>Still blank</t>
        </is>
      </c>
      <c r="B4" s="3">
        <f>B2-B3</f>
        <v/>
      </c>
      <c r="C4" s="3">
        <f>C2-C3</f>
        <v/>
      </c>
    </row>
    <row r="5">
      <c r="A5" s="2" t="inlineStr">
        <is>
          <t>CONFIRMED</t>
        </is>
      </c>
      <c r="B5" s="3">
        <f>COUNTIF(Recommendations!E3:E17,"CONFIRMED")</f>
        <v/>
      </c>
      <c r="C5" s="3" t="inlineStr"/>
    </row>
    <row r="6">
      <c r="A6" s="2" t="inlineStr">
        <is>
          <t>AMENDED</t>
        </is>
      </c>
      <c r="B6" s="3">
        <f>COUNTIF(Recommendations!E3:E17,"AMENDED")</f>
        <v/>
      </c>
      <c r="C6" s="3" t="inlineStr"/>
    </row>
    <row r="7">
      <c r="A7" s="2" t="inlineStr">
        <is>
          <t>WITHDRAWN</t>
        </is>
      </c>
      <c r="B7" s="3">
        <f>COUNTIF(Recommendations!E3:E17,"WITHDRAWN")</f>
        <v/>
      </c>
      <c r="C7" s="3" t="inlineStr"/>
    </row>
    <row r="8">
      <c r="A8" s="2" t="inlineStr">
        <is>
          <t>NOT_CLINICAL</t>
        </is>
      </c>
      <c r="B8" s="3">
        <f>COUNTIF(Recommendations!E3:E17,"NOT_CLINICAL")</f>
        <v/>
      </c>
      <c r="C8" s="3" t="inlineStr"/>
    </row>
    <row r="9">
      <c r="A9" s="2" t="inlineStr">
        <is>
          <t>VERIFIED</t>
        </is>
      </c>
      <c r="B9" s="3" t="inlineStr"/>
      <c r="C9" s="3">
        <f>COUNTIF(Measurements!F3:F7,"VERIFIED")</f>
        <v/>
      </c>
    </row>
    <row r="10">
      <c r="A10" s="2" t="inlineStr">
        <is>
          <t>CORRECTED</t>
        </is>
      </c>
      <c r="B10" s="3" t="inlineStr"/>
      <c r="C10" s="3">
        <f>COUNTIF(Measurements!F3:F7,"CORRECTED")</f>
        <v/>
      </c>
    </row>
    <row r="11">
      <c r="A11" s="2" t="inlineStr">
        <is>
          <t>REMOVED</t>
        </is>
      </c>
      <c r="B11" s="3" t="inlineStr"/>
      <c r="C11" s="3">
        <f>COUNTIF(Measurements!F3:F7,"REMOVED")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2026-10-12T21:22:16Z</dcterms:created>
  <dcterms:modified xmlns:dcterms="http://purl.org/dc/terms/" xmlns:xsi="http://www.w3.org/2001/XMLSchema-instance" xsi:type="dcterms:W3CDTF">2026-10-12T21:22:16Z</dcterms:modified>
</cp:coreProperties>
</file>