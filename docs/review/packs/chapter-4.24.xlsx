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4.24 Landmark Examination Papers</t>
        </is>
      </c>
    </row>
    <row r="3">
      <c r="A3" s="2" t="inlineStr">
        <is>
          <t>Section</t>
        </is>
      </c>
      <c r="B3" s="3" t="inlineStr">
        <is>
          <t>4</t>
        </is>
      </c>
    </row>
    <row r="4">
      <c r="A4" s="2" t="inlineStr">
        <is>
          <t>Chapter</t>
        </is>
      </c>
      <c r="B4" s="3" t="inlineStr">
        <is>
          <t>4.24 Landmark Examination Papers</t>
        </is>
      </c>
    </row>
    <row r="5">
      <c r="A5" s="2" t="inlineStr">
        <is>
          <t>Pages</t>
        </is>
      </c>
      <c r="B5" s="3" t="n">
        <v>6</v>
      </c>
    </row>
    <row r="6">
      <c r="A6" s="2" t="inlineStr">
        <is>
          <t>Page type</t>
        </is>
      </c>
      <c r="B6" s="3" t="inlineStr">
        <is>
          <t>landmark_papers</t>
        </is>
      </c>
    </row>
    <row r="7">
      <c r="A7" s="2" t="inlineStr">
        <is>
          <t>Tiers</t>
        </is>
      </c>
      <c r="B7" s="3" t="inlineStr">
        <is>
          <t>medical student, mrcs, frcs, fellowship</t>
        </is>
      </c>
    </row>
    <row r="8">
      <c r="A8" s="2" t="inlineStr">
        <is>
          <t>Words</t>
        </is>
      </c>
      <c r="B8" s="3" t="inlineStr">
        <is>
          <t>7,437</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0</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4.24.1</t>
        </is>
      </c>
      <c r="B2" s="6" t="inlineStr">
        <is>
          <t>Lachman Literature</t>
        </is>
      </c>
      <c r="C2" s="6" t="n">
        <v>4</v>
      </c>
      <c r="D2" s="6" t="n">
        <v>1250</v>
      </c>
      <c r="E2" s="6" t="inlineStr">
        <is>
          <t>examination/lachman-literature.html</t>
        </is>
      </c>
    </row>
    <row r="3">
      <c r="A3" s="6" t="inlineStr">
        <is>
          <t>4.24.2</t>
        </is>
      </c>
      <c r="B3" s="6" t="inlineStr">
        <is>
          <t>Pivot Shift Literature</t>
        </is>
      </c>
      <c r="C3" s="6" t="n">
        <v>4</v>
      </c>
      <c r="D3" s="6" t="n">
        <v>1183</v>
      </c>
      <c r="E3" s="6" t="inlineStr">
        <is>
          <t>examination/pivot-shift-literature.html</t>
        </is>
      </c>
    </row>
    <row r="4">
      <c r="A4" s="6" t="inlineStr">
        <is>
          <t>4.24.3</t>
        </is>
      </c>
      <c r="B4" s="6" t="inlineStr">
        <is>
          <t>Meniscal Test Literature</t>
        </is>
      </c>
      <c r="C4" s="6" t="n">
        <v>4</v>
      </c>
      <c r="D4" s="6" t="n">
        <v>1269</v>
      </c>
      <c r="E4" s="6" t="inlineStr">
        <is>
          <t>examination/meniscal-test-literature.html</t>
        </is>
      </c>
    </row>
    <row r="5">
      <c r="A5" s="6" t="inlineStr">
        <is>
          <t>4.24.4</t>
        </is>
      </c>
      <c r="B5" s="6" t="inlineStr">
        <is>
          <t>Patellofemoral Literature</t>
        </is>
      </c>
      <c r="C5" s="6" t="n">
        <v>4</v>
      </c>
      <c r="D5" s="6" t="n">
        <v>1189</v>
      </c>
      <c r="E5" s="6" t="inlineStr">
        <is>
          <t>examination/patellofemoral-literature.html</t>
        </is>
      </c>
    </row>
    <row r="6">
      <c r="A6" s="6" t="inlineStr">
        <is>
          <t>4.24.5</t>
        </is>
      </c>
      <c r="B6" s="6" t="inlineStr">
        <is>
          <t>Functional Testing Literature</t>
        </is>
      </c>
      <c r="C6" s="6" t="n">
        <v>4</v>
      </c>
      <c r="D6" s="6" t="n">
        <v>1231</v>
      </c>
      <c r="E6" s="6" t="inlineStr">
        <is>
          <t>examination/functional-testing-literature.html</t>
        </is>
      </c>
    </row>
    <row r="7">
      <c r="A7" s="6" t="inlineStr">
        <is>
          <t>4.24.6</t>
        </is>
      </c>
      <c r="B7" s="6" t="inlineStr">
        <is>
          <t>Future Directions in Knee Examination</t>
        </is>
      </c>
      <c r="C7" s="6" t="n">
        <v>4</v>
      </c>
      <c r="D7" s="6" t="n">
        <v>1315</v>
      </c>
      <c r="E7" s="6" t="inlineStr">
        <is>
          <t>examination/future-directions-in-knee-examination.html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4.24.1</t>
        </is>
      </c>
      <c r="B2" s="4" t="inlineStr">
        <is>
          <t>Lachman Literature</t>
        </is>
      </c>
      <c r="C2" s="4" t="inlineStr">
        <is>
          <t>The position is settled and the grading is not.</t>
        </is>
      </c>
    </row>
    <row r="3">
      <c r="A3" s="4" t="inlineStr">
        <is>
          <t>4.24.1</t>
        </is>
      </c>
      <c r="B3" s="4" t="inlineStr">
        <is>
          <t>Lachman Literature</t>
        </is>
      </c>
      <c r="C3" s="4" t="inlineStr">
        <is>
          <t>Measured laxity and symptomatic instability remain loosely related.</t>
        </is>
      </c>
    </row>
    <row r="4">
      <c r="A4" s="4" t="inlineStr">
        <is>
          <t>4.24.1</t>
        </is>
      </c>
      <c r="B4" s="4" t="inlineStr">
        <is>
          <t>Lachman Literature</t>
        </is>
      </c>
      <c r="C4" s="4" t="inlineStr">
        <is>
          <t>The partial tear is still clinically indistinguishable.</t>
        </is>
      </c>
    </row>
    <row r="5">
      <c r="A5" s="4" t="inlineStr">
        <is>
          <t>4.24.1</t>
        </is>
      </c>
      <c r="B5" s="4" t="inlineStr">
        <is>
          <t>Lachman Literature</t>
        </is>
      </c>
      <c r="C5" s="4" t="inlineStr">
        <is>
          <t>Serial examination of one knee is a use the comparative work did not study.</t>
        </is>
      </c>
    </row>
    <row r="6">
      <c r="A6" s="4" t="inlineStr">
        <is>
          <t>4.24.1</t>
        </is>
      </c>
      <c r="B6" s="4" t="inlineStr">
        <is>
          <t>Lachman Literature</t>
        </is>
      </c>
      <c r="C6" s="4" t="inlineStr">
        <is>
          <t>Chapter 3.17 carries the biomechanical literature behind this page.</t>
        </is>
      </c>
    </row>
    <row r="7">
      <c r="A7" s="4" t="inlineStr">
        <is>
          <t>4.24.2</t>
        </is>
      </c>
      <c r="B7" s="4" t="inlineStr">
        <is>
          <t>Pivot Shift Literature</t>
        </is>
      </c>
      <c r="C7" s="4" t="inlineStr">
        <is>
          <t>A decision rests on the least reproducible quantity in the section.</t>
        </is>
      </c>
    </row>
    <row r="8">
      <c r="A8" s="4" t="inlineStr">
        <is>
          <t>4.24.2</t>
        </is>
      </c>
      <c r="B8" s="4" t="inlineStr">
        <is>
          <t>Pivot Shift Literature</t>
        </is>
      </c>
      <c r="C8" s="4" t="inlineStr">
        <is>
          <t>The post reconstruction shift inherits the same problem.</t>
        </is>
      </c>
    </row>
    <row r="9">
      <c r="A9" s="4" t="inlineStr">
        <is>
          <t>4.24.2</t>
        </is>
      </c>
      <c r="B9" s="4" t="inlineStr">
        <is>
          <t>Pivot Shift Literature</t>
        </is>
      </c>
      <c r="C9" s="4" t="inlineStr">
        <is>
          <t>Residual shift and reported instability remain loosely related.</t>
        </is>
      </c>
    </row>
    <row r="10">
      <c r="A10" s="4" t="inlineStr">
        <is>
          <t>4.24.2</t>
        </is>
      </c>
      <c r="B10" s="4" t="inlineStr">
        <is>
          <t>Pivot Shift Literature</t>
        </is>
      </c>
      <c r="C10" s="4" t="inlineStr">
        <is>
          <t>Reproducible measurement requires the knee the patient does not use.</t>
        </is>
      </c>
    </row>
    <row r="11">
      <c r="A11" s="4" t="inlineStr">
        <is>
          <t>4.24.2</t>
        </is>
      </c>
      <c r="B11" s="4" t="inlineStr">
        <is>
          <t>Pivot Shift Literature</t>
        </is>
      </c>
      <c r="C11" s="4" t="inlineStr">
        <is>
          <t>Chapter 3.17 carries the mechanics behind the finding.</t>
        </is>
      </c>
    </row>
    <row r="12">
      <c r="A12" s="4" t="inlineStr">
        <is>
          <t>4.24.3</t>
        </is>
      </c>
      <c r="B12" s="4" t="inlineStr">
        <is>
          <t>Meniscal Test Literature</t>
        </is>
      </c>
      <c r="C12" s="4" t="inlineStr">
        <is>
          <t>Validation in knees selected for arthroscopy inflates apparent performance.</t>
        </is>
      </c>
    </row>
    <row r="13">
      <c r="A13" s="4" t="inlineStr">
        <is>
          <t>4.24.3</t>
        </is>
      </c>
      <c r="B13" s="4" t="inlineStr">
        <is>
          <t>Meniscal Test Literature</t>
        </is>
      </c>
      <c r="C13" s="4" t="inlineStr">
        <is>
          <t>A positive test in a worn knee can answer a question nobody asked.</t>
        </is>
      </c>
    </row>
    <row r="14">
      <c r="A14" s="4" t="inlineStr">
        <is>
          <t>4.24.3</t>
        </is>
      </c>
      <c r="B14" s="4" t="inlineStr">
        <is>
          <t>Meniscal Test Literature</t>
        </is>
      </c>
      <c r="C14" s="4" t="inlineStr">
        <is>
          <t>The classical tests do not detect a root tear reliably.</t>
        </is>
      </c>
    </row>
    <row r="15">
      <c r="A15" s="4" t="inlineStr">
        <is>
          <t>4.24.3</t>
        </is>
      </c>
      <c r="B15" s="4" t="inlineStr">
        <is>
          <t>Meniscal Test Literature</t>
        </is>
      </c>
      <c r="C15" s="4" t="inlineStr">
        <is>
          <t>Extrusion is the consequence that matters and is clinically undetectable.</t>
        </is>
      </c>
    </row>
    <row r="16">
      <c r="A16" s="4" t="inlineStr">
        <is>
          <t>4.24.3</t>
        </is>
      </c>
      <c r="B16" s="4" t="inlineStr">
        <is>
          <t>Meniscal Test Literature</t>
        </is>
      </c>
      <c r="C16" s="4" t="inlineStr">
        <is>
          <t>This chapter's value is largely a warning.</t>
        </is>
      </c>
    </row>
    <row r="17">
      <c r="A17" s="4" t="inlineStr">
        <is>
          <t>4.24.4</t>
        </is>
      </c>
      <c r="B17" s="4" t="inlineStr">
        <is>
          <t>Patellofemoral Literature</t>
        </is>
      </c>
      <c r="C17" s="4" t="inlineStr">
        <is>
          <t>This is the section's clearest example of imaging displacing an examination.</t>
        </is>
      </c>
    </row>
    <row r="18">
      <c r="A18" s="4" t="inlineStr">
        <is>
          <t>4.24.4</t>
        </is>
      </c>
      <c r="B18" s="4" t="inlineStr">
        <is>
          <t>Patellofemoral Literature</t>
        </is>
      </c>
      <c r="C18" s="4" t="inlineStr">
        <is>
          <t>Clinical inference of trochlear shape is unreliable.</t>
        </is>
      </c>
    </row>
    <row r="19">
      <c r="A19" s="4" t="inlineStr">
        <is>
          <t>4.24.4</t>
        </is>
      </c>
      <c r="B19" s="4" t="inlineStr">
        <is>
          <t>Patellofemoral Literature</t>
        </is>
      </c>
      <c r="C19" s="4" t="inlineStr">
        <is>
          <t>Torsional contributions are assessed less often than the coronal ones.</t>
        </is>
      </c>
    </row>
    <row r="20">
      <c r="A20" s="4" t="inlineStr">
        <is>
          <t>4.24.4</t>
        </is>
      </c>
      <c r="B20" s="4" t="inlineStr">
        <is>
          <t>Patellofemoral Literature</t>
        </is>
      </c>
      <c r="C20" s="4" t="inlineStr">
        <is>
          <t>Anterior pain remains a diagnosis of exclusion.</t>
        </is>
      </c>
    </row>
    <row r="21">
      <c r="A21" s="4" t="inlineStr">
        <is>
          <t>4.24.4</t>
        </is>
      </c>
      <c r="B21" s="4" t="inlineStr">
        <is>
          <t>Patellofemoral Literature</t>
        </is>
      </c>
      <c r="C21" s="4" t="inlineStr">
        <is>
          <t>Chapter 3.17 carries the mechanics behind the shape argument.</t>
        </is>
      </c>
    </row>
    <row r="22">
      <c r="A22" s="4" t="inlineStr">
        <is>
          <t>4.24.5</t>
        </is>
      </c>
      <c r="B22" s="4" t="inlineStr">
        <is>
          <t>Functional Testing Literature</t>
        </is>
      </c>
      <c r="C22" s="4" t="inlineStr">
        <is>
          <t>Criteria describe a moment and cohorts describe years.</t>
        </is>
      </c>
    </row>
    <row r="23">
      <c r="A23" s="4" t="inlineStr">
        <is>
          <t>4.24.5</t>
        </is>
      </c>
      <c r="B23" s="4" t="inlineStr">
        <is>
          <t>Functional Testing Literature</t>
        </is>
      </c>
      <c r="C23" s="4" t="inlineStr">
        <is>
          <t>Thresholds are conventions from specific cohorts.</t>
        </is>
      </c>
    </row>
    <row r="24">
      <c r="A24" s="4" t="inlineStr">
        <is>
          <t>4.24.5</t>
        </is>
      </c>
      <c r="B24" s="4" t="inlineStr">
        <is>
          <t>Functional Testing Literature</t>
        </is>
      </c>
      <c r="C24" s="4" t="inlineStr">
        <is>
          <t>Symmetry against a changed limb is the shared methodological weakness.</t>
        </is>
      </c>
    </row>
    <row r="25">
      <c r="A25" s="4" t="inlineStr">
        <is>
          <t>4.24.5</t>
        </is>
      </c>
      <c r="B25" s="4" t="inlineStr">
        <is>
          <t>Functional Testing Literature</t>
        </is>
      </c>
      <c r="C25" s="4" t="inlineStr">
        <is>
          <t>Planned tasks differ from the loading that injures knees.</t>
        </is>
      </c>
    </row>
    <row r="26">
      <c r="A26" s="4" t="inlineStr">
        <is>
          <t>4.24.5</t>
        </is>
      </c>
      <c r="B26" s="4" t="inlineStr">
        <is>
          <t>Functional Testing Literature</t>
        </is>
      </c>
      <c r="C26" s="4" t="inlineStr">
        <is>
          <t>Measurement of readiness is better established than the intervention for it.</t>
        </is>
      </c>
    </row>
    <row r="27">
      <c r="A27" s="4" t="inlineStr">
        <is>
          <t>4.24.6</t>
        </is>
      </c>
      <c r="B27" s="4" t="inlineStr">
        <is>
          <t>Future Directions in Knee Examination</t>
        </is>
      </c>
      <c r="C27" s="4" t="inlineStr">
        <is>
          <t>Findings and judgements are recorded differently.</t>
        </is>
      </c>
    </row>
    <row r="28">
      <c r="A28" s="4" t="inlineStr">
        <is>
          <t>4.24.6</t>
        </is>
      </c>
      <c r="B28" s="4" t="inlineStr">
        <is>
          <t>Future Directions in Knee Examination</t>
        </is>
      </c>
      <c r="C28" s="4" t="inlineStr">
        <is>
          <t>A decision resting on an unreproducible grade is identified as such.</t>
        </is>
      </c>
    </row>
    <row r="29">
      <c r="A29" s="4" t="inlineStr">
        <is>
          <t>4.24.6</t>
        </is>
      </c>
      <c r="B29" s="4" t="inlineStr">
        <is>
          <t>Future Directions in Knee Examination</t>
        </is>
      </c>
      <c r="C29" s="4" t="inlineStr">
        <is>
          <t>A negative conclusion honestly recorded beats an unusable positive one.</t>
        </is>
      </c>
    </row>
    <row r="30">
      <c r="A30" s="4" t="inlineStr">
        <is>
          <t>4.24.6</t>
        </is>
      </c>
      <c r="B30" s="4" t="inlineStr">
        <is>
          <t>Future Directions in Knee Examination</t>
        </is>
      </c>
      <c r="C30" s="4" t="inlineStr">
        <is>
          <t>The serial record is the strongest product and the least often kept.</t>
        </is>
      </c>
    </row>
    <row r="31">
      <c r="A31" s="4" t="inlineStr">
        <is>
          <t>4.24.6</t>
        </is>
      </c>
      <c r="B31" s="4" t="inlineStr">
        <is>
          <t>Future Directions in Knee Examination</t>
        </is>
      </c>
      <c r="C31" s="4" t="inlineStr">
        <is>
          <t>This repository's registers are the honest reading list for its own pages.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0</f>
        <v/>
      </c>
      <c r="C2" s="3">
        <f>0</f>
        <v/>
      </c>
    </row>
    <row r="3">
      <c r="A3" s="2" t="inlineStr">
        <is>
          <t>Decided</t>
        </is>
      </c>
      <c r="B3" s="3">
        <f>COUNTIF(Recommendations!E3:E2,"&lt;&gt;")</f>
        <v/>
      </c>
      <c r="C3" s="3">
        <f>COUNTIF(Measurements!F3:F2,"&lt;&gt;")</f>
        <v/>
      </c>
    </row>
    <row r="4">
      <c r="A4" s="2" t="inlineStr">
        <is>
          <t>Still blank</t>
        </is>
      </c>
      <c r="B4" s="3">
        <f>B2-B3</f>
        <v/>
      </c>
      <c r="C4" s="3">
        <f>C2-C3</f>
        <v/>
      </c>
    </row>
    <row r="5">
      <c r="A5" s="2" t="inlineStr">
        <is>
          <t>CONFIRMED</t>
        </is>
      </c>
      <c r="B5" s="3">
        <f>COUNTIF(Recommendations!E3:E2,"CONFIRMED")</f>
        <v/>
      </c>
      <c r="C5" s="3" t="inlineStr"/>
    </row>
    <row r="6">
      <c r="A6" s="2" t="inlineStr">
        <is>
          <t>AMENDED</t>
        </is>
      </c>
      <c r="B6" s="3">
        <f>COUNTIF(Recommendations!E3:E2,"AMENDED")</f>
        <v/>
      </c>
      <c r="C6" s="3" t="inlineStr"/>
    </row>
    <row r="7">
      <c r="A7" s="2" t="inlineStr">
        <is>
          <t>WITHDRAWN</t>
        </is>
      </c>
      <c r="B7" s="3">
        <f>COUNTIF(Recommendations!E3:E2,"WITHDRAWN")</f>
        <v/>
      </c>
      <c r="C7" s="3" t="inlineStr"/>
    </row>
    <row r="8">
      <c r="A8" s="2" t="inlineStr">
        <is>
          <t>NOT_CLINICAL</t>
        </is>
      </c>
      <c r="B8" s="3">
        <f>COUNTIF(Recommendations!E3:E2,"NOT_CLINICAL")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2026-10-13T21:49:02Z</dcterms:created>
  <dcterms:modified xmlns:dcterms="http://purl.org/dc/terms/" xmlns:xsi="http://www.w3.org/2001/XMLSchema-instance" xsi:type="dcterms:W3CDTF">2026-10-13T21:49:02Z</dcterms:modified>
</cp:coreProperties>
</file>