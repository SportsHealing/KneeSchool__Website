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4.12 Medial Knee Examination</t>
        </is>
      </c>
    </row>
    <row r="3">
      <c r="A3" s="2" t="inlineStr">
        <is>
          <t>Section</t>
        </is>
      </c>
      <c r="B3" s="3" t="inlineStr">
        <is>
          <t>4</t>
        </is>
      </c>
    </row>
    <row r="4">
      <c r="A4" s="2" t="inlineStr">
        <is>
          <t>Chapter</t>
        </is>
      </c>
      <c r="B4" s="3" t="inlineStr">
        <is>
          <t>4.12 Medial Knee Examination</t>
        </is>
      </c>
    </row>
    <row r="5">
      <c r="A5" s="2" t="inlineStr">
        <is>
          <t>Pages</t>
        </is>
      </c>
      <c r="B5" s="3" t="n">
        <v>8</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12,947</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20</v>
      </c>
    </row>
    <row r="12">
      <c r="A12" s="2" t="inlineStr">
        <is>
          <t>Recommendations to sign</t>
        </is>
      </c>
      <c r="B12" s="3" t="n">
        <v>14</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4.12.1</t>
        </is>
      </c>
      <c r="B2" s="6" t="inlineStr">
        <is>
          <t>Valgus Stress Testing</t>
        </is>
      </c>
      <c r="C2" s="6" t="n">
        <v>4</v>
      </c>
      <c r="D2" s="6" t="n">
        <v>1569</v>
      </c>
      <c r="E2" s="6" t="inlineStr">
        <is>
          <t>examination/valgus-stress-testing.html</t>
        </is>
      </c>
    </row>
    <row r="3">
      <c r="A3" s="6" t="inlineStr">
        <is>
          <t>4.12.2</t>
        </is>
      </c>
      <c r="B3" s="6" t="inlineStr">
        <is>
          <t>Assessment at 0 Degrees</t>
        </is>
      </c>
      <c r="C3" s="6" t="n">
        <v>4</v>
      </c>
      <c r="D3" s="6" t="n">
        <v>1627</v>
      </c>
      <c r="E3" s="6" t="inlineStr">
        <is>
          <t>examination/medial-assessment-in-extension.html</t>
        </is>
      </c>
    </row>
    <row r="4">
      <c r="A4" s="6" t="inlineStr">
        <is>
          <t>4.12.3</t>
        </is>
      </c>
      <c r="B4" s="6" t="inlineStr">
        <is>
          <t>Assessment at 30 Degrees</t>
        </is>
      </c>
      <c r="C4" s="6" t="n">
        <v>4</v>
      </c>
      <c r="D4" s="6" t="n">
        <v>1630</v>
      </c>
      <c r="E4" s="6" t="inlineStr">
        <is>
          <t>examination/medial-assessment-at-30-degrees.html</t>
        </is>
      </c>
    </row>
    <row r="5">
      <c r="A5" s="6" t="inlineStr">
        <is>
          <t>4.12.4</t>
        </is>
      </c>
      <c r="B5" s="6" t="inlineStr">
        <is>
          <t>Deep MCL Assessment</t>
        </is>
      </c>
      <c r="C5" s="6" t="n">
        <v>4</v>
      </c>
      <c r="D5" s="6" t="n">
        <v>1617</v>
      </c>
      <c r="E5" s="6" t="inlineStr">
        <is>
          <t>examination/deep-mcl-assessment.html</t>
        </is>
      </c>
    </row>
    <row r="6">
      <c r="A6" s="6" t="inlineStr">
        <is>
          <t>4.12.5</t>
        </is>
      </c>
      <c r="B6" s="6" t="inlineStr">
        <is>
          <t>POL Assessment</t>
        </is>
      </c>
      <c r="C6" s="6" t="n">
        <v>4</v>
      </c>
      <c r="D6" s="6" t="n">
        <v>1609</v>
      </c>
      <c r="E6" s="6" t="inlineStr">
        <is>
          <t>examination/posterior-oblique-ligament-assessment.html</t>
        </is>
      </c>
    </row>
    <row r="7">
      <c r="A7" s="6" t="inlineStr">
        <is>
          <t>4.12.6</t>
        </is>
      </c>
      <c r="B7" s="6" t="inlineStr">
        <is>
          <t>AMRI Assessment</t>
        </is>
      </c>
      <c r="C7" s="6" t="n">
        <v>4</v>
      </c>
      <c r="D7" s="6" t="n">
        <v>1631</v>
      </c>
      <c r="E7" s="6" t="inlineStr">
        <is>
          <t>examination/amri-assessment.html</t>
        </is>
      </c>
    </row>
    <row r="8">
      <c r="A8" s="6" t="inlineStr">
        <is>
          <t>4.12.7</t>
        </is>
      </c>
      <c r="B8" s="6" t="inlineStr">
        <is>
          <t>Medial Meniscus Versus MCL Injury</t>
        </is>
      </c>
      <c r="C8" s="6" t="n">
        <v>4</v>
      </c>
      <c r="D8" s="6" t="n">
        <v>1611</v>
      </c>
      <c r="E8" s="6" t="inlineStr">
        <is>
          <t>examination/medial-meniscus-versus-mcl-injury.html</t>
        </is>
      </c>
    </row>
    <row r="9">
      <c r="A9" s="6" t="inlineStr">
        <is>
          <t>4.12.8</t>
        </is>
      </c>
      <c r="B9" s="6" t="inlineStr">
        <is>
          <t>Post-Reconstruction Assessment</t>
        </is>
      </c>
      <c r="C9" s="6" t="n">
        <v>4</v>
      </c>
      <c r="D9" s="6" t="n">
        <v>1653</v>
      </c>
      <c r="E9" s="6" t="inlineStr">
        <is>
          <t>examination/mcl-post-reconstruction-assessment.html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4.12.1</t>
        </is>
      </c>
      <c r="B2" s="4" t="inlineStr">
        <is>
          <t>Valgus Stress Testing</t>
        </is>
      </c>
      <c r="C2" s="4" t="inlineStr">
        <is>
          <t>The question in referred practice is whether the remaining laxity matters, not whether it exists.</t>
        </is>
      </c>
    </row>
    <row r="3">
      <c r="A3" s="4" t="inlineStr">
        <is>
          <t>4.12.1</t>
        </is>
      </c>
      <c r="B3" s="4" t="inlineStr">
        <is>
          <t>Valgus Stress Testing</t>
        </is>
      </c>
      <c r="C3" s="4" t="inlineStr">
        <is>
          <t>Persistent laxity with a rotatory pattern means the posteromedial corner did not heal.</t>
        </is>
      </c>
    </row>
    <row r="4">
      <c r="A4" s="4" t="inlineStr">
        <is>
          <t>4.12.1</t>
        </is>
      </c>
      <c r="B4" s="4" t="inlineStr">
        <is>
          <t>Valgus Stress Testing</t>
        </is>
      </c>
      <c r="C4" s="4" t="inlineStr">
        <is>
          <t>Medial laxity after a cruciate reconstruction is often dismissed and often why the graft stretched.</t>
        </is>
      </c>
    </row>
    <row r="5">
      <c r="A5" s="4" t="inlineStr">
        <is>
          <t>4.12.1</t>
        </is>
      </c>
      <c r="B5" s="4" t="inlineStr">
        <is>
          <t>Valgus Stress Testing</t>
        </is>
      </c>
      <c r="C5" s="4" t="inlineStr">
        <is>
          <t>Medial opening with varus alignment is a mechanical problem as well as a ligament one.</t>
        </is>
      </c>
    </row>
    <row r="6">
      <c r="A6" s="4" t="inlineStr">
        <is>
          <t>4.12.1</t>
        </is>
      </c>
      <c r="B6" s="4" t="inlineStr">
        <is>
          <t>Valgus Stress Testing</t>
        </is>
      </c>
      <c r="C6" s="4" t="inlineStr">
        <is>
          <t>Scar after previous medial surgery gives a firm endpoint over a joint that still opens.</t>
        </is>
      </c>
    </row>
    <row r="7">
      <c r="A7" s="4" t="inlineStr">
        <is>
          <t>4.12.2</t>
        </is>
      </c>
      <c r="B7" s="4" t="inlineStr">
        <is>
          <t>Assessment at 0 Degrees</t>
        </is>
      </c>
      <c r="C7" s="4" t="inlineStr">
        <is>
          <t>A persistent valgus complaint after treatment usually sits on the posterior oblique ligament.</t>
        </is>
      </c>
    </row>
    <row r="8">
      <c r="A8" s="4" t="inlineStr">
        <is>
          <t>4.12.2</t>
        </is>
      </c>
      <c r="B8" s="4" t="inlineStr">
        <is>
          <t>Assessment at 0 Degrees</t>
        </is>
      </c>
      <c r="C8" s="4" t="inlineStr">
        <is>
          <t>A cruciate graft into an uncontrolled medial side takes load it does not resist and stretches.</t>
        </is>
      </c>
    </row>
    <row r="9">
      <c r="A9" s="4" t="inlineStr">
        <is>
          <t>4.12.2</t>
        </is>
      </c>
      <c r="B9" s="4" t="inlineStr">
        <is>
          <t>Assessment at 0 Degrees</t>
        </is>
      </c>
      <c r="C9" s="4" t="inlineStr">
        <is>
          <t>A valgus thrust with opening in extension makes alignment the first question.</t>
        </is>
      </c>
    </row>
    <row r="10">
      <c r="A10" s="4" t="inlineStr">
        <is>
          <t>4.12.2</t>
        </is>
      </c>
      <c r="B10" s="4" t="inlineStr">
        <is>
          <t>Assessment at 0 Degrees</t>
        </is>
      </c>
      <c r="C10" s="4" t="inlineStr">
        <is>
          <t>Scar can give a firm endpoint that holds on the couch and fails under load.</t>
        </is>
      </c>
    </row>
    <row r="11">
      <c r="A11" s="4" t="inlineStr">
        <is>
          <t>4.12.2</t>
        </is>
      </c>
      <c r="B11" s="4" t="inlineStr">
        <is>
          <t>Assessment at 0 Degrees</t>
        </is>
      </c>
      <c r="C11" s="4" t="inlineStr">
        <is>
          <t>A firm endpoint recorded elsewhere is worth repeating, because the knee was often not in extension.</t>
        </is>
      </c>
    </row>
    <row r="12">
      <c r="A12" s="4" t="inlineStr">
        <is>
          <t>4.12.3</t>
        </is>
      </c>
      <c r="B12" s="4" t="inlineStr">
        <is>
          <t>Assessment at 30 Degrees</t>
        </is>
      </c>
      <c r="C12" s="4" t="inlineStr">
        <is>
          <t>A residual grade is usually asymptomatic, and the work is deciding whether it explains the complaint.</t>
        </is>
      </c>
    </row>
    <row r="13">
      <c r="A13" s="4" t="inlineStr">
        <is>
          <t>4.12.3</t>
        </is>
      </c>
      <c r="B13" s="4" t="inlineStr">
        <is>
          <t>Assessment at 30 Degrees</t>
        </is>
      </c>
      <c r="C13" s="4" t="inlineStr">
        <is>
          <t>A firm endpoint over a lax joint usually means healing in a lengthened position.</t>
        </is>
      </c>
    </row>
    <row r="14">
      <c r="A14" s="4" t="inlineStr">
        <is>
          <t>4.12.3</t>
        </is>
      </c>
      <c r="B14" s="4" t="inlineStr">
        <is>
          <t>Assessment at 30 Degrees</t>
        </is>
      </c>
      <c r="C14" s="4" t="inlineStr">
        <is>
          <t>Pain on twisting with a firm endpoint points at the meniscus rather than the ligament.</t>
        </is>
      </c>
    </row>
    <row r="15">
      <c r="A15" s="4" t="inlineStr">
        <is>
          <t>4.12.3</t>
        </is>
      </c>
      <c r="B15" s="4" t="inlineStr">
        <is>
          <t>Assessment at 30 Degrees</t>
        </is>
      </c>
      <c r="C15" s="4" t="inlineStr">
        <is>
          <t>Alignment decides whether the medial side is loaded at all.</t>
        </is>
      </c>
    </row>
    <row r="16">
      <c r="A16" s="4" t="inlineStr">
        <is>
          <t>4.12.3</t>
        </is>
      </c>
      <c r="B16" s="4" t="inlineStr">
        <is>
          <t>Assessment at 30 Degrees</t>
        </is>
      </c>
      <c r="C16" s="4" t="inlineStr">
        <is>
          <t>After reconstruction, a grade better than the other side is a tight reconstruction, not a success.</t>
        </is>
      </c>
    </row>
    <row r="17">
      <c r="A17" s="4" t="inlineStr">
        <is>
          <t>4.12.4</t>
        </is>
      </c>
      <c r="B17" s="4" t="inlineStr">
        <is>
          <t>Deep MCL Assessment</t>
        </is>
      </c>
      <c r="C17" s="4" t="inlineStr">
        <is>
          <t>Meniscal extrusion with an intact meniscus is a meniscotibial problem, not a meniscal one.</t>
        </is>
      </c>
    </row>
    <row r="18">
      <c r="A18" s="4" t="inlineStr">
        <is>
          <t>4.12.4</t>
        </is>
      </c>
      <c r="B18" s="4" t="inlineStr">
        <is>
          <t>Deep MCL Assessment</t>
        </is>
      </c>
      <c r="C18" s="4" t="inlineStr">
        <is>
          <t>Persistent posteromedial pain after a meniscal repair may be an unaddressed separation.</t>
        </is>
      </c>
    </row>
    <row r="19">
      <c r="A19" s="4" t="inlineStr">
        <is>
          <t>4.12.4</t>
        </is>
      </c>
      <c r="B19" s="4" t="inlineStr">
        <is>
          <t>Deep MCL Assessment</t>
        </is>
      </c>
      <c r="C19" s="4" t="inlineStr">
        <is>
          <t>A knee reconstructed for valgus laxity alone can stay rotationally lax.</t>
        </is>
      </c>
    </row>
    <row r="20">
      <c r="A20" s="4" t="inlineStr">
        <is>
          <t>4.12.4</t>
        </is>
      </c>
      <c r="B20" s="4" t="inlineStr">
        <is>
          <t>Deep MCL Assessment</t>
        </is>
      </c>
      <c r="C20" s="4" t="inlineStr">
        <is>
          <t>Early medial compartment wear produces the same joint line tenderness.</t>
        </is>
      </c>
    </row>
    <row r="21">
      <c r="A21" s="4" t="inlineStr">
        <is>
          <t>4.12.4</t>
        </is>
      </c>
      <c r="B21" s="4" t="inlineStr">
        <is>
          <t>Deep MCL Assessment</t>
        </is>
      </c>
      <c r="C21" s="4" t="inlineStr">
        <is>
          <t>The honest medicolegal statement is that the examination cannot identify this structure.</t>
        </is>
      </c>
    </row>
    <row r="22">
      <c r="A22" s="4" t="inlineStr">
        <is>
          <t>4.12.5</t>
        </is>
      </c>
      <c r="B22" s="4" t="inlineStr">
        <is>
          <t>POL Assessment</t>
        </is>
      </c>
      <c r="C22" s="4" t="inlineStr">
        <is>
          <t>It explains the patient whose medial reconstruction worked and whose knee still turns badly.</t>
        </is>
      </c>
    </row>
    <row r="23">
      <c r="A23" s="4" t="inlineStr">
        <is>
          <t>4.12.5</t>
        </is>
      </c>
      <c r="B23" s="4" t="inlineStr">
        <is>
          <t>POL Assessment</t>
        </is>
      </c>
      <c r="C23" s="4" t="inlineStr">
        <is>
          <t>The finding is on the anteromedial drawer rather than on any valgus test.</t>
        </is>
      </c>
    </row>
    <row r="24">
      <c r="A24" s="4" t="inlineStr">
        <is>
          <t>4.12.5</t>
        </is>
      </c>
      <c r="B24" s="4" t="inlineStr">
        <is>
          <t>POL Assessment</t>
        </is>
      </c>
      <c r="C24" s="4" t="inlineStr">
        <is>
          <t>A corner healed long gives a firm endpoint over a rotationally lax joint.</t>
        </is>
      </c>
    </row>
    <row r="25">
      <c r="A25" s="4" t="inlineStr">
        <is>
          <t>4.12.5</t>
        </is>
      </c>
      <c r="B25" s="4" t="inlineStr">
        <is>
          <t>POL Assessment</t>
        </is>
      </c>
      <c r="C25" s="4" t="inlineStr">
        <is>
          <t>Where the extension test and the rotational test disagree after surgery, believe the rotational one.</t>
        </is>
      </c>
    </row>
    <row r="26">
      <c r="A26" s="4" t="inlineStr">
        <is>
          <t>4.12.5</t>
        </is>
      </c>
      <c r="B26" s="4" t="inlineStr">
        <is>
          <t>POL Assessment</t>
        </is>
      </c>
      <c r="C26" s="4" t="inlineStr">
        <is>
          <t>In the multiligament knee this is routinely the structure not recorded.</t>
        </is>
      </c>
    </row>
    <row r="27">
      <c r="A27" s="4" t="inlineStr">
        <is>
          <t>4.12.6</t>
        </is>
      </c>
      <c r="B27" s="4" t="inlineStr">
        <is>
          <t>AMRI Assessment</t>
        </is>
      </c>
      <c r="C27" s="4" t="inlineStr">
        <is>
          <t>It is found in the knee with a sound cruciate reconstruction that still feels unsafe on turning.</t>
        </is>
      </c>
    </row>
    <row r="28">
      <c r="A28" s="4" t="inlineStr">
        <is>
          <t>4.12.6</t>
        </is>
      </c>
      <c r="B28" s="4" t="inlineStr">
        <is>
          <t>AMRI Assessment</t>
        </is>
      </c>
      <c r="C28" s="4" t="inlineStr">
        <is>
          <t>A stretched graft with this pattern has its explanation rather than a second problem.</t>
        </is>
      </c>
    </row>
    <row r="29">
      <c r="A29" s="4" t="inlineStr">
        <is>
          <t>4.12.6</t>
        </is>
      </c>
      <c r="B29" s="4" t="inlineStr">
        <is>
          <t>AMRI Assessment</t>
        </is>
      </c>
      <c r="C29" s="4" t="inlineStr">
        <is>
          <t>Easy to produce in a hypermobile patient and easy to miss in a muscular one.</t>
        </is>
      </c>
    </row>
    <row r="30">
      <c r="A30" s="4" t="inlineStr">
        <is>
          <t>4.12.6</t>
        </is>
      </c>
      <c r="B30" s="4" t="inlineStr">
        <is>
          <t>AMRI Assessment</t>
        </is>
      </c>
      <c r="C30" s="4" t="inlineStr">
        <is>
          <t>Under anaesthesia the pattern becomes readable where the awake examination failed.</t>
        </is>
      </c>
    </row>
    <row r="31">
      <c r="A31" s="4" t="inlineStr">
        <is>
          <t>4.12.6</t>
        </is>
      </c>
      <c r="B31" s="4" t="inlineStr">
        <is>
          <t>AMRI Assessment</t>
        </is>
      </c>
      <c r="C31" s="4" t="inlineStr">
        <is>
          <t>A lateral extra-articular procedure constrains the rotation the test depends on.</t>
        </is>
      </c>
    </row>
    <row r="32">
      <c r="A32" s="4" t="inlineStr">
        <is>
          <t>4.12.7</t>
        </is>
      </c>
      <c r="B32" s="4" t="inlineStr">
        <is>
          <t>Medial Meniscus Versus MCL Injury</t>
        </is>
      </c>
      <c r="C32" s="4" t="inlineStr">
        <is>
          <t>The usual referred error is the ligament blamed when the meniscus was the problem.</t>
        </is>
      </c>
    </row>
    <row r="33">
      <c r="A33" s="4" t="inlineStr">
        <is>
          <t>4.12.7</t>
        </is>
      </c>
      <c r="B33" s="4" t="inlineStr">
        <is>
          <t>Medial Meniscus Versus MCL Injury</t>
        </is>
      </c>
      <c r="C33" s="4" t="inlineStr">
        <is>
          <t>A knee too painful to provoke acutely is where the meniscal tear hides.</t>
        </is>
      </c>
    </row>
    <row r="34">
      <c r="A34" s="4" t="inlineStr">
        <is>
          <t>4.12.7</t>
        </is>
      </c>
      <c r="B34" s="4" t="inlineStr">
        <is>
          <t>Medial Meniscus Versus MCL Injury</t>
        </is>
      </c>
      <c r="C34" s="4" t="inlineStr">
        <is>
          <t>Persisting pain after a normal arthroscopy is often an untested posteromedial corner.</t>
        </is>
      </c>
    </row>
    <row r="35">
      <c r="A35" s="4" t="inlineStr">
        <is>
          <t>4.12.7</t>
        </is>
      </c>
      <c r="B35" s="4" t="inlineStr">
        <is>
          <t>Medial Meniscus Versus MCL Injury</t>
        </is>
      </c>
      <c r="C35" s="4" t="inlineStr">
        <is>
          <t>A meniscal root avulsion gives medial pain with a normal valgus examination and rapid wear.</t>
        </is>
      </c>
    </row>
    <row r="36">
      <c r="A36" s="4" t="inlineStr">
        <is>
          <t>4.12.7</t>
        </is>
      </c>
      <c r="B36" s="4" t="inlineStr">
        <is>
          <t>Medial Meniscus Versus MCL Injury</t>
        </is>
      </c>
      <c r="C36" s="4" t="inlineStr">
        <is>
          <t>In the chronic knee the question becomes whether the compartment is worth preserving.</t>
        </is>
      </c>
    </row>
    <row r="37">
      <c r="A37" s="4" t="inlineStr">
        <is>
          <t>4.12.8</t>
        </is>
      </c>
      <c r="B37" s="4" t="inlineStr">
        <is>
          <t>Post-Reconstruction Assessment</t>
        </is>
      </c>
      <c r="C37" s="4" t="inlineStr">
        <is>
          <t>The treated medial side is usually examined because a cruciate reconstruction failed.</t>
        </is>
      </c>
    </row>
    <row r="38">
      <c r="A38" s="4" t="inlineStr">
        <is>
          <t>4.12.8</t>
        </is>
      </c>
      <c r="B38" s="4" t="inlineStr">
        <is>
          <t>Post-Reconstruction Assessment</t>
        </is>
      </c>
      <c r="C38" s="4" t="inlineStr">
        <is>
          <t>Valgus laxity in extension with a rotatory pattern explains a stretched cruciate graft.</t>
        </is>
      </c>
    </row>
    <row r="39">
      <c r="A39" s="4" t="inlineStr">
        <is>
          <t>4.12.8</t>
        </is>
      </c>
      <c r="B39" s="4" t="inlineStr">
        <is>
          <t>Post-Reconstruction Assessment</t>
        </is>
      </c>
      <c r="C39" s="4" t="inlineStr">
        <is>
          <t>Scar can give a reassuring endpoint over a joint that fails under load.</t>
        </is>
      </c>
    </row>
    <row r="40">
      <c r="A40" s="4" t="inlineStr">
        <is>
          <t>4.12.8</t>
        </is>
      </c>
      <c r="B40" s="4" t="inlineStr">
        <is>
          <t>Post-Reconstruction Assessment</t>
        </is>
      </c>
      <c r="C40" s="4" t="inlineStr">
        <is>
          <t>An over constrained reconstruction presents as medial pain and lost flexion, not instability.</t>
        </is>
      </c>
    </row>
    <row r="41">
      <c r="A41" s="4" t="inlineStr">
        <is>
          <t>4.12.8</t>
        </is>
      </c>
      <c r="B41" s="4" t="inlineStr">
        <is>
          <t>Post-Reconstruction Assessment</t>
        </is>
      </c>
      <c r="C41" s="4" t="inlineStr">
        <is>
          <t>A reconstruction in an uncorrected valgus limb will stretch, which is an examination failure.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4.12.1-P1</t>
        </is>
      </c>
      <c r="B3" s="4" t="inlineStr">
        <is>
          <t>4.12.1</t>
        </is>
      </c>
      <c r="C3" s="4" t="inlineStr">
        <is>
          <t>medical_student</t>
        </is>
      </c>
      <c r="D3" s="4" t="inlineStr">
        <is>
          <t>Record the amount of opening and the quality of the endpoint, then repeat the whole thing with the knee flexed to thirty degrees.</t>
        </is>
      </c>
      <c r="E3" s="4" t="inlineStr"/>
      <c r="F3" s="4" t="inlineStr"/>
      <c r="G3" s="4" t="inlineStr"/>
    </row>
    <row r="4">
      <c r="A4" s="4" t="inlineStr">
        <is>
          <t>4.12.1-P2</t>
        </is>
      </c>
      <c r="B4" s="4" t="inlineStr">
        <is>
          <t>4.12.1</t>
        </is>
      </c>
      <c r="C4" s="4" t="inlineStr">
        <is>
          <t>medical_student</t>
        </is>
      </c>
      <c r="D4" s="4" t="inlineStr">
        <is>
          <t>Compare both angles with the other knee before drawing any conclusion.</t>
        </is>
      </c>
      <c r="E4" s="4" t="inlineStr"/>
      <c r="F4" s="4" t="inlineStr"/>
      <c r="G4" s="4" t="inlineStr"/>
    </row>
    <row r="5">
      <c r="A5" s="4" t="inlineStr">
        <is>
          <t>4.12.2-P1</t>
        </is>
      </c>
      <c r="B5" s="4" t="inlineStr">
        <is>
          <t>4.12.2</t>
        </is>
      </c>
      <c r="C5" s="4" t="inlineStr">
        <is>
          <t>medical_student</t>
        </is>
      </c>
      <c r="D5" s="4" t="inlineStr">
        <is>
          <t>Compare with the other knee in full extension before interpreting anything.</t>
        </is>
      </c>
      <c r="E5" s="4" t="inlineStr"/>
      <c r="F5" s="4" t="inlineStr"/>
      <c r="G5" s="4" t="inlineStr"/>
    </row>
    <row r="6">
      <c r="A6" s="4" t="inlineStr">
        <is>
          <t>4.12.3-P1</t>
        </is>
      </c>
      <c r="B6" s="4" t="inlineStr">
        <is>
          <t>4.12.3</t>
        </is>
      </c>
      <c r="C6" s="4" t="inlineStr">
        <is>
          <t>medical_student</t>
        </is>
      </c>
      <c r="D6" s="4" t="inlineStr">
        <is>
          <t>Place one hand along the lateral side of the knee as the fulcrum, with your fingers over the medial joint line.</t>
        </is>
      </c>
      <c r="E6" s="4" t="inlineStr"/>
      <c r="F6" s="4" t="inlineStr"/>
      <c r="G6" s="4" t="inlineStr"/>
    </row>
    <row r="7">
      <c r="A7" s="4" t="inlineStr">
        <is>
          <t>4.12.3-P2</t>
        </is>
      </c>
      <c r="B7" s="4" t="inlineStr">
        <is>
          <t>4.12.3</t>
        </is>
      </c>
      <c r="C7" s="4" t="inlineStr">
        <is>
          <t>medical_student</t>
        </is>
      </c>
      <c r="D7" s="4" t="inlineStr">
        <is>
          <t>Grade the opening against the other knee and record both the grade and the endpoint.</t>
        </is>
      </c>
      <c r="E7" s="4" t="inlineStr"/>
      <c r="F7" s="4" t="inlineStr"/>
      <c r="G7" s="4" t="inlineStr"/>
    </row>
    <row r="8">
      <c r="A8" s="4" t="inlineStr">
        <is>
          <t>4.12.4-P1</t>
        </is>
      </c>
      <c r="B8" s="4" t="inlineStr">
        <is>
          <t>4.12.4</t>
        </is>
      </c>
      <c r="C8" s="4" t="inlineStr">
        <is>
          <t>medical_student</t>
        </is>
      </c>
      <c r="D8" s="4" t="inlineStr">
        <is>
          <t>Examine the meniscus deliberately, because the two structures are attached and the examination cannot separate them on laxity alone.</t>
        </is>
      </c>
      <c r="E8" s="4" t="inlineStr"/>
      <c r="F8" s="4" t="inlineStr"/>
      <c r="G8" s="4" t="inlineStr"/>
    </row>
    <row r="9">
      <c r="A9" s="4" t="inlineStr">
        <is>
          <t>4.12.4-P2</t>
        </is>
      </c>
      <c r="B9" s="4" t="inlineStr">
        <is>
          <t>4.12.4</t>
        </is>
      </c>
      <c r="C9" s="4" t="inlineStr">
        <is>
          <t>medical_student</t>
        </is>
      </c>
      <c r="D9" s="4" t="inlineStr">
        <is>
          <t>No clinical test isolates the deep medial ligament, and the examination should not claim to.</t>
        </is>
      </c>
      <c r="E9" s="4" t="inlineStr"/>
      <c r="F9" s="4" t="inlineStr"/>
      <c r="G9" s="4" t="inlineStr"/>
    </row>
    <row r="10">
      <c r="A10" s="4" t="inlineStr">
        <is>
          <t>4.12.5-P1</t>
        </is>
      </c>
      <c r="B10" s="4" t="inlineStr">
        <is>
          <t>4.12.5</t>
        </is>
      </c>
      <c r="C10" s="4" t="inlineStr">
        <is>
          <t>medical_student</t>
        </is>
      </c>
      <c r="D10" s="4" t="inlineStr">
        <is>
          <t>Examine the cruciates, because an anterior cruciate rupture produces anterior translation that has to be separated from this rotation.</t>
        </is>
      </c>
      <c r="E10" s="4" t="inlineStr"/>
      <c r="F10" s="4" t="inlineStr"/>
      <c r="G10" s="4" t="inlineStr"/>
    </row>
    <row r="11">
      <c r="A11" s="4" t="inlineStr">
        <is>
          <t>4.12.6-P1</t>
        </is>
      </c>
      <c r="B11" s="4" t="inlineStr">
        <is>
          <t>4.12.6</t>
        </is>
      </c>
      <c r="C11" s="4" t="inlineStr">
        <is>
          <t>medical_student</t>
        </is>
      </c>
      <c r="D11" s="4" t="inlineStr">
        <is>
          <t>Repeat the anterior drawer in neutral rotation, because the difference between the two is the finding rather than either reading on its own.</t>
        </is>
      </c>
      <c r="E11" s="4" t="inlineStr"/>
      <c r="F11" s="4" t="inlineStr"/>
      <c r="G11" s="4" t="inlineStr"/>
    </row>
    <row r="12">
      <c r="A12" s="4" t="inlineStr">
        <is>
          <t>4.12.7-P1</t>
        </is>
      </c>
      <c r="B12" s="4" t="inlineStr">
        <is>
          <t>4.12.7</t>
        </is>
      </c>
      <c r="C12" s="4" t="inlineStr">
        <is>
          <t>medical_student</t>
        </is>
      </c>
      <c r="D12" s="4" t="inlineStr">
        <is>
          <t>Ask about mechanical symptoms, because catching, locking and a sense of something moving belong to the meniscus and not to the ligament.</t>
        </is>
      </c>
      <c r="E12" s="4" t="inlineStr"/>
      <c r="F12" s="4" t="inlineStr"/>
      <c r="G12" s="4" t="inlineStr"/>
    </row>
    <row r="13">
      <c r="A13" s="4" t="inlineStr">
        <is>
          <t>4.12.7-P2</t>
        </is>
      </c>
      <c r="B13" s="4" t="inlineStr">
        <is>
          <t>4.12.7</t>
        </is>
      </c>
      <c r="C13" s="4" t="inlineStr">
        <is>
          <t>medical_student</t>
        </is>
      </c>
      <c r="D13" s="4" t="inlineStr">
        <is>
          <t>Ask about the mechanism, since a valgus blow points at the ligament and a twisting injury on a loaded knee points at the meniscus.</t>
        </is>
      </c>
      <c r="E13" s="4" t="inlineStr"/>
      <c r="F13" s="4" t="inlineStr"/>
      <c r="G13" s="4" t="inlineStr"/>
    </row>
    <row r="14">
      <c r="A14" s="4" t="inlineStr">
        <is>
          <t>4.12.7-P3</t>
        </is>
      </c>
      <c r="B14" s="4" t="inlineStr">
        <is>
          <t>4.12.7</t>
        </is>
      </c>
      <c r="C14" s="4" t="inlineStr">
        <is>
          <t>frcs</t>
        </is>
      </c>
      <c r="D14" s="4" t="inlineStr">
        <is>
          <t>- A knee too painful to examine should be recorded as that, not as a result.</t>
        </is>
      </c>
      <c r="E14" s="4" t="inlineStr"/>
      <c r="F14" s="4" t="inlineStr"/>
      <c r="G14" s="4" t="inlineStr"/>
    </row>
    <row r="15">
      <c r="A15" s="4" t="inlineStr">
        <is>
          <t>4.12.8-P1</t>
        </is>
      </c>
      <c r="B15" s="4" t="inlineStr">
        <is>
          <t>4.12.8</t>
        </is>
      </c>
      <c r="C15" s="4" t="inlineStr">
        <is>
          <t>medical_student</t>
        </is>
      </c>
      <c r="D15" s="4" t="inlineStr">
        <is>
          <t>Add the rotational examination, because a corrected valgus laxity with a residual rotational one is the common incomplete result.</t>
        </is>
      </c>
      <c r="E15" s="4" t="inlineStr"/>
      <c r="F15" s="4" t="inlineStr"/>
      <c r="G15" s="4" t="inlineStr"/>
    </row>
    <row r="16">
      <c r="A16" s="4" t="inlineStr">
        <is>
          <t>4.12.8-P2</t>
        </is>
      </c>
      <c r="B16" s="4" t="inlineStr">
        <is>
          <t>4.12.8</t>
        </is>
      </c>
      <c r="C16" s="4" t="inlineStr">
        <is>
          <t>medical_student</t>
        </is>
      </c>
      <c r="D16" s="4" t="inlineStr">
        <is>
          <t>Examine the cruciates, since most medial reconstructions are performed alongside a cruciate reconstruction and the two results have to be separated.</t>
        </is>
      </c>
      <c r="E16" s="4" t="inlineStr"/>
      <c r="F16" s="4" t="inlineStr"/>
      <c r="G16" s="4" t="inlineStr"/>
    </row>
  </sheetData>
  <dataValidations count="1">
    <dataValidation sqref="E3:E16"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4.12.1-F1</t>
        </is>
      </c>
      <c r="B3" s="4" t="inlineStr">
        <is>
          <t>4.12.1</t>
        </is>
      </c>
      <c r="C3" s="4" t="inlineStr">
        <is>
          <t>medical_student</t>
        </is>
      </c>
      <c r="D3" s="4" t="inlineStr">
        <is>
          <t>thirty degrees</t>
        </is>
      </c>
      <c r="E3" s="4" t="inlineStr">
        <is>
          <t>At thirty degrees the superficial ligament dominates, and in full extension the cruciates and the posteromedial structures carry a share.</t>
        </is>
      </c>
      <c r="F3" s="4" t="inlineStr"/>
      <c r="G3" s="4" t="inlineStr"/>
      <c r="H3" s="4" t="inlineStr"/>
    </row>
    <row r="4">
      <c r="A4" s="4" t="inlineStr">
        <is>
          <t>4.12.1-F2</t>
        </is>
      </c>
      <c r="B4" s="4" t="inlineStr">
        <is>
          <t>4.12.1</t>
        </is>
      </c>
      <c r="C4" s="4" t="inlineStr">
        <is>
          <t>mrcs</t>
        </is>
      </c>
      <c r="D4" s="4" t="inlineStr">
        <is>
          <t>thirty degree</t>
        </is>
      </c>
      <c r="E4" s="4" t="inlineStr">
        <is>
          <t>The superficial ligament is the principal valgus restraint through mid flexion, and it is the structure a thirty degree test is reading.</t>
        </is>
      </c>
      <c r="F4" s="4" t="inlineStr"/>
      <c r="G4" s="4" t="inlineStr"/>
      <c r="H4" s="4" t="inlineStr"/>
    </row>
    <row r="5">
      <c r="A5" s="4" t="inlineStr">
        <is>
          <t>4.12.2-F1</t>
        </is>
      </c>
      <c r="B5" s="4" t="inlineStr">
        <is>
          <t>4.12.2</t>
        </is>
      </c>
      <c r="C5" s="4" t="n"/>
      <c r="D5" s="4" t="inlineStr">
        <is>
          <t>0</t>
        </is>
      </c>
      <c r="E5" s="4" t="inlineStr">
        <is>
          <t># Assessment at 0 Degrees</t>
        </is>
      </c>
      <c r="F5" s="4" t="inlineStr"/>
      <c r="G5" s="4" t="inlineStr"/>
      <c r="H5" s="4" t="inlineStr"/>
    </row>
    <row r="6">
      <c r="A6" s="4" t="inlineStr">
        <is>
          <t>4.12.2-F2</t>
        </is>
      </c>
      <c r="B6" s="4" t="inlineStr">
        <is>
          <t>4.12.2</t>
        </is>
      </c>
      <c r="C6" s="4" t="inlineStr">
        <is>
          <t>medical_student</t>
        </is>
      </c>
      <c r="D6" s="4" t="inlineStr">
        <is>
          <t>thirty degrees</t>
        </is>
      </c>
      <c r="E6" s="4" t="inlineStr">
        <is>
          <t>A knee that is firm in extension and lax at thirty degrees is the common injury, and the one that is treated in a brace.</t>
        </is>
      </c>
      <c r="F6" s="4" t="inlineStr"/>
      <c r="G6" s="4" t="inlineStr"/>
      <c r="H6" s="4" t="inlineStr"/>
    </row>
    <row r="7">
      <c r="A7" s="4" t="inlineStr">
        <is>
          <t>4.12.2-F3</t>
        </is>
      </c>
      <c r="B7" s="4" t="inlineStr">
        <is>
          <t>4.12.2</t>
        </is>
      </c>
      <c r="C7" s="4" t="inlineStr">
        <is>
          <t>mrcs</t>
        </is>
      </c>
      <c r="D7" s="4" t="inlineStr">
        <is>
          <t>thirty degree</t>
        </is>
      </c>
      <c r="E7" s="4" t="inlineStr">
        <is>
          <t>It is more reproducible than the rotational tests and less reproducible than the thirty degree test, because full extension is harder to guarantee than thirty degrees of flexion.</t>
        </is>
      </c>
      <c r="F7" s="4" t="inlineStr"/>
      <c r="G7" s="4" t="inlineStr"/>
      <c r="H7" s="4" t="inlineStr"/>
    </row>
    <row r="8">
      <c r="A8" s="4" t="inlineStr">
        <is>
          <t>4.12.3-F1</t>
        </is>
      </c>
      <c r="B8" s="4" t="inlineStr">
        <is>
          <t>4.12.3</t>
        </is>
      </c>
      <c r="C8" s="4" t="n"/>
      <c r="D8" s="4" t="inlineStr">
        <is>
          <t>30</t>
        </is>
      </c>
      <c r="E8" s="4" t="inlineStr">
        <is>
          <t># Assessment at 30 Degrees</t>
        </is>
      </c>
      <c r="F8" s="4" t="inlineStr"/>
      <c r="G8" s="4" t="inlineStr"/>
      <c r="H8" s="4" t="inlineStr"/>
    </row>
    <row r="9">
      <c r="A9" s="4" t="inlineStr">
        <is>
          <t>4.12.3-F2</t>
        </is>
      </c>
      <c r="B9" s="4" t="inlineStr">
        <is>
          <t>4.12.3</t>
        </is>
      </c>
      <c r="C9" s="4" t="inlineStr">
        <is>
          <t>medical_student</t>
        </is>
      </c>
      <c r="D9" s="4" t="inlineStr">
        <is>
          <t>thirty degrees</t>
        </is>
      </c>
      <c r="E9" s="4" t="inlineStr">
        <is>
          <t>Valgus stress applied with the knee flexed to thirty degrees tests the superficial medial collateral ligament with the least help from anything else.</t>
        </is>
      </c>
      <c r="F9" s="4" t="inlineStr"/>
      <c r="G9" s="4" t="inlineStr"/>
      <c r="H9" s="4" t="inlineStr"/>
    </row>
    <row r="10">
      <c r="A10" s="4" t="inlineStr">
        <is>
          <t>4.12.3-F3</t>
        </is>
      </c>
      <c r="B10" s="4" t="inlineStr">
        <is>
          <t>4.12.3</t>
        </is>
      </c>
      <c r="C10" s="4" t="inlineStr">
        <is>
          <t>medical_student</t>
        </is>
      </c>
      <c r="D10" s="4" t="inlineStr">
        <is>
          <t>three degrees</t>
        </is>
      </c>
      <c r="E10" s="4" t="inlineStr">
        <is>
          <t>The grade is conventionally described in three degrees.</t>
        </is>
      </c>
      <c r="F10" s="4" t="inlineStr"/>
      <c r="G10" s="4" t="inlineStr"/>
      <c r="H10" s="4" t="inlineStr"/>
    </row>
    <row r="11">
      <c r="A11" s="4" t="inlineStr">
        <is>
          <t>4.12.3-F4</t>
        </is>
      </c>
      <c r="B11" s="4" t="inlineStr">
        <is>
          <t>4.12.3</t>
        </is>
      </c>
      <c r="C11" s="4" t="inlineStr">
        <is>
          <t>mrcs</t>
        </is>
      </c>
      <c r="D11" s="4" t="inlineStr">
        <is>
          <t>thirty degree</t>
        </is>
      </c>
      <c r="E11" s="4" t="inlineStr">
        <is>
          <t>The thirty degree test is the most reproducible ligament examination in the knee, and more reproducible between examiners than any cruciate test.</t>
        </is>
      </c>
      <c r="F11" s="4" t="inlineStr"/>
      <c r="G11" s="4" t="inlineStr"/>
      <c r="H11" s="4" t="inlineStr"/>
    </row>
    <row r="12">
      <c r="A12" s="4" t="inlineStr">
        <is>
          <t>4.12.4-F1</t>
        </is>
      </c>
      <c r="B12" s="4" t="inlineStr">
        <is>
          <t>4.12.4</t>
        </is>
      </c>
      <c r="C12" s="4" t="inlineStr">
        <is>
          <t>medical_student</t>
        </is>
      </c>
      <c r="D12" s="4" t="inlineStr">
        <is>
          <t>ninety degrees</t>
        </is>
      </c>
      <c r="E12" s="4" t="inlineStr">
        <is>
          <t>Palpate the medial joint line directly, from the anterior horn of the meniscus round towards the posteromedial corner, with the knee flexed to about ninety degrees.</t>
        </is>
      </c>
      <c r="F12" s="4" t="inlineStr"/>
      <c r="G12" s="4" t="inlineStr"/>
      <c r="H12" s="4" t="inlineStr"/>
    </row>
    <row r="13">
      <c r="A13" s="4" t="inlineStr">
        <is>
          <t>4.12.4-F2</t>
        </is>
      </c>
      <c r="B13" s="4" t="inlineStr">
        <is>
          <t>4.12.4</t>
        </is>
      </c>
      <c r="C13" s="4" t="inlineStr">
        <is>
          <t>medical_student</t>
        </is>
      </c>
      <c r="D13" s="4" t="inlineStr">
        <is>
          <t>thirty degrees</t>
        </is>
      </c>
      <c r="E13" s="4" t="inlineStr">
        <is>
          <t>Perform valgus stress at thirty degrees and in extension, and note that a deep injury alone does not increase the opening at either.</t>
        </is>
      </c>
      <c r="F13" s="4" t="inlineStr"/>
      <c r="G13" s="4" t="inlineStr"/>
      <c r="H13" s="4" t="inlineStr"/>
    </row>
    <row r="14">
      <c r="A14" s="4" t="inlineStr">
        <is>
          <t>4.12.5-F1</t>
        </is>
      </c>
      <c r="B14" s="4" t="inlineStr">
        <is>
          <t>4.12.5</t>
        </is>
      </c>
      <c r="C14" s="4" t="inlineStr">
        <is>
          <t>medical_student</t>
        </is>
      </c>
      <c r="D14" s="4" t="inlineStr">
        <is>
          <t>thirty degrees</t>
        </is>
      </c>
      <c r="E14" s="4" t="inlineStr">
        <is>
          <t>Palpate the posteromedial corner of the knee, behind the superficial ligament's course and above the joint line, with the knee flexed to about thirty degrees.</t>
        </is>
      </c>
      <c r="F14" s="4" t="inlineStr"/>
      <c r="G14" s="4" t="inlineStr"/>
      <c r="H14" s="4" t="inlineStr"/>
    </row>
    <row r="15">
      <c r="A15" s="4" t="inlineStr">
        <is>
          <t>4.12.5-F2</t>
        </is>
      </c>
      <c r="B15" s="4" t="inlineStr">
        <is>
          <t>4.12.5</t>
        </is>
      </c>
      <c r="C15" s="4" t="inlineStr">
        <is>
          <t>medical_student</t>
        </is>
      </c>
      <c r="D15" s="4" t="inlineStr">
        <is>
          <t>ninety degrees</t>
        </is>
      </c>
      <c r="E15" s="4" t="inlineStr">
        <is>
          <t>Flex the knee to about ninety degrees, rotate the tibia externally by about fifteen degrees, and draw the tibia forwards while watching the medial plateau rather than the whole tibia.</t>
        </is>
      </c>
      <c r="F15" s="4" t="inlineStr"/>
      <c r="G15" s="4" t="inlineStr"/>
      <c r="H15" s="4" t="inlineStr"/>
    </row>
    <row r="16">
      <c r="A16" s="4" t="inlineStr">
        <is>
          <t>4.12.5-F3</t>
        </is>
      </c>
      <c r="B16" s="4" t="inlineStr">
        <is>
          <t>4.12.5</t>
        </is>
      </c>
      <c r="C16" s="4" t="inlineStr">
        <is>
          <t>medical_student</t>
        </is>
      </c>
      <c r="D16" s="4" t="inlineStr">
        <is>
          <t>fifteen degrees</t>
        </is>
      </c>
      <c r="E16" s="4" t="inlineStr">
        <is>
          <t>Flex the knee to about ninety degrees, rotate the tibia externally by about fifteen degrees, and draw the tibia forwards while watching the medial plateau rather than the whole tibia.</t>
        </is>
      </c>
      <c r="F16" s="4" t="inlineStr"/>
      <c r="G16" s="4" t="inlineStr"/>
      <c r="H16" s="4" t="inlineStr"/>
    </row>
    <row r="17">
      <c r="A17" s="4" t="inlineStr">
        <is>
          <t>4.12.6-F1</t>
        </is>
      </c>
      <c r="B17" s="4" t="inlineStr">
        <is>
          <t>4.12.6</t>
        </is>
      </c>
      <c r="C17" s="4" t="inlineStr">
        <is>
          <t>medical_student</t>
        </is>
      </c>
      <c r="D17" s="4" t="inlineStr">
        <is>
          <t>ninety degrees</t>
        </is>
      </c>
      <c r="E17" s="4" t="inlineStr">
        <is>
          <t>Flex the knee to about ninety degrees with the foot on the couch and sit on the foot to hold it, as for an anterior drawer.</t>
        </is>
      </c>
      <c r="F17" s="4" t="inlineStr"/>
      <c r="G17" s="4" t="inlineStr"/>
      <c r="H17" s="4" t="inlineStr"/>
    </row>
    <row r="18">
      <c r="A18" s="4" t="inlineStr">
        <is>
          <t>4.12.6-F2</t>
        </is>
      </c>
      <c r="B18" s="4" t="inlineStr">
        <is>
          <t>4.12.6</t>
        </is>
      </c>
      <c r="C18" s="4" t="inlineStr">
        <is>
          <t>medical_student</t>
        </is>
      </c>
      <c r="D18" s="4" t="inlineStr">
        <is>
          <t>fifteen degrees</t>
        </is>
      </c>
      <c r="E18" s="4" t="inlineStr">
        <is>
          <t>Rotate the tibia externally by about fifteen degrees, so the medial side is presented forwards.</t>
        </is>
      </c>
      <c r="F18" s="4" t="inlineStr"/>
      <c r="G18" s="4" t="inlineStr"/>
      <c r="H18" s="4" t="inlineStr"/>
    </row>
    <row r="19">
      <c r="A19" s="4" t="inlineStr">
        <is>
          <t>4.12.6-F3</t>
        </is>
      </c>
      <c r="B19" s="4" t="inlineStr">
        <is>
          <t>4.12.6</t>
        </is>
      </c>
      <c r="C19" s="4" t="inlineStr">
        <is>
          <t>medical_student</t>
        </is>
      </c>
      <c r="D19" s="4" t="inlineStr">
        <is>
          <t>thirty degrees</t>
        </is>
      </c>
      <c r="E19" s="4" t="inlineStr">
        <is>
          <t>A knee with valgus laxity at thirty degrees and no rotational component has an isolated superficial ligament injury, and this test is what separates the two.</t>
        </is>
      </c>
      <c r="F19" s="4" t="inlineStr"/>
      <c r="G19" s="4" t="inlineStr"/>
      <c r="H19" s="4" t="inlineStr"/>
    </row>
    <row r="20">
      <c r="A20" s="4" t="inlineStr">
        <is>
          <t>4.12.6-F4</t>
        </is>
      </c>
      <c r="B20" s="4" t="inlineStr">
        <is>
          <t>4.12.6</t>
        </is>
      </c>
      <c r="C20" s="4" t="inlineStr">
        <is>
          <t>mrcs</t>
        </is>
      </c>
      <c r="D20" s="4" t="inlineStr">
        <is>
          <t>ninety degree</t>
        </is>
      </c>
      <c r="E20" s="4" t="inlineStr">
        <is>
          <t>The expected points are the ninety degree position, the fifteen degrees of external rotation, drawing the tibia forward, watching the medial plateau, and comparing with the neutral drawer.</t>
        </is>
      </c>
      <c r="F20" s="4" t="inlineStr"/>
      <c r="G20" s="4" t="inlineStr"/>
      <c r="H20" s="4" t="inlineStr"/>
    </row>
    <row r="21">
      <c r="A21" s="4" t="inlineStr">
        <is>
          <t>4.12.7-F1</t>
        </is>
      </c>
      <c r="B21" s="4" t="inlineStr">
        <is>
          <t>4.12.7</t>
        </is>
      </c>
      <c r="C21" s="4" t="inlineStr">
        <is>
          <t>medical_student</t>
        </is>
      </c>
      <c r="D21" s="4" t="inlineStr">
        <is>
          <t>thirty degrees</t>
        </is>
      </c>
      <c r="E21" s="4" t="inlineStr">
        <is>
          <t>Perform valgus stress at thirty degrees and in extension, and note both the opening and whether the manoeuvre reproduces the pain.</t>
        </is>
      </c>
      <c r="F21" s="4" t="inlineStr"/>
      <c r="G21" s="4" t="inlineStr"/>
      <c r="H21" s="4" t="inlineStr"/>
    </row>
    <row r="22">
      <c r="A22" s="4" t="inlineStr">
        <is>
          <t>4.12.8-F1</t>
        </is>
      </c>
      <c r="B22" s="4" t="inlineStr">
        <is>
          <t>4.12.8</t>
        </is>
      </c>
      <c r="C22" s="4" t="inlineStr">
        <is>
          <t>medical_student</t>
        </is>
      </c>
      <c r="D22" s="4" t="inlineStr">
        <is>
          <t>thirty degrees</t>
        </is>
      </c>
      <c r="E22" s="4" t="inlineStr">
        <is>
          <t>Perform valgus stress at thirty degrees and in full extension, and record both the opening and the endpoint on each side.</t>
        </is>
      </c>
      <c r="F22" s="4" t="inlineStr"/>
      <c r="G22" s="4" t="inlineStr"/>
      <c r="H22" s="4" t="inlineStr"/>
    </row>
  </sheetData>
  <dataValidations count="1">
    <dataValidation sqref="F3:F22"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14</f>
        <v/>
      </c>
      <c r="C2" s="3">
        <f>20</f>
        <v/>
      </c>
    </row>
    <row r="3">
      <c r="A3" s="2" t="inlineStr">
        <is>
          <t>Decided</t>
        </is>
      </c>
      <c r="B3" s="3">
        <f>COUNTIF(Recommendations!E3:E16,"&lt;&gt;")</f>
        <v/>
      </c>
      <c r="C3" s="3">
        <f>COUNTIF(Measurements!F3:F22,"&lt;&gt;")</f>
        <v/>
      </c>
    </row>
    <row r="4">
      <c r="A4" s="2" t="inlineStr">
        <is>
          <t>Still blank</t>
        </is>
      </c>
      <c r="B4" s="3">
        <f>B2-B3</f>
        <v/>
      </c>
      <c r="C4" s="3">
        <f>C2-C3</f>
        <v/>
      </c>
    </row>
    <row r="5">
      <c r="A5" s="2" t="inlineStr">
        <is>
          <t>CONFIRMED</t>
        </is>
      </c>
      <c r="B5" s="3">
        <f>COUNTIF(Recommendations!E3:E16,"CONFIRMED")</f>
        <v/>
      </c>
      <c r="C5" s="3" t="inlineStr"/>
    </row>
    <row r="6">
      <c r="A6" s="2" t="inlineStr">
        <is>
          <t>AMENDED</t>
        </is>
      </c>
      <c r="B6" s="3">
        <f>COUNTIF(Recommendations!E3:E16,"AMENDED")</f>
        <v/>
      </c>
      <c r="C6" s="3" t="inlineStr"/>
    </row>
    <row r="7">
      <c r="A7" s="2" t="inlineStr">
        <is>
          <t>WITHDRAWN</t>
        </is>
      </c>
      <c r="B7" s="3">
        <f>COUNTIF(Recommendations!E3:E16,"WITHDRAWN")</f>
        <v/>
      </c>
      <c r="C7" s="3" t="inlineStr"/>
    </row>
    <row r="8">
      <c r="A8" s="2" t="inlineStr">
        <is>
          <t>NOT_CLINICAL</t>
        </is>
      </c>
      <c r="B8" s="3">
        <f>COUNTIF(Recommendations!E3:E16,"NOT_CLINICAL")</f>
        <v/>
      </c>
      <c r="C8" s="3" t="inlineStr"/>
    </row>
    <row r="9">
      <c r="A9" s="2" t="inlineStr">
        <is>
          <t>VERIFIED</t>
        </is>
      </c>
      <c r="B9" s="3" t="inlineStr"/>
      <c r="C9" s="3">
        <f>COUNTIF(Measurements!F3:F22,"VERIFIED")</f>
        <v/>
      </c>
    </row>
    <row r="10">
      <c r="A10" s="2" t="inlineStr">
        <is>
          <t>CORRECTED</t>
        </is>
      </c>
      <c r="B10" s="3" t="inlineStr"/>
      <c r="C10" s="3">
        <f>COUNTIF(Measurements!F3:F22,"CORRECTED")</f>
        <v/>
      </c>
    </row>
    <row r="11">
      <c r="A11" s="2" t="inlineStr">
        <is>
          <t>REMOVED</t>
        </is>
      </c>
      <c r="B11" s="3" t="inlineStr"/>
      <c r="C11" s="3">
        <f>COUNTIF(Measurements!F3:F22,"REMOVED")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2026-10-12T20:26:55Z</dcterms:created>
  <dcterms:modified xmlns:dcterms="http://purl.org/dc/terms/" xmlns:xsi="http://www.w3.org/2001/XMLSchema-instance" xsi:type="dcterms:W3CDTF">2026-10-12T20:26:55Z</dcterms:modified>
</cp:coreProperties>
</file>