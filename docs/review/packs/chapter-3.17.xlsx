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3.17 Landmark Biomechanics Papers</t>
        </is>
      </c>
    </row>
    <row r="3">
      <c r="A3" s="2" t="inlineStr">
        <is>
          <t>Section</t>
        </is>
      </c>
      <c r="B3" s="3" t="inlineStr">
        <is>
          <t>3</t>
        </is>
      </c>
    </row>
    <row r="4">
      <c r="A4" s="2" t="inlineStr">
        <is>
          <t>Chapter</t>
        </is>
      </c>
      <c r="B4" s="3" t="inlineStr">
        <is>
          <t>3.17 Landmark Biomechanics Papers</t>
        </is>
      </c>
    </row>
    <row r="5">
      <c r="A5" s="2" t="inlineStr">
        <is>
          <t>Pages</t>
        </is>
      </c>
      <c r="B5" s="3" t="n">
        <v>10</v>
      </c>
    </row>
    <row r="6">
      <c r="A6" s="2" t="inlineStr">
        <is>
          <t>Page type</t>
        </is>
      </c>
      <c r="B6" s="3" t="inlineStr">
        <is>
          <t>landmark_papers</t>
        </is>
      </c>
    </row>
    <row r="7">
      <c r="A7" s="2" t="inlineStr">
        <is>
          <t>Tiers</t>
        </is>
      </c>
      <c r="B7" s="3" t="inlineStr">
        <is>
          <t>frcs, fellowship, consultant</t>
        </is>
      </c>
    </row>
    <row r="8">
      <c r="A8" s="2" t="inlineStr">
        <is>
          <t>Words</t>
        </is>
      </c>
      <c r="B8" s="3" t="inlineStr">
        <is>
          <t>13,689</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93</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3.17.1</t>
        </is>
      </c>
      <c r="B2" s="6" t="inlineStr">
        <is>
          <t>ACL Landmark Studies</t>
        </is>
      </c>
      <c r="C2" s="6" t="n">
        <v>3</v>
      </c>
      <c r="D2" s="6" t="n">
        <v>1488</v>
      </c>
      <c r="E2" s="6" t="inlineStr">
        <is>
          <t>biomechanics/acl-landmark-studies.html</t>
        </is>
      </c>
    </row>
    <row r="3">
      <c r="A3" s="6" t="inlineStr">
        <is>
          <t>3.17.2</t>
        </is>
      </c>
      <c r="B3" s="6" t="inlineStr">
        <is>
          <t>PCL Landmark Studies</t>
        </is>
      </c>
      <c r="C3" s="6" t="n">
        <v>3</v>
      </c>
      <c r="D3" s="6" t="n">
        <v>1385</v>
      </c>
      <c r="E3" s="6" t="inlineStr">
        <is>
          <t>biomechanics/pcl-landmark-studies.html</t>
        </is>
      </c>
    </row>
    <row r="4">
      <c r="A4" s="6" t="inlineStr">
        <is>
          <t>3.17.3</t>
        </is>
      </c>
      <c r="B4" s="6" t="inlineStr">
        <is>
          <t>Meniscal Landmark Studies</t>
        </is>
      </c>
      <c r="C4" s="6" t="n">
        <v>3</v>
      </c>
      <c r="D4" s="6" t="n">
        <v>1411</v>
      </c>
      <c r="E4" s="6" t="inlineStr">
        <is>
          <t>biomechanics/meniscal-landmark-studies.html</t>
        </is>
      </c>
    </row>
    <row r="5">
      <c r="A5" s="6" t="inlineStr">
        <is>
          <t>3.17.4</t>
        </is>
      </c>
      <c r="B5" s="6" t="inlineStr">
        <is>
          <t>Medial Knee Landmark Studies</t>
        </is>
      </c>
      <c r="C5" s="6" t="n">
        <v>3</v>
      </c>
      <c r="D5" s="6" t="n">
        <v>1286</v>
      </c>
      <c r="E5" s="6" t="inlineStr">
        <is>
          <t>biomechanics/medial-knee-landmark-studies.html</t>
        </is>
      </c>
    </row>
    <row r="6">
      <c r="A6" s="6" t="inlineStr">
        <is>
          <t>3.17.5</t>
        </is>
      </c>
      <c r="B6" s="6" t="inlineStr">
        <is>
          <t>PLC Landmark Studies</t>
        </is>
      </c>
      <c r="C6" s="6" t="n">
        <v>3</v>
      </c>
      <c r="D6" s="6" t="n">
        <v>1304</v>
      </c>
      <c r="E6" s="6" t="inlineStr">
        <is>
          <t>biomechanics/posterolateral-landmark-studies.html</t>
        </is>
      </c>
    </row>
    <row r="7">
      <c r="A7" s="6" t="inlineStr">
        <is>
          <t>3.17.6</t>
        </is>
      </c>
      <c r="B7" s="6" t="inlineStr">
        <is>
          <t>Patellofemoral Landmark Studies</t>
        </is>
      </c>
      <c r="C7" s="6" t="n">
        <v>3</v>
      </c>
      <c r="D7" s="6" t="n">
        <v>1379</v>
      </c>
      <c r="E7" s="6" t="inlineStr">
        <is>
          <t>biomechanics/patellofemoral-landmark-studies.html</t>
        </is>
      </c>
    </row>
    <row r="8">
      <c r="A8" s="6" t="inlineStr">
        <is>
          <t>3.17.7</t>
        </is>
      </c>
      <c r="B8" s="6" t="inlineStr">
        <is>
          <t>Osteotomy Landmark Studies</t>
        </is>
      </c>
      <c r="C8" s="6" t="n">
        <v>3</v>
      </c>
      <c r="D8" s="6" t="n">
        <v>1277</v>
      </c>
      <c r="E8" s="6" t="inlineStr">
        <is>
          <t>biomechanics/osteotomy-landmark-studies.html</t>
        </is>
      </c>
    </row>
    <row r="9">
      <c r="A9" s="6" t="inlineStr">
        <is>
          <t>3.17.8</t>
        </is>
      </c>
      <c r="B9" s="6" t="inlineStr">
        <is>
          <t>Arthroplasty Landmark Studies</t>
        </is>
      </c>
      <c r="C9" s="6" t="n">
        <v>3</v>
      </c>
      <c r="D9" s="6" t="n">
        <v>1363</v>
      </c>
      <c r="E9" s="6" t="inlineStr">
        <is>
          <t>biomechanics/arthroplasty-landmark-studies.html</t>
        </is>
      </c>
    </row>
    <row r="10">
      <c r="A10" s="6" t="inlineStr">
        <is>
          <t>3.17.9</t>
        </is>
      </c>
      <c r="B10" s="6" t="inlineStr">
        <is>
          <t>Imperial Knee Biomechanics Contributions</t>
        </is>
      </c>
      <c r="C10" s="6" t="n">
        <v>3</v>
      </c>
      <c r="D10" s="6" t="n">
        <v>1453</v>
      </c>
      <c r="E10" s="6" t="inlineStr">
        <is>
          <t>biomechanics/imperial-knee-biomechanics-contributions.html</t>
        </is>
      </c>
    </row>
    <row r="11">
      <c r="A11" s="6" t="inlineStr">
        <is>
          <t>3.17.10</t>
        </is>
      </c>
      <c r="B11" s="6" t="inlineStr">
        <is>
          <t>Future Research Priorities</t>
        </is>
      </c>
      <c r="C11" s="6" t="n">
        <v>3</v>
      </c>
      <c r="D11" s="6" t="n">
        <v>1343</v>
      </c>
      <c r="E11" s="6" t="inlineStr">
        <is>
          <t>biomechanics/future-research-priorities.html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3.17.1</t>
        </is>
      </c>
      <c r="B2" s="4" t="inlineStr">
        <is>
          <t>ACL Landmark Studies</t>
        </is>
      </c>
      <c r="C2" s="4" t="inlineStr">
        <is>
          <t>The decision these studies inform is what a reconstruction should reproduce, and it is a balance rather than a rule.</t>
        </is>
      </c>
    </row>
    <row r="3">
      <c r="A3" s="4" t="inlineStr">
        <is>
          <t>3.17.1</t>
        </is>
      </c>
      <c r="B3" s="4" t="inlineStr">
        <is>
          <t>ACL Landmark Studies</t>
        </is>
      </c>
      <c r="C3" s="4" t="inlineStr">
        <is>
          <t>Tunnel position has the strongest mechanical support and the weakest patient reported signal, which is the tension to weigh.</t>
        </is>
      </c>
    </row>
    <row r="4">
      <c r="A4" s="4" t="inlineStr">
        <is>
          <t>3.17.1</t>
        </is>
      </c>
      <c r="B4" s="4" t="inlineStr">
        <is>
          <t>ACL Landmark Studies</t>
        </is>
      </c>
      <c r="C4" s="4" t="inlineStr">
        <is>
          <t>The five patient factors change the answer more than the laboratory evidence does.</t>
        </is>
      </c>
    </row>
    <row r="5">
      <c r="A5" s="4" t="inlineStr">
        <is>
          <t>3.17.1</t>
        </is>
      </c>
      <c r="B5" s="4" t="inlineStr">
        <is>
          <t>ACL Landmark Studies</t>
        </is>
      </c>
      <c r="C5" s="4" t="inlineStr">
        <is>
          <t>Read contested work for its comparator, since that is usually where the disagreement sits.</t>
        </is>
      </c>
    </row>
    <row r="6">
      <c r="A6" s="4" t="inlineStr">
        <is>
          <t>3.17.1</t>
        </is>
      </c>
      <c r="B6" s="4" t="inlineStr">
        <is>
          <t>ACL Landmark Studies</t>
        </is>
      </c>
      <c r="C6" s="4" t="inlineStr">
        <is>
          <t>The field's best evidence comes from specimens with no muscle, and teaching should say so.</t>
        </is>
      </c>
    </row>
    <row r="7">
      <c r="A7" s="4" t="inlineStr">
        <is>
          <t>3.17.2</t>
        </is>
      </c>
      <c r="B7" s="4" t="inlineStr">
        <is>
          <t>PCL Landmark Studies</t>
        </is>
      </c>
      <c r="C7" s="4" t="inlineStr">
        <is>
          <t>Whether to operate on an isolated PCL injury is a balance the literature does not settle.</t>
        </is>
      </c>
    </row>
    <row r="8">
      <c r="A8" s="4" t="inlineStr">
        <is>
          <t>3.17.2</t>
        </is>
      </c>
      <c r="B8" s="4" t="inlineStr">
        <is>
          <t>PCL Landmark Studies</t>
        </is>
      </c>
      <c r="C8" s="4" t="inlineStr">
        <is>
          <t>The mechanical case is strong, the natural history case is weak, and the two are often quoted as though they were one body of evidence.</t>
        </is>
      </c>
    </row>
    <row r="9">
      <c r="A9" s="4" t="inlineStr">
        <is>
          <t>3.17.2</t>
        </is>
      </c>
      <c r="B9" s="4" t="inlineStr">
        <is>
          <t>PCL Landmark Studies</t>
        </is>
      </c>
      <c r="C9" s="4" t="inlineStr">
        <is>
          <t>The five patient factors carry more weight here than the laboratory findings.</t>
        </is>
      </c>
    </row>
    <row r="10">
      <c r="A10" s="4" t="inlineStr">
        <is>
          <t>3.17.2</t>
        </is>
      </c>
      <c r="B10" s="4" t="inlineStr">
        <is>
          <t>PCL Landmark Studies</t>
        </is>
      </c>
      <c r="C10" s="4" t="inlineStr">
        <is>
          <t>Recognising a combined injury changes management more than any isolated PCL decision.</t>
        </is>
      </c>
    </row>
    <row r="11">
      <c r="A11" s="4" t="inlineStr">
        <is>
          <t>3.17.2</t>
        </is>
      </c>
      <c r="B11" s="4" t="inlineStr">
        <is>
          <t>PCL Landmark Studies</t>
        </is>
      </c>
      <c r="C11" s="4" t="inlineStr">
        <is>
          <t>Teach improvement rather than restoration as the stated aim, because that is what the literature reports.</t>
        </is>
      </c>
    </row>
    <row r="12">
      <c r="A12" s="4" t="inlineStr">
        <is>
          <t>3.17.3</t>
        </is>
      </c>
      <c r="B12" s="4" t="inlineStr">
        <is>
          <t>Meniscal Landmark Studies</t>
        </is>
      </c>
      <c r="C12" s="4" t="inlineStr">
        <is>
          <t>Whether to resect a fragment is a balance argument, and the mechanical evidence weighs against resection in every case where the symptom is not obstructive.</t>
        </is>
      </c>
    </row>
    <row r="13">
      <c r="A13" s="4" t="inlineStr">
        <is>
          <t>3.17.3</t>
        </is>
      </c>
      <c r="B13" s="4" t="inlineStr">
        <is>
          <t>Meniscal Landmark Studies</t>
        </is>
      </c>
      <c r="C13" s="4" t="inlineStr">
        <is>
          <t>Every millimetre removed is permanent, which is the asymmetry that should shape the conversation.</t>
        </is>
      </c>
    </row>
    <row r="14">
      <c r="A14" s="4" t="inlineStr">
        <is>
          <t>3.17.3</t>
        </is>
      </c>
      <c r="B14" s="4" t="inlineStr">
        <is>
          <t>Meniscal Landmark Studies</t>
        </is>
      </c>
      <c r="C14" s="4" t="inlineStr">
        <is>
          <t>The five patient factors decide most of these consultations.</t>
        </is>
      </c>
    </row>
    <row r="15">
      <c r="A15" s="4" t="inlineStr">
        <is>
          <t>3.17.3</t>
        </is>
      </c>
      <c r="B15" s="4" t="inlineStr">
        <is>
          <t>Meniscal Landmark Studies</t>
        </is>
      </c>
      <c r="C15" s="4" t="inlineStr">
        <is>
          <t>The trials are a verdict on one procedure in one population, not on arthroscopy.</t>
        </is>
      </c>
    </row>
    <row r="16">
      <c r="A16" s="4" t="inlineStr">
        <is>
          <t>3.17.3</t>
        </is>
      </c>
      <c r="B16" s="4" t="inlineStr">
        <is>
          <t>Meniscal Landmark Studies</t>
        </is>
      </c>
      <c r="C16" s="4" t="inlineStr">
        <is>
          <t>Mechanical and trial evidence agreed here and practice still lagged, which is the chapter's real lesson.</t>
        </is>
      </c>
    </row>
    <row r="17">
      <c r="A17" s="4" t="inlineStr">
        <is>
          <t>3.17.4</t>
        </is>
      </c>
      <c r="B17" s="4" t="inlineStr">
        <is>
          <t>Medial Knee Landmark Studies</t>
        </is>
      </c>
      <c r="C17" s="4" t="inlineStr">
        <is>
          <t>What to do with a combined medial and cruciate injury is a balance the mechanical literature does not settle.</t>
        </is>
      </c>
    </row>
    <row r="18">
      <c r="A18" s="4" t="inlineStr">
        <is>
          <t>3.17.4</t>
        </is>
      </c>
      <c r="B18" s="4" t="inlineStr">
        <is>
          <t>Medial Knee Landmark Studies</t>
        </is>
      </c>
      <c r="C18" s="4" t="inlineStr">
        <is>
          <t>Healing capacity is the argument for waiting and it varies between patients more than the mechanics do.</t>
        </is>
      </c>
    </row>
    <row r="19">
      <c r="A19" s="4" t="inlineStr">
        <is>
          <t>3.17.4</t>
        </is>
      </c>
      <c r="B19" s="4" t="inlineStr">
        <is>
          <t>Medial Knee Landmark Studies</t>
        </is>
      </c>
      <c r="C19" s="4" t="inlineStr">
        <is>
          <t>The five patient factors are what separates the three defensible plans.</t>
        </is>
      </c>
    </row>
    <row r="20">
      <c r="A20" s="4" t="inlineStr">
        <is>
          <t>3.17.4</t>
        </is>
      </c>
      <c r="B20" s="4" t="inlineStr">
        <is>
          <t>Medial Knee Landmark Studies</t>
        </is>
      </c>
      <c r="C20" s="4" t="inlineStr">
        <is>
          <t>Rotation, not valgus, is where the management argument sits.</t>
        </is>
      </c>
    </row>
    <row r="21">
      <c r="A21" s="4" t="inlineStr">
        <is>
          <t>3.17.4</t>
        </is>
      </c>
      <c r="B21" s="4" t="inlineStr">
        <is>
          <t>Medial Knee Landmark Studies</t>
        </is>
      </c>
      <c r="C21" s="4" t="inlineStr">
        <is>
          <t>A strong mechanical hierarchy and an unsettled management question can coexist.</t>
        </is>
      </c>
    </row>
    <row r="22">
      <c r="A22" s="4" t="inlineStr">
        <is>
          <t>3.17.5</t>
        </is>
      </c>
      <c r="B22" s="4" t="inlineStr">
        <is>
          <t>PLC Landmark Studies</t>
        </is>
      </c>
      <c r="C22" s="4" t="inlineStr">
        <is>
          <t>Whether to add a lateral procedure is the least settled balance in this chapter.</t>
        </is>
      </c>
    </row>
    <row r="23">
      <c r="A23" s="4" t="inlineStr">
        <is>
          <t>3.17.5</t>
        </is>
      </c>
      <c r="B23" s="4" t="inlineStr">
        <is>
          <t>PLC Landmark Studies</t>
        </is>
      </c>
      <c r="C23" s="4" t="inlineStr">
        <is>
          <t>Rotational contribution argues for it and disputed anatomy with unknown long term constraint effects argues against.</t>
        </is>
      </c>
    </row>
    <row r="24">
      <c r="A24" s="4" t="inlineStr">
        <is>
          <t>3.17.5</t>
        </is>
      </c>
      <c r="B24" s="4" t="inlineStr">
        <is>
          <t>PLC Landmark Studies</t>
        </is>
      </c>
      <c r="C24" s="4" t="inlineStr">
        <is>
          <t>The five patient factors, and rotational demand in particular, do most of the deciding.</t>
        </is>
      </c>
    </row>
    <row r="25">
      <c r="A25" s="4" t="inlineStr">
        <is>
          <t>3.17.5</t>
        </is>
      </c>
      <c r="B25" s="4" t="inlineStr">
        <is>
          <t>PLC Landmark Studies</t>
        </is>
      </c>
      <c r="C25" s="4" t="inlineStr">
        <is>
          <t>Record the balance, because the evidence is moving and the record is what makes a decision reviewable.</t>
        </is>
      </c>
    </row>
    <row r="26">
      <c r="A26" s="4" t="inlineStr">
        <is>
          <t>3.17.5</t>
        </is>
      </c>
      <c r="B26" s="4" t="inlineStr">
        <is>
          <t>PLC Landmark Studies</t>
        </is>
      </c>
      <c r="C26" s="4" t="inlineStr">
        <is>
          <t>Practice moved ahead of anatomy here, which is a pattern to recognise rather than condemn.</t>
        </is>
      </c>
    </row>
    <row r="27">
      <c r="A27" s="4" t="inlineStr">
        <is>
          <t>3.17.6</t>
        </is>
      </c>
      <c r="B27" s="4" t="inlineStr">
        <is>
          <t>Patellofemoral Landmark Studies</t>
        </is>
      </c>
      <c r="C27" s="4" t="inlineStr">
        <is>
          <t>What to do for anterior knee pain with measured maltracking is a balance, not a rule.</t>
        </is>
      </c>
    </row>
    <row r="28">
      <c r="A28" s="4" t="inlineStr">
        <is>
          <t>3.17.6</t>
        </is>
      </c>
      <c r="B28" s="4" t="inlineStr">
        <is>
          <t>Patellofemoral Landmark Studies</t>
        </is>
      </c>
      <c r="C28" s="4" t="inlineStr">
        <is>
          <t>A measured mechanical abnormality is not by itself an indication.</t>
        </is>
      </c>
    </row>
    <row r="29">
      <c r="A29" s="4" t="inlineStr">
        <is>
          <t>3.17.6</t>
        </is>
      </c>
      <c r="B29" s="4" t="inlineStr">
        <is>
          <t>Patellofemoral Landmark Studies</t>
        </is>
      </c>
      <c r="C29" s="4" t="inlineStr">
        <is>
          <t>Psychological state carries unusual weight in this presentation and should be weighed as evidence rather than as courtesy.</t>
        </is>
      </c>
    </row>
    <row r="30">
      <c r="A30" s="4" t="inlineStr">
        <is>
          <t>3.17.6</t>
        </is>
      </c>
      <c r="B30" s="4" t="inlineStr">
        <is>
          <t>Patellofemoral Landmark Studies</t>
        </is>
      </c>
      <c r="C30" s="4" t="inlineStr">
        <is>
          <t>How a maltracking finding is explained to a patient becomes part of their problem.</t>
        </is>
      </c>
    </row>
    <row r="31">
      <c r="A31" s="4" t="inlineStr">
        <is>
          <t>3.17.6</t>
        </is>
      </c>
      <c r="B31" s="4" t="inlineStr">
        <is>
          <t>Patellofemoral Landmark Studies</t>
        </is>
      </c>
      <c r="C31" s="4" t="inlineStr">
        <is>
          <t>Instability predicts structurally; pain does not, and the two literatures should be read apart.</t>
        </is>
      </c>
    </row>
    <row r="32">
      <c r="A32" s="4" t="inlineStr">
        <is>
          <t>3.17.7</t>
        </is>
      </c>
      <c r="B32" s="4" t="inlineStr">
        <is>
          <t>Osteotomy Landmark Studies</t>
        </is>
      </c>
      <c r="C32" s="4" t="inlineStr">
        <is>
          <t>Osteotomy against arthroplasty against waiting is a close balance in the younger patient.</t>
        </is>
      </c>
    </row>
    <row r="33">
      <c r="A33" s="4" t="inlineStr">
        <is>
          <t>3.17.7</t>
        </is>
      </c>
      <c r="B33" s="4" t="inlineStr">
        <is>
          <t>Osteotomy Landmark Studies</t>
        </is>
      </c>
      <c r="C33" s="4" t="inlineStr">
        <is>
          <t>Joint preservation and a sound rationale weigh against a long recovery and absent disease modification evidence.</t>
        </is>
      </c>
    </row>
    <row r="34">
      <c r="A34" s="4" t="inlineStr">
        <is>
          <t>3.17.7</t>
        </is>
      </c>
      <c r="B34" s="4" t="inlineStr">
        <is>
          <t>Osteotomy Landmark Studies</t>
        </is>
      </c>
      <c r="C34" s="4" t="inlineStr">
        <is>
          <t>The five patient factors, and tolerance of recovery in particular, decide most of these consultations.</t>
        </is>
      </c>
    </row>
    <row r="35">
      <c r="A35" s="4" t="inlineStr">
        <is>
          <t>3.17.7</t>
        </is>
      </c>
      <c r="B35" s="4" t="inlineStr">
        <is>
          <t>Osteotomy Landmark Studies</t>
        </is>
      </c>
      <c r="C35" s="4" t="inlineStr">
        <is>
          <t>A correct mechanical argument is not evidence that an operation works.</t>
        </is>
      </c>
    </row>
    <row r="36">
      <c r="A36" s="4" t="inlineStr">
        <is>
          <t>3.17.7</t>
        </is>
      </c>
      <c r="B36" s="4" t="inlineStr">
        <is>
          <t>Osteotomy Landmark Studies</t>
        </is>
      </c>
      <c r="C36" s="4" t="inlineStr">
        <is>
          <t>Absent evidence and negative evidence are different, and this chapter is where the difference matters.</t>
        </is>
      </c>
    </row>
    <row r="37">
      <c r="A37" s="4" t="inlineStr">
        <is>
          <t>3.17.8</t>
        </is>
      </c>
      <c r="B37" s="4" t="inlineStr">
        <is>
          <t>Arthroplasty Landmark Studies</t>
        </is>
      </c>
      <c r="C37" s="4" t="inlineStr">
        <is>
          <t>Alignment strategy is a balance between long survival evidence and short functional evidence.</t>
        </is>
      </c>
    </row>
    <row r="38">
      <c r="A38" s="4" t="inlineStr">
        <is>
          <t>3.17.8</t>
        </is>
      </c>
      <c r="B38" s="4" t="inlineStr">
        <is>
          <t>Arthroplasty Landmark Studies</t>
        </is>
      </c>
      <c r="C38" s="4" t="inlineStr">
        <is>
          <t>The kinematic case is strongest where the patient's demands are highest.</t>
        </is>
      </c>
    </row>
    <row r="39">
      <c r="A39" s="4" t="inlineStr">
        <is>
          <t>3.17.8</t>
        </is>
      </c>
      <c r="B39" s="4" t="inlineStr">
        <is>
          <t>Arthroplasty Landmark Studies</t>
        </is>
      </c>
      <c r="C39" s="4" t="inlineStr">
        <is>
          <t>Expectation is the one factor here known to change the outcome being measured.</t>
        </is>
      </c>
    </row>
    <row r="40">
      <c r="A40" s="4" t="inlineStr">
        <is>
          <t>3.17.8</t>
        </is>
      </c>
      <c r="B40" s="4" t="inlineStr">
        <is>
          <t>Arthroplasty Landmark Studies</t>
        </is>
      </c>
      <c r="C40" s="4" t="inlineStr">
        <is>
          <t>An operation can be reliable and mechanically unsuccessful at once, and both claims are supported.</t>
        </is>
      </c>
    </row>
    <row r="41">
      <c r="A41" s="4" t="inlineStr">
        <is>
          <t>3.17.8</t>
        </is>
      </c>
      <c r="B41" s="4" t="inlineStr">
        <is>
          <t>Arthroplasty Landmark Studies</t>
        </is>
      </c>
      <c r="C41" s="4" t="inlineStr">
        <is>
          <t>The gap between kinematics and satisfaction is the field's live question, not an inconsistency.</t>
        </is>
      </c>
    </row>
    <row r="42">
      <c r="A42" s="4" t="inlineStr">
        <is>
          <t>3.17.9</t>
        </is>
      </c>
      <c r="B42" s="4" t="inlineStr">
        <is>
          <t>Imperial Knee Biomechanics Contributions</t>
        </is>
      </c>
      <c r="C42" s="4" t="inlineStr">
        <is>
          <t>The decision here is about attribution rather than about a patient, and it is still a balance.</t>
        </is>
      </c>
    </row>
    <row r="43">
      <c r="A43" s="4" t="inlineStr">
        <is>
          <t>3.17.9</t>
        </is>
      </c>
      <c r="B43" s="4" t="inlineStr">
        <is>
          <t>Imperial Knee Biomechanics Contributions</t>
        </is>
      </c>
      <c r="C43" s="4" t="inlineStr">
        <is>
          <t>Publishing gathers useful standard teaching; holding avoids implying an institutional account of itself.</t>
        </is>
      </c>
    </row>
    <row r="44">
      <c r="A44" s="4" t="inlineStr">
        <is>
          <t>3.17.9</t>
        </is>
      </c>
      <c r="B44" s="4" t="inlineStr">
        <is>
          <t>Imperial Knee Biomechanics Contributions</t>
        </is>
      </c>
      <c r="C44" s="4" t="inlineStr">
        <is>
          <t>The discoverable flag being false is what makes publishing defensible, and it is weaker than review.</t>
        </is>
      </c>
    </row>
    <row r="45">
      <c r="A45" s="4" t="inlineStr">
        <is>
          <t>3.17.9</t>
        </is>
      </c>
      <c r="B45" s="4" t="inlineStr">
        <is>
          <t>Imperial Knee Biomechanics Contributions</t>
        </is>
      </c>
      <c r="C45" s="4" t="inlineStr">
        <is>
          <t>The limit is stated in the page body rather than only in the register, deliberately.</t>
        </is>
      </c>
    </row>
    <row r="46">
      <c r="A46" s="4" t="inlineStr">
        <is>
          <t>3.17.9</t>
        </is>
      </c>
      <c r="B46" s="4" t="inlineStr">
        <is>
          <t>Imperial Knee Biomechanics Contributions</t>
        </is>
      </c>
      <c r="C46" s="4" t="inlineStr">
        <is>
          <t>Whether the page should exist in this form is the group's call, and it is logged as open.</t>
        </is>
      </c>
    </row>
    <row r="47">
      <c r="A47" s="4" t="inlineStr">
        <is>
          <t>3.17.10</t>
        </is>
      </c>
      <c r="B47" s="4" t="inlineStr">
        <is>
          <t>Future Research Priorities</t>
        </is>
      </c>
      <c r="C47" s="4" t="inlineStr">
        <is>
          <t>What to tell a patient when the evidence stops short of their question is itself a balance.</t>
        </is>
      </c>
    </row>
    <row r="48">
      <c r="A48" s="4" t="inlineStr">
        <is>
          <t>3.17.10</t>
        </is>
      </c>
      <c r="B48" s="4" t="inlineStr">
        <is>
          <t>Future Research Priorities</t>
        </is>
      </c>
      <c r="C48" s="4" t="inlineStr">
        <is>
          <t>Plain uncertainty supports shared decisions; unstructured uncertainty damages them.</t>
        </is>
      </c>
    </row>
    <row r="49">
      <c r="A49" s="4" t="inlineStr">
        <is>
          <t>3.17.10</t>
        </is>
      </c>
      <c r="B49" s="4" t="inlineStr">
        <is>
          <t>Future Research Priorities</t>
        </is>
      </c>
      <c r="C49" s="4" t="inlineStr">
        <is>
          <t>Elicit what the patient wants to know first, because it determines which uncertainty is worth raising.</t>
        </is>
      </c>
    </row>
    <row r="50">
      <c r="A50" s="4" t="inlineStr">
        <is>
          <t>3.17.10</t>
        </is>
      </c>
      <c r="B50" s="4" t="inlineStr">
        <is>
          <t>Future Research Priorities</t>
        </is>
      </c>
      <c r="C50" s="4" t="inlineStr">
        <is>
          <t>This site's measurements are unchecked and its clinical directions unsigned, and both are listed so they can be worked rather than admired.</t>
        </is>
      </c>
    </row>
    <row r="51">
      <c r="A51" s="4" t="inlineStr">
        <is>
          <t>3.17.10</t>
        </is>
      </c>
      <c r="B51" s="4" t="inlineStr">
        <is>
          <t>Future Research Priorities</t>
        </is>
      </c>
      <c r="C51" s="4" t="inlineStr">
        <is>
          <t>A page that lists what it does not know is more useful than one that does not.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3.17.1-P1</t>
        </is>
      </c>
      <c r="B3" s="4" t="inlineStr">
        <is>
          <t>3.17.1</t>
        </is>
      </c>
      <c r="C3" s="4" t="inlineStr">
        <is>
          <t>fellowship</t>
        </is>
      </c>
      <c r="D3" s="4" t="inlineStr">
        <is>
          <t>Read the method before the number on every one of these studies, because the method sets what the number can be used for.</t>
        </is>
      </c>
      <c r="E3" s="4" t="inlineStr"/>
      <c r="F3" s="4" t="inlineStr"/>
      <c r="G3" s="4" t="inlineStr"/>
    </row>
    <row r="4">
      <c r="A4" s="4" t="inlineStr">
        <is>
          <t>3.17.1-P2</t>
        </is>
      </c>
      <c r="B4" s="4" t="inlineStr">
        <is>
          <t>3.17.1</t>
        </is>
      </c>
      <c r="C4" s="4" t="inlineStr">
        <is>
          <t>fellowship</t>
        </is>
      </c>
      <c r="D4" s="4" t="inlineStr">
        <is>
          <t>Read the sectioning studies for attribution and the robotic studies for magnitude, and do not mix the two.</t>
        </is>
      </c>
      <c r="E4" s="4" t="inlineStr"/>
      <c r="F4" s="4" t="inlineStr"/>
      <c r="G4" s="4" t="inlineStr"/>
    </row>
    <row r="5">
      <c r="A5" s="4" t="inlineStr">
        <is>
          <t>3.17.1-P3</t>
        </is>
      </c>
      <c r="B5" s="4" t="inlineStr">
        <is>
          <t>3.17.1</t>
        </is>
      </c>
      <c r="C5" s="4" t="inlineStr">
        <is>
          <t>fellowship</t>
        </is>
      </c>
      <c r="D5" s="4" t="inlineStr">
        <is>
          <t>Read the in vivo strain work before giving a rehabilitation protocol, because the protocol is where that evidence actually applies.</t>
        </is>
      </c>
      <c r="E5" s="4" t="inlineStr"/>
      <c r="F5" s="4" t="inlineStr"/>
      <c r="G5" s="4" t="inlineStr"/>
    </row>
    <row r="6">
      <c r="A6" s="4" t="inlineStr">
        <is>
          <t>3.17.1-P4</t>
        </is>
      </c>
      <c r="B6" s="4" t="inlineStr">
        <is>
          <t>3.17.1</t>
        </is>
      </c>
      <c r="C6" s="4" t="inlineStr">
        <is>
          <t>fellowship</t>
        </is>
      </c>
      <c r="D6" s="4" t="inlineStr">
        <is>
          <t>Treat any single figure for ACL failure load as meaningless without the specimen age and the loading rate beside it.</t>
        </is>
      </c>
      <c r="E6" s="4" t="inlineStr"/>
      <c r="F6" s="4" t="inlineStr"/>
      <c r="G6" s="4" t="inlineStr"/>
    </row>
    <row r="7">
      <c r="A7" s="4" t="inlineStr">
        <is>
          <t>3.17.1-P5</t>
        </is>
      </c>
      <c r="B7" s="4" t="inlineStr">
        <is>
          <t>3.17.1</t>
        </is>
      </c>
      <c r="C7" s="4" t="inlineStr">
        <is>
          <t>fellowship</t>
        </is>
      </c>
      <c r="D7" s="4" t="inlineStr">
        <is>
          <t>Expect the rotational control question to stay open, and read new work on it for the control condition rather than for the conclusion.</t>
        </is>
      </c>
      <c r="E7" s="4" t="inlineStr"/>
      <c r="F7" s="4" t="inlineStr"/>
      <c r="G7" s="4" t="inlineStr"/>
    </row>
    <row r="8">
      <c r="A8" s="4" t="inlineStr">
        <is>
          <t>3.17.1-P6</t>
        </is>
      </c>
      <c r="B8" s="4" t="inlineStr">
        <is>
          <t>3.17.1</t>
        </is>
      </c>
      <c r="C8" s="4" t="inlineStr">
        <is>
          <t>consultant</t>
        </is>
      </c>
      <c r="D8" s="4" t="inlineStr">
        <is>
          <t>Factor in the patient's age and physiology, since the failure load work says the ligament being matched is not the same ligament at twenty and at fifty.</t>
        </is>
      </c>
      <c r="E8" s="4" t="inlineStr"/>
      <c r="F8" s="4" t="inlineStr"/>
      <c r="G8" s="4" t="inlineStr"/>
    </row>
    <row r="9">
      <c r="A9" s="4" t="inlineStr">
        <is>
          <t>3.17.1-P7</t>
        </is>
      </c>
      <c r="B9" s="4" t="inlineStr">
        <is>
          <t>3.17.1</t>
        </is>
      </c>
      <c r="C9" s="4" t="inlineStr">
        <is>
          <t>consultant</t>
        </is>
      </c>
      <c r="D9" s="4" t="inlineStr">
        <is>
          <t>Factor in comorbidities that change healing and rehabilitation tolerance.</t>
        </is>
      </c>
      <c r="E9" s="4" t="inlineStr"/>
      <c r="F9" s="4" t="inlineStr"/>
      <c r="G9" s="4" t="inlineStr"/>
    </row>
    <row r="10">
      <c r="A10" s="4" t="inlineStr">
        <is>
          <t>3.17.1-P8</t>
        </is>
      </c>
      <c r="B10" s="4" t="inlineStr">
        <is>
          <t>3.17.1</t>
        </is>
      </c>
      <c r="C10" s="4" t="inlineStr">
        <is>
          <t>consultant</t>
        </is>
      </c>
      <c r="D10" s="4" t="inlineStr">
        <is>
          <t>Factor in the demands they place on the knee, because a pivoting athlete and a cyclist are asking different things of the same construct.</t>
        </is>
      </c>
      <c r="E10" s="4" t="inlineStr"/>
      <c r="F10" s="4" t="inlineStr"/>
      <c r="G10" s="4" t="inlineStr"/>
    </row>
    <row r="11">
      <c r="A11" s="4" t="inlineStr">
        <is>
          <t>3.17.1-P9</t>
        </is>
      </c>
      <c r="B11" s="4" t="inlineStr">
        <is>
          <t>3.17.1</t>
        </is>
      </c>
      <c r="C11" s="4" t="inlineStr">
        <is>
          <t>consultant</t>
        </is>
      </c>
      <c r="D11" s="4" t="inlineStr">
        <is>
          <t>Factor in their psychological state, since fear of reinjury predicts return to sport more strongly than laxity does.</t>
        </is>
      </c>
      <c r="E11" s="4" t="inlineStr"/>
      <c r="F11" s="4" t="inlineStr"/>
      <c r="G11" s="4" t="inlineStr"/>
    </row>
    <row r="12">
      <c r="A12" s="4" t="inlineStr">
        <is>
          <t>3.17.1-P10</t>
        </is>
      </c>
      <c r="B12" s="4" t="inlineStr">
        <is>
          <t>3.17.1</t>
        </is>
      </c>
      <c r="C12" s="4" t="inlineStr">
        <is>
          <t>consultant</t>
        </is>
      </c>
      <c r="D12" s="4" t="inlineStr">
        <is>
          <t>Weigh those together rather than applying the laboratory finding directly, and record which way the balance fell and why.</t>
        </is>
      </c>
      <c r="E12" s="4" t="inlineStr"/>
      <c r="F12" s="4" t="inlineStr"/>
      <c r="G12" s="4" t="inlineStr"/>
    </row>
    <row r="13">
      <c r="A13" s="4" t="inlineStr">
        <is>
          <t>3.17.1-P11</t>
        </is>
      </c>
      <c r="B13" s="4" t="inlineStr">
        <is>
          <t>3.17.1</t>
        </is>
      </c>
      <c r="C13" s="4" t="inlineStr">
        <is>
          <t>consultant</t>
        </is>
      </c>
      <c r="D13" s="4" t="inlineStr">
        <is>
          <t>Read the contested literature for its control group, because the rotational control question has been answered differently by studies whose difference is in the comparator rather than in the finding.</t>
        </is>
      </c>
      <c r="E13" s="4" t="inlineStr"/>
      <c r="F13" s="4" t="inlineStr"/>
      <c r="G13" s="4" t="inlineStr"/>
    </row>
    <row r="14">
      <c r="A14" s="4" t="inlineStr">
        <is>
          <t>3.17.2-P1</t>
        </is>
      </c>
      <c r="B14" s="4" t="inlineStr">
        <is>
          <t>3.17.2</t>
        </is>
      </c>
      <c r="C14" s="4" t="inlineStr">
        <is>
          <t>fellowship</t>
        </is>
      </c>
      <c r="D14" s="4" t="inlineStr">
        <is>
          <t>Read a sectioning study's cutting order before its conclusion, because the order constrains what can be attributed.</t>
        </is>
      </c>
      <c r="E14" s="4" t="inlineStr"/>
      <c r="F14" s="4" t="inlineStr"/>
      <c r="G14" s="4" t="inlineStr"/>
    </row>
    <row r="15">
      <c r="A15" s="4" t="inlineStr">
        <is>
          <t>3.17.2-P2</t>
        </is>
      </c>
      <c r="B15" s="4" t="inlineStr">
        <is>
          <t>3.17.2</t>
        </is>
      </c>
      <c r="C15" s="4" t="inlineStr">
        <is>
          <t>fellowship</t>
        </is>
      </c>
      <c r="D15" s="4" t="inlineStr">
        <is>
          <t>Read posterior translation figures with their flexion angle attached, and discard any quoted without one.</t>
        </is>
      </c>
      <c r="E15" s="4" t="inlineStr"/>
      <c r="F15" s="4" t="inlineStr"/>
      <c r="G15" s="4" t="inlineStr"/>
    </row>
    <row r="16">
      <c r="A16" s="4" t="inlineStr">
        <is>
          <t>3.17.2-P3</t>
        </is>
      </c>
      <c r="B16" s="4" t="inlineStr">
        <is>
          <t>3.17.2</t>
        </is>
      </c>
      <c r="C16" s="4" t="inlineStr">
        <is>
          <t>fellowship</t>
        </is>
      </c>
      <c r="D16" s="4" t="inlineStr">
        <is>
          <t>Treat the double bundle question as open and read new work for whether its comparator is a well done single bundle procedure.</t>
        </is>
      </c>
      <c r="E16" s="4" t="inlineStr"/>
      <c r="F16" s="4" t="inlineStr"/>
      <c r="G16" s="4" t="inlineStr"/>
    </row>
    <row r="17">
      <c r="A17" s="4" t="inlineStr">
        <is>
          <t>3.17.2-P4</t>
        </is>
      </c>
      <c r="B17" s="4" t="inlineStr">
        <is>
          <t>3.17.2</t>
        </is>
      </c>
      <c r="C17" s="4" t="inlineStr">
        <is>
          <t>fellowship</t>
        </is>
      </c>
      <c r="D17" s="4" t="inlineStr">
        <is>
          <t>Read the gait work alongside the cadaveric work, since it is the only evidence here about a knee that is alive and loaded.</t>
        </is>
      </c>
      <c r="E17" s="4" t="inlineStr"/>
      <c r="F17" s="4" t="inlineStr"/>
      <c r="G17" s="4" t="inlineStr"/>
    </row>
    <row r="18">
      <c r="A18" s="4" t="inlineStr">
        <is>
          <t>3.17.2-P5</t>
        </is>
      </c>
      <c r="B18" s="4" t="inlineStr">
        <is>
          <t>3.17.2</t>
        </is>
      </c>
      <c r="C18" s="4" t="inlineStr">
        <is>
          <t>consultant</t>
        </is>
      </c>
      <c r="D18" s="4" t="inlineStr">
        <is>
          <t>Take the patient's age and physiology into account, because the degeneration argument has decades to act in a young patient and may not in an older one.</t>
        </is>
      </c>
      <c r="E18" s="4" t="inlineStr"/>
      <c r="F18" s="4" t="inlineStr"/>
      <c r="G18" s="4" t="inlineStr"/>
    </row>
    <row r="19">
      <c r="A19" s="4" t="inlineStr">
        <is>
          <t>3.17.2-P6</t>
        </is>
      </c>
      <c r="B19" s="4" t="inlineStr">
        <is>
          <t>3.17.2</t>
        </is>
      </c>
      <c r="C19" s="4" t="inlineStr">
        <is>
          <t>consultant</t>
        </is>
      </c>
      <c r="D19" s="4" t="inlineStr">
        <is>
          <t>Take their comorbidities into account, since this is a long and demanding rehabilitation.</t>
        </is>
      </c>
      <c r="E19" s="4" t="inlineStr"/>
      <c r="F19" s="4" t="inlineStr"/>
      <c r="G19" s="4" t="inlineStr"/>
    </row>
    <row r="20">
      <c r="A20" s="4" t="inlineStr">
        <is>
          <t>3.17.2-P7</t>
        </is>
      </c>
      <c r="B20" s="4" t="inlineStr">
        <is>
          <t>3.17.2</t>
        </is>
      </c>
      <c r="C20" s="4" t="inlineStr">
        <is>
          <t>consultant</t>
        </is>
      </c>
      <c r="D20" s="4" t="inlineStr">
        <is>
          <t>Take the demands on their knee into account, because posterior instability declares itself on stairs and descending slopes rather than in a straight line.</t>
        </is>
      </c>
      <c r="E20" s="4" t="inlineStr"/>
      <c r="F20" s="4" t="inlineStr"/>
      <c r="G20" s="4" t="inlineStr"/>
    </row>
    <row r="21">
      <c r="A21" s="4" t="inlineStr">
        <is>
          <t>3.17.2-P8</t>
        </is>
      </c>
      <c r="B21" s="4" t="inlineStr">
        <is>
          <t>3.17.2</t>
        </is>
      </c>
      <c r="C21" s="4" t="inlineStr">
        <is>
          <t>consultant</t>
        </is>
      </c>
      <c r="D21" s="4" t="inlineStr">
        <is>
          <t>Take their psychological state into account, since a knee that feels unreliable produces guarding that outlasts the ligament.</t>
        </is>
      </c>
      <c r="E21" s="4" t="inlineStr"/>
      <c r="F21" s="4" t="inlineStr"/>
      <c r="G21" s="4" t="inlineStr"/>
    </row>
    <row r="22">
      <c r="A22" s="4" t="inlineStr">
        <is>
          <t>3.17.2-P9</t>
        </is>
      </c>
      <c r="B22" s="4" t="inlineStr">
        <is>
          <t>3.17.2</t>
        </is>
      </c>
      <c r="C22" s="4" t="inlineStr">
        <is>
          <t>consultant</t>
        </is>
      </c>
      <c r="D22" s="4" t="inlineStr">
        <is>
          <t>Record the balance and what tipped it, since the literature will not tip it.</t>
        </is>
      </c>
      <c r="E22" s="4" t="inlineStr"/>
      <c r="F22" s="4" t="inlineStr"/>
      <c r="G22" s="4" t="inlineStr"/>
    </row>
    <row r="23">
      <c r="A23" s="4" t="inlineStr">
        <is>
          <t>3.17.2-P10</t>
        </is>
      </c>
      <c r="B23" s="4" t="inlineStr">
        <is>
          <t>3.17.2</t>
        </is>
      </c>
      <c r="C23" s="4" t="inlineStr">
        <is>
          <t>consultant</t>
        </is>
      </c>
      <c r="D23" s="4" t="inlineStr">
        <is>
          <t>Read the combined injury literature first, because recognising the corner changes management more than any decision about the PCL itself.</t>
        </is>
      </c>
      <c r="E23" s="4" t="inlineStr"/>
      <c r="F23" s="4" t="inlineStr"/>
      <c r="G23" s="4" t="inlineStr"/>
    </row>
    <row r="24">
      <c r="A24" s="4" t="inlineStr">
        <is>
          <t>3.17.3-P1</t>
        </is>
      </c>
      <c r="B24" s="4" t="inlineStr">
        <is>
          <t>3.17.3</t>
        </is>
      </c>
      <c r="C24" s="4" t="inlineStr">
        <is>
          <t>frcs</t>
        </is>
      </c>
      <c r="D24" s="4" t="inlineStr">
        <is>
          <t>Repair technique developed around the vascular boundary rather than around the tear pattern alone.</t>
        </is>
      </c>
      <c r="E24" s="4" t="inlineStr"/>
      <c r="F24" s="4" t="inlineStr"/>
      <c r="G24" s="4" t="inlineStr"/>
    </row>
    <row r="25">
      <c r="A25" s="4" t="inlineStr">
        <is>
          <t>3.17.3-P2</t>
        </is>
      </c>
      <c r="B25" s="4" t="inlineStr">
        <is>
          <t>3.17.3</t>
        </is>
      </c>
      <c r="C25" s="4" t="inlineStr">
        <is>
          <t>fellowship</t>
        </is>
      </c>
      <c r="D25" s="4" t="inlineStr">
        <is>
          <t>Read a contact pressure figure for its direction and treat its absolute value as method dependent.</t>
        </is>
      </c>
      <c r="E25" s="4" t="inlineStr"/>
      <c r="F25" s="4" t="inlineStr"/>
      <c r="G25" s="4" t="inlineStr"/>
    </row>
    <row r="26">
      <c r="A26" s="4" t="inlineStr">
        <is>
          <t>3.17.3-P3</t>
        </is>
      </c>
      <c r="B26" s="4" t="inlineStr">
        <is>
          <t>3.17.3</t>
        </is>
      </c>
      <c r="C26" s="4" t="inlineStr">
        <is>
          <t>fellowship</t>
        </is>
      </c>
      <c r="D26" s="4" t="inlineStr">
        <is>
          <t>Check what population a meniscectomy trial recruited before applying it, and say so when quoting it.</t>
        </is>
      </c>
      <c r="E26" s="4" t="inlineStr"/>
      <c r="F26" s="4" t="inlineStr"/>
      <c r="G26" s="4" t="inlineStr"/>
    </row>
    <row r="27">
      <c r="A27" s="4" t="inlineStr">
        <is>
          <t>3.17.3-P4</t>
        </is>
      </c>
      <c r="B27" s="4" t="inlineStr">
        <is>
          <t>3.17.3</t>
        </is>
      </c>
      <c r="C27" s="4" t="inlineStr">
        <is>
          <t>fellowship</t>
        </is>
      </c>
      <c r="D27" s="4" t="inlineStr">
        <is>
          <t>Read the root and extrusion literature as one subject, since a root tear that does not extrude and an extrusion without a root tear behave differently.</t>
        </is>
      </c>
      <c r="E27" s="4" t="inlineStr"/>
      <c r="F27" s="4" t="inlineStr"/>
      <c r="G27" s="4" t="inlineStr"/>
    </row>
    <row r="28">
      <c r="A28" s="4" t="inlineStr">
        <is>
          <t>3.17.3-P5</t>
        </is>
      </c>
      <c r="B28" s="4" t="inlineStr">
        <is>
          <t>3.17.3</t>
        </is>
      </c>
      <c r="C28" s="4" t="inlineStr">
        <is>
          <t>fellowship</t>
        </is>
      </c>
      <c r="D28" s="4" t="inlineStr">
        <is>
          <t>Do not look for a safe resection threshold in this literature, because the relationship it describes is continuous.</t>
        </is>
      </c>
      <c r="E28" s="4" t="inlineStr"/>
      <c r="F28" s="4" t="inlineStr"/>
      <c r="G28" s="4" t="inlineStr"/>
    </row>
    <row r="29">
      <c r="A29" s="4" t="inlineStr">
        <is>
          <t>3.17.3-P6</t>
        </is>
      </c>
      <c r="B29" s="4" t="inlineStr">
        <is>
          <t>3.17.3</t>
        </is>
      </c>
      <c r="C29" s="4" t="inlineStr">
        <is>
          <t>consultant</t>
        </is>
      </c>
      <c r="D29" s="4" t="inlineStr">
        <is>
          <t>Weigh the patient's age and physiology, because the pressure argument has forty years to act in a thirty year old and ten in a seventy year old.</t>
        </is>
      </c>
      <c r="E29" s="4" t="inlineStr"/>
      <c r="F29" s="4" t="inlineStr"/>
      <c r="G29" s="4" t="inlineStr"/>
    </row>
    <row r="30">
      <c r="A30" s="4" t="inlineStr">
        <is>
          <t>3.17.3-P7</t>
        </is>
      </c>
      <c r="B30" s="4" t="inlineStr">
        <is>
          <t>3.17.3</t>
        </is>
      </c>
      <c r="C30" s="4" t="inlineStr">
        <is>
          <t>consultant</t>
        </is>
      </c>
      <c r="D30" s="4" t="inlineStr">
        <is>
          <t>Weigh comorbidities, since several of them change both the anaesthetic risk and the rehabilitation.</t>
        </is>
      </c>
      <c r="E30" s="4" t="inlineStr"/>
      <c r="F30" s="4" t="inlineStr"/>
      <c r="G30" s="4" t="inlineStr"/>
    </row>
    <row r="31">
      <c r="A31" s="4" t="inlineStr">
        <is>
          <t>3.17.3-P8</t>
        </is>
      </c>
      <c r="B31" s="4" t="inlineStr">
        <is>
          <t>3.17.3</t>
        </is>
      </c>
      <c r="C31" s="4" t="inlineStr">
        <is>
          <t>consultant</t>
        </is>
      </c>
      <c r="D31" s="4" t="inlineStr">
        <is>
          <t>Weigh the demands on the knee, because a locked knee in a roofer and a clicking knee in a swimmer are different problems.</t>
        </is>
      </c>
      <c r="E31" s="4" t="inlineStr"/>
      <c r="F31" s="4" t="inlineStr"/>
      <c r="G31" s="4" t="inlineStr"/>
    </row>
    <row r="32">
      <c r="A32" s="4" t="inlineStr">
        <is>
          <t>3.17.3-P9</t>
        </is>
      </c>
      <c r="B32" s="4" t="inlineStr">
        <is>
          <t>3.17.3</t>
        </is>
      </c>
      <c r="C32" s="4" t="inlineStr">
        <is>
          <t>consultant</t>
        </is>
      </c>
      <c r="D32" s="4" t="inlineStr">
        <is>
          <t>Weigh their psychological state, since a patient convinced the knee is damaged beyond use will not rehabilitate it.</t>
        </is>
      </c>
      <c r="E32" s="4" t="inlineStr"/>
      <c r="F32" s="4" t="inlineStr"/>
      <c r="G32" s="4" t="inlineStr"/>
    </row>
    <row r="33">
      <c r="A33" s="4" t="inlineStr">
        <is>
          <t>3.17.3-P10</t>
        </is>
      </c>
      <c r="B33" s="4" t="inlineStr">
        <is>
          <t>3.17.3</t>
        </is>
      </c>
      <c r="C33" s="4" t="inlineStr">
        <is>
          <t>consultant</t>
        </is>
      </c>
      <c r="D33" s="4" t="inlineStr">
        <is>
          <t>And elicit their ideas, concerns and expectations directly, because the commonest expectation brought to this consultation is that a scan finding must be fixed.</t>
        </is>
      </c>
      <c r="E33" s="4" t="inlineStr"/>
      <c r="F33" s="4" t="inlineStr"/>
      <c r="G33" s="4" t="inlineStr"/>
    </row>
    <row r="34">
      <c r="A34" s="4" t="inlineStr">
        <is>
          <t>3.17.3-P11</t>
        </is>
      </c>
      <c r="B34" s="4" t="inlineStr">
        <is>
          <t>3.17.3</t>
        </is>
      </c>
      <c r="C34" s="4" t="inlineStr">
        <is>
          <t>consultant</t>
        </is>
      </c>
      <c r="D34" s="4" t="inlineStr">
        <is>
          <t>State the balance to the patient in those terms and record which way it fell.</t>
        </is>
      </c>
      <c r="E34" s="4" t="inlineStr"/>
      <c r="F34" s="4" t="inlineStr"/>
      <c r="G34" s="4" t="inlineStr"/>
    </row>
    <row r="35">
      <c r="A35" s="4" t="inlineStr">
        <is>
          <t>3.17.3-P12</t>
        </is>
      </c>
      <c r="B35" s="4" t="inlineStr">
        <is>
          <t>3.17.3</t>
        </is>
      </c>
      <c r="C35" s="4" t="inlineStr">
        <is>
          <t>consultant</t>
        </is>
      </c>
      <c r="D35" s="4" t="inlineStr">
        <is>
          <t>Read Fairbank's observation and the modern trials together, because the second is the first with a control group.</t>
        </is>
      </c>
      <c r="E35" s="4" t="inlineStr"/>
      <c r="F35" s="4" t="inlineStr"/>
      <c r="G35" s="4" t="inlineStr"/>
    </row>
    <row r="36">
      <c r="A36" s="4" t="inlineStr">
        <is>
          <t>3.17.4-P1</t>
        </is>
      </c>
      <c r="B36" s="4" t="inlineStr">
        <is>
          <t>3.17.4</t>
        </is>
      </c>
      <c r="C36" s="4" t="inlineStr">
        <is>
          <t>fellowship</t>
        </is>
      </c>
      <c r="D36" s="4" t="inlineStr">
        <is>
          <t>Where it is contested: whether a grade three medial injury alongside an ACL tear should be reconstructed, braced, or left.</t>
        </is>
      </c>
      <c r="E36" s="4" t="inlineStr"/>
      <c r="F36" s="4" t="inlineStr"/>
      <c r="G36" s="4" t="inlineStr"/>
    </row>
    <row r="37">
      <c r="A37" s="4" t="inlineStr">
        <is>
          <t>3.17.4-P2</t>
        </is>
      </c>
      <c r="B37" s="4" t="inlineStr">
        <is>
          <t>3.17.4</t>
        </is>
      </c>
      <c r="C37" s="4" t="inlineStr">
        <is>
          <t>fellowship</t>
        </is>
      </c>
      <c r="D37" s="4" t="inlineStr">
        <is>
          <t>Read a medial sectioning study's dissection boundary before its attribution, since the boundary is a judgement rather than a given.</t>
        </is>
      </c>
      <c r="E37" s="4" t="inlineStr"/>
      <c r="F37" s="4" t="inlineStr"/>
      <c r="G37" s="4" t="inlineStr"/>
    </row>
    <row r="38">
      <c r="A38" s="4" t="inlineStr">
        <is>
          <t>3.17.4-P3</t>
        </is>
      </c>
      <c r="B38" s="4" t="inlineStr">
        <is>
          <t>3.17.4</t>
        </is>
      </c>
      <c r="C38" s="4" t="inlineStr">
        <is>
          <t>fellowship</t>
        </is>
      </c>
      <c r="D38" s="4" t="inlineStr">
        <is>
          <t>Treat quantified anatomical positions as targets with ranges rather than as fixed points.</t>
        </is>
      </c>
      <c r="E38" s="4" t="inlineStr"/>
      <c r="F38" s="4" t="inlineStr"/>
      <c r="G38" s="4" t="inlineStr"/>
    </row>
    <row r="39">
      <c r="A39" s="4" t="inlineStr">
        <is>
          <t>3.17.4-P4</t>
        </is>
      </c>
      <c r="B39" s="4" t="inlineStr">
        <is>
          <t>3.17.4</t>
        </is>
      </c>
      <c r="C39" s="4" t="inlineStr">
        <is>
          <t>fellowship</t>
        </is>
      </c>
      <c r="D39" s="4" t="inlineStr">
        <is>
          <t>Read the healing literature separately from the mechanical literature and do not let the strength of the second lend credibility to the first.</t>
        </is>
      </c>
      <c r="E39" s="4" t="inlineStr"/>
      <c r="F39" s="4" t="inlineStr"/>
      <c r="G39" s="4" t="inlineStr"/>
    </row>
    <row r="40">
      <c r="A40" s="4" t="inlineStr">
        <is>
          <t>3.17.4-P5</t>
        </is>
      </c>
      <c r="B40" s="4" t="inlineStr">
        <is>
          <t>3.17.4</t>
        </is>
      </c>
      <c r="C40" s="4" t="inlineStr">
        <is>
          <t>fellowship</t>
        </is>
      </c>
      <c r="D40" s="4" t="inlineStr">
        <is>
          <t>Read rotation results only where the coordinate system is stated.</t>
        </is>
      </c>
      <c r="E40" s="4" t="inlineStr"/>
      <c r="F40" s="4" t="inlineStr"/>
      <c r="G40" s="4" t="inlineStr"/>
    </row>
    <row r="41">
      <c r="A41" s="4" t="inlineStr">
        <is>
          <t>3.17.4-P6</t>
        </is>
      </c>
      <c r="B41" s="4" t="inlineStr">
        <is>
          <t>3.17.4</t>
        </is>
      </c>
      <c r="C41" s="4" t="inlineStr">
        <is>
          <t>consultant</t>
        </is>
      </c>
      <c r="D41" s="4" t="inlineStr">
        <is>
          <t>Take the patient's age and physiology into account, since healing capacity is the whole argument for waiting and it is not uniform.</t>
        </is>
      </c>
      <c r="E41" s="4" t="inlineStr"/>
      <c r="F41" s="4" t="inlineStr"/>
      <c r="G41" s="4" t="inlineStr"/>
    </row>
    <row r="42">
      <c r="A42" s="4" t="inlineStr">
        <is>
          <t>3.17.4-P7</t>
        </is>
      </c>
      <c r="B42" s="4" t="inlineStr">
        <is>
          <t>3.17.4</t>
        </is>
      </c>
      <c r="C42" s="4" t="inlineStr">
        <is>
          <t>consultant</t>
        </is>
      </c>
      <c r="D42" s="4" t="inlineStr">
        <is>
          <t>Take comorbidities into account, because stiffness after medial surgery is more likely in some of them.</t>
        </is>
      </c>
      <c r="E42" s="4" t="inlineStr"/>
      <c r="F42" s="4" t="inlineStr"/>
      <c r="G42" s="4" t="inlineStr"/>
    </row>
    <row r="43">
      <c r="A43" s="4" t="inlineStr">
        <is>
          <t>3.17.4-P8</t>
        </is>
      </c>
      <c r="B43" s="4" t="inlineStr">
        <is>
          <t>3.17.4</t>
        </is>
      </c>
      <c r="C43" s="4" t="inlineStr">
        <is>
          <t>consultant</t>
        </is>
      </c>
      <c r="D43" s="4" t="inlineStr">
        <is>
          <t>Take the demands on the knee into account, since rotational demand is what residual medial laxity actually troubles.</t>
        </is>
      </c>
      <c r="E43" s="4" t="inlineStr"/>
      <c r="F43" s="4" t="inlineStr"/>
      <c r="G43" s="4" t="inlineStr"/>
    </row>
    <row r="44">
      <c r="A44" s="4" t="inlineStr">
        <is>
          <t>3.17.4-P9</t>
        </is>
      </c>
      <c r="B44" s="4" t="inlineStr">
        <is>
          <t>3.17.4</t>
        </is>
      </c>
      <c r="C44" s="4" t="inlineStr">
        <is>
          <t>consultant</t>
        </is>
      </c>
      <c r="D44" s="4" t="inlineStr">
        <is>
          <t>Take the psychological state into account, because a staged plan requires a patient who can tolerate an interval of uncertainty.</t>
        </is>
      </c>
      <c r="E44" s="4" t="inlineStr"/>
      <c r="F44" s="4" t="inlineStr"/>
      <c r="G44" s="4" t="inlineStr"/>
    </row>
    <row r="45">
      <c r="A45" s="4" t="inlineStr">
        <is>
          <t>3.17.4-P10</t>
        </is>
      </c>
      <c r="B45" s="4" t="inlineStr">
        <is>
          <t>3.17.4</t>
        </is>
      </c>
      <c r="C45" s="4" t="inlineStr">
        <is>
          <t>consultant</t>
        </is>
      </c>
      <c r="D45" s="4" t="inlineStr">
        <is>
          <t>Decide on the balance, state it, and record what would change it.</t>
        </is>
      </c>
      <c r="E45" s="4" t="inlineStr"/>
      <c r="F45" s="4" t="inlineStr"/>
      <c r="G45" s="4" t="inlineStr"/>
    </row>
    <row r="46">
      <c r="A46" s="4" t="inlineStr">
        <is>
          <t>3.17.4-P11</t>
        </is>
      </c>
      <c r="B46" s="4" t="inlineStr">
        <is>
          <t>3.17.4</t>
        </is>
      </c>
      <c r="C46" s="4" t="inlineStr">
        <is>
          <t>consultant</t>
        </is>
      </c>
      <c r="D46" s="4" t="inlineStr">
        <is>
          <t>Read the rotation work before the valgus work, because rotation is where the management argument actually lives.</t>
        </is>
      </c>
      <c r="E46" s="4" t="inlineStr"/>
      <c r="F46" s="4" t="inlineStr"/>
      <c r="G46" s="4" t="inlineStr"/>
    </row>
    <row r="47">
      <c r="A47" s="4" t="inlineStr">
        <is>
          <t>3.17.5-P1</t>
        </is>
      </c>
      <c r="B47" s="4" t="inlineStr">
        <is>
          <t>3.17.5</t>
        </is>
      </c>
      <c r="C47" s="4" t="inlineStr">
        <is>
          <t>fellowship</t>
        </is>
      </c>
      <c r="D47" s="4" t="inlineStr">
        <is>
          <t>Read a posterolateral sectioning study for its cutting order and its applied torque before reading its numbers.</t>
        </is>
      </c>
      <c r="E47" s="4" t="inlineStr"/>
      <c r="F47" s="4" t="inlineStr"/>
      <c r="G47" s="4" t="inlineStr"/>
    </row>
    <row r="48">
      <c r="A48" s="4" t="inlineStr">
        <is>
          <t>3.17.5-P2</t>
        </is>
      </c>
      <c r="B48" s="4" t="inlineStr">
        <is>
          <t>3.17.5</t>
        </is>
      </c>
      <c r="C48" s="4" t="inlineStr">
        <is>
          <t>fellowship</t>
        </is>
      </c>
      <c r="D48" s="4" t="inlineStr">
        <is>
          <t>Keep the anterolateral anatomy argument and the lateral augmentation indication argument separate when reading either.</t>
        </is>
      </c>
      <c r="E48" s="4" t="inlineStr"/>
      <c r="F48" s="4" t="inlineStr"/>
      <c r="G48" s="4" t="inlineStr"/>
    </row>
    <row r="49">
      <c r="A49" s="4" t="inlineStr">
        <is>
          <t>3.17.5-P3</t>
        </is>
      </c>
      <c r="B49" s="4" t="inlineStr">
        <is>
          <t>3.17.5</t>
        </is>
      </c>
      <c r="C49" s="4" t="inlineStr">
        <is>
          <t>fellowship</t>
        </is>
      </c>
      <c r="D49" s="4" t="inlineStr">
        <is>
          <t>Read corner reconstruction results with the follow up duration in view, since the mechanical case is strong and the durability case is thin.</t>
        </is>
      </c>
      <c r="E49" s="4" t="inlineStr"/>
      <c r="F49" s="4" t="inlineStr"/>
      <c r="G49" s="4" t="inlineStr"/>
    </row>
    <row r="50">
      <c r="A50" s="4" t="inlineStr">
        <is>
          <t>3.17.5-P4</t>
        </is>
      </c>
      <c r="B50" s="4" t="inlineStr">
        <is>
          <t>3.17.5</t>
        </is>
      </c>
      <c r="C50" s="4" t="inlineStr">
        <is>
          <t>fellowship</t>
        </is>
      </c>
      <c r="D50" s="4" t="inlineStr">
        <is>
          <t>Treat external rotation figures as laboratory specific and the angle dependence as the transferable finding.</t>
        </is>
      </c>
      <c r="E50" s="4" t="inlineStr"/>
      <c r="F50" s="4" t="inlineStr"/>
      <c r="G50" s="4" t="inlineStr"/>
    </row>
    <row r="51">
      <c r="A51" s="4" t="inlineStr">
        <is>
          <t>3.17.5-P5</t>
        </is>
      </c>
      <c r="B51" s="4" t="inlineStr">
        <is>
          <t>3.17.5</t>
        </is>
      </c>
      <c r="C51" s="4" t="inlineStr">
        <is>
          <t>consultant</t>
        </is>
      </c>
      <c r="D51" s="4" t="inlineStr">
        <is>
          <t>Weigh the patient's age and physiology, because adding constraint to a young knee commits it for decades.</t>
        </is>
      </c>
      <c r="E51" s="4" t="inlineStr"/>
      <c r="F51" s="4" t="inlineStr"/>
      <c r="G51" s="4" t="inlineStr"/>
    </row>
    <row r="52">
      <c r="A52" s="4" t="inlineStr">
        <is>
          <t>3.17.5-P6</t>
        </is>
      </c>
      <c r="B52" s="4" t="inlineStr">
        <is>
          <t>3.17.5</t>
        </is>
      </c>
      <c r="C52" s="4" t="inlineStr">
        <is>
          <t>consultant</t>
        </is>
      </c>
      <c r="D52" s="4" t="inlineStr">
        <is>
          <t>Weigh comorbidities that affect wound healing and stiffness on the lateral side.</t>
        </is>
      </c>
      <c r="E52" s="4" t="inlineStr"/>
      <c r="F52" s="4" t="inlineStr"/>
      <c r="G52" s="4" t="inlineStr"/>
    </row>
    <row r="53">
      <c r="A53" s="4" t="inlineStr">
        <is>
          <t>3.17.5-P7</t>
        </is>
      </c>
      <c r="B53" s="4" t="inlineStr">
        <is>
          <t>3.17.5</t>
        </is>
      </c>
      <c r="C53" s="4" t="inlineStr">
        <is>
          <t>consultant</t>
        </is>
      </c>
      <c r="D53" s="4" t="inlineStr">
        <is>
          <t>Weigh the demands on the knee, since rotational demand is the entire reason to consider the addition.</t>
        </is>
      </c>
      <c r="E53" s="4" t="inlineStr"/>
      <c r="F53" s="4" t="inlineStr"/>
      <c r="G53" s="4" t="inlineStr"/>
    </row>
    <row r="54">
      <c r="A54" s="4" t="inlineStr">
        <is>
          <t>3.17.5-P8</t>
        </is>
      </c>
      <c r="B54" s="4" t="inlineStr">
        <is>
          <t>3.17.5</t>
        </is>
      </c>
      <c r="C54" s="4" t="inlineStr">
        <is>
          <t>consultant</t>
        </is>
      </c>
      <c r="D54" s="4" t="inlineStr">
        <is>
          <t>Weigh their psychological state, because a patient whose previous graft failed may want the most that can be done rather than the most that is supported.</t>
        </is>
      </c>
      <c r="E54" s="4" t="inlineStr"/>
      <c r="F54" s="4" t="inlineStr"/>
      <c r="G54" s="4" t="inlineStr"/>
    </row>
    <row r="55">
      <c r="A55" s="4" t="inlineStr">
        <is>
          <t>3.17.5-P9</t>
        </is>
      </c>
      <c r="B55" s="4" t="inlineStr">
        <is>
          <t>3.17.5</t>
        </is>
      </c>
      <c r="C55" s="4" t="inlineStr">
        <is>
          <t>consultant</t>
        </is>
      </c>
      <c r="D55" s="4" t="inlineStr">
        <is>
          <t>Weigh those and record the balance, because this is a decision that will look different in five years and the record is what makes that reviewable.</t>
        </is>
      </c>
      <c r="E55" s="4" t="inlineStr"/>
      <c r="F55" s="4" t="inlineStr"/>
      <c r="G55" s="4" t="inlineStr"/>
    </row>
    <row r="56">
      <c r="A56" s="4" t="inlineStr">
        <is>
          <t>3.17.5-P10</t>
        </is>
      </c>
      <c r="B56" s="4" t="inlineStr">
        <is>
          <t>3.17.5</t>
        </is>
      </c>
      <c r="C56" s="4" t="inlineStr">
        <is>
          <t>consultant</t>
        </is>
      </c>
      <c r="D56" s="4" t="inlineStr">
        <is>
          <t>Read the sectioning work first and the augmentation trials second, because the first is durable and the second is current.</t>
        </is>
      </c>
      <c r="E56" s="4" t="inlineStr"/>
      <c r="F56" s="4" t="inlineStr"/>
      <c r="G56" s="4" t="inlineStr"/>
    </row>
    <row r="57">
      <c r="A57" s="4" t="inlineStr">
        <is>
          <t>3.17.6-P1</t>
        </is>
      </c>
      <c r="B57" s="4" t="inlineStr">
        <is>
          <t>3.17.6</t>
        </is>
      </c>
      <c r="C57" s="4" t="inlineStr">
        <is>
          <t>fellowship</t>
        </is>
      </c>
      <c r="D57" s="4" t="inlineStr">
        <is>
          <t>Read a patellofemoral contact study for how the quadriceps was loaded, because a single line of pull limits what the result describes.</t>
        </is>
      </c>
      <c r="E57" s="4" t="inlineStr"/>
      <c r="F57" s="4" t="inlineStr"/>
      <c r="G57" s="4" t="inlineStr"/>
    </row>
    <row r="58">
      <c r="A58" s="4" t="inlineStr">
        <is>
          <t>3.17.6-P2</t>
        </is>
      </c>
      <c r="B58" s="4" t="inlineStr">
        <is>
          <t>3.17.6</t>
        </is>
      </c>
      <c r="C58" s="4" t="inlineStr">
        <is>
          <t>fellowship</t>
        </is>
      </c>
      <c r="D58" s="4" t="inlineStr">
        <is>
          <t>Check the imaging protocol behind any threshold before applying it, since the same number means different things on different sequences and positions.</t>
        </is>
      </c>
      <c r="E58" s="4" t="inlineStr"/>
      <c r="F58" s="4" t="inlineStr"/>
      <c r="G58" s="4" t="inlineStr"/>
    </row>
    <row r="59">
      <c r="A59" s="4" t="inlineStr">
        <is>
          <t>3.17.6-P3</t>
        </is>
      </c>
      <c r="B59" s="4" t="inlineStr">
        <is>
          <t>3.17.6</t>
        </is>
      </c>
      <c r="C59" s="4" t="inlineStr">
        <is>
          <t>fellowship</t>
        </is>
      </c>
      <c r="D59" s="4" t="inlineStr">
        <is>
          <t>Read the pain literature as correlation and say so, rather than restating a correlation as a mechanism.</t>
        </is>
      </c>
      <c r="E59" s="4" t="inlineStr"/>
      <c r="F59" s="4" t="inlineStr"/>
      <c r="G59" s="4" t="inlineStr"/>
    </row>
    <row r="60">
      <c r="A60" s="4" t="inlineStr">
        <is>
          <t>3.17.6-P4</t>
        </is>
      </c>
      <c r="B60" s="4" t="inlineStr">
        <is>
          <t>3.17.6</t>
        </is>
      </c>
      <c r="C60" s="4" t="inlineStr">
        <is>
          <t>fellowship</t>
        </is>
      </c>
      <c r="D60" s="4" t="inlineStr">
        <is>
          <t>Read instability and pain separately even when a paper treats them together.</t>
        </is>
      </c>
      <c r="E60" s="4" t="inlineStr"/>
      <c r="F60" s="4" t="inlineStr"/>
      <c r="G60" s="4" t="inlineStr"/>
    </row>
    <row r="61">
      <c r="A61" s="4" t="inlineStr">
        <is>
          <t>3.17.6-P5</t>
        </is>
      </c>
      <c r="B61" s="4" t="inlineStr">
        <is>
          <t>3.17.6</t>
        </is>
      </c>
      <c r="C61" s="4" t="inlineStr">
        <is>
          <t>consultant</t>
        </is>
      </c>
      <c r="D61" s="4" t="inlineStr">
        <is>
          <t>Weigh the patient's age and physiology, since skeletal maturity changes both the options and the natural history.</t>
        </is>
      </c>
      <c r="E61" s="4" t="inlineStr"/>
      <c r="F61" s="4" t="inlineStr"/>
      <c r="G61" s="4" t="inlineStr"/>
    </row>
    <row r="62">
      <c r="A62" s="4" t="inlineStr">
        <is>
          <t>3.17.6-P6</t>
        </is>
      </c>
      <c r="B62" s="4" t="inlineStr">
        <is>
          <t>3.17.6</t>
        </is>
      </c>
      <c r="C62" s="4" t="inlineStr">
        <is>
          <t>consultant</t>
        </is>
      </c>
      <c r="D62" s="4" t="inlineStr">
        <is>
          <t>Weigh comorbidities, including the widespread pain and sensitisation that frequently accompany this presentation.</t>
        </is>
      </c>
      <c r="E62" s="4" t="inlineStr"/>
      <c r="F62" s="4" t="inlineStr"/>
      <c r="G62" s="4" t="inlineStr"/>
    </row>
    <row r="63">
      <c r="A63" s="4" t="inlineStr">
        <is>
          <t>3.17.6-P7</t>
        </is>
      </c>
      <c r="B63" s="4" t="inlineStr">
        <is>
          <t>3.17.6</t>
        </is>
      </c>
      <c r="C63" s="4" t="inlineStr">
        <is>
          <t>consultant</t>
        </is>
      </c>
      <c r="D63" s="4" t="inlineStr">
        <is>
          <t>Weigh the demands on the knee, because deep flexion loading is where this joint declares itself.</t>
        </is>
      </c>
      <c r="E63" s="4" t="inlineStr"/>
      <c r="F63" s="4" t="inlineStr"/>
      <c r="G63" s="4" t="inlineStr"/>
    </row>
    <row r="64">
      <c r="A64" s="4" t="inlineStr">
        <is>
          <t>3.17.6-P8</t>
        </is>
      </c>
      <c r="B64" s="4" t="inlineStr">
        <is>
          <t>3.17.6</t>
        </is>
      </c>
      <c r="C64" s="4" t="inlineStr">
        <is>
          <t>consultant</t>
        </is>
      </c>
      <c r="D64" s="4" t="inlineStr">
        <is>
          <t>Weigh their psychological state seriously here rather than as a formality, since anterior knee pain is the knee presentation where distress and symptom severity are most closely linked.</t>
        </is>
      </c>
      <c r="E64" s="4" t="inlineStr"/>
      <c r="F64" s="4" t="inlineStr"/>
      <c r="G64" s="4" t="inlineStr"/>
    </row>
    <row r="65">
      <c r="A65" s="4" t="inlineStr">
        <is>
          <t>3.17.6-P9</t>
        </is>
      </c>
      <c r="B65" s="4" t="inlineStr">
        <is>
          <t>3.17.6</t>
        </is>
      </c>
      <c r="C65" s="4" t="inlineStr">
        <is>
          <t>consultant</t>
        </is>
      </c>
      <c r="D65" s="4" t="inlineStr">
        <is>
          <t>Read the instability literature for structural prediction and the pain literature for what it actually claims, which is less than it is usually quoted as claiming.</t>
        </is>
      </c>
      <c r="E65" s="4" t="inlineStr"/>
      <c r="F65" s="4" t="inlineStr"/>
      <c r="G65" s="4" t="inlineStr"/>
    </row>
    <row r="66">
      <c r="A66" s="4" t="inlineStr">
        <is>
          <t>3.17.6-P10</t>
        </is>
      </c>
      <c r="B66" s="4" t="inlineStr">
        <is>
          <t>3.17.6</t>
        </is>
      </c>
      <c r="C66" s="4" t="inlineStr">
        <is>
          <t>consultant</t>
        </is>
      </c>
      <c r="D66" s="4" t="inlineStr">
        <is>
          <t>- Psychological state carries unusual weight in this presentation and should be weighed as evidence rather than as courtesy.</t>
        </is>
      </c>
      <c r="E66" s="4" t="inlineStr"/>
      <c r="F66" s="4" t="inlineStr"/>
      <c r="G66" s="4" t="inlineStr"/>
    </row>
    <row r="67">
      <c r="A67" s="4" t="inlineStr">
        <is>
          <t>3.17.7-P1</t>
        </is>
      </c>
      <c r="B67" s="4" t="inlineStr">
        <is>
          <t>3.17.7</t>
        </is>
      </c>
      <c r="C67" s="4" t="inlineStr">
        <is>
          <t>fellowship</t>
        </is>
      </c>
      <c r="D67" s="4" t="inlineStr">
        <is>
          <t>Follow up in the survival studies is long, which is a genuine strength, and the cohorts are from eras with different indications and techniques, which limits what the survival figures transfer to.</t>
        </is>
      </c>
      <c r="E67" s="4" t="inlineStr"/>
      <c r="F67" s="4" t="inlineStr"/>
      <c r="G67" s="4" t="inlineStr"/>
    </row>
    <row r="68">
      <c r="A68" s="4" t="inlineStr">
        <is>
          <t>3.17.7-P2</t>
        </is>
      </c>
      <c r="B68" s="4" t="inlineStr">
        <is>
          <t>3.17.7</t>
        </is>
      </c>
      <c r="C68" s="4" t="inlineStr">
        <is>
          <t>fellowship</t>
        </is>
      </c>
      <c r="D68" s="4" t="inlineStr">
        <is>
          <t>Read correction targets with the radiographic protocol and the laxity assessment attached.</t>
        </is>
      </c>
      <c r="E68" s="4" t="inlineStr"/>
      <c r="F68" s="4" t="inlineStr"/>
      <c r="G68" s="4" t="inlineStr"/>
    </row>
    <row r="69">
      <c r="A69" s="4" t="inlineStr">
        <is>
          <t>3.17.7-P3</t>
        </is>
      </c>
      <c r="B69" s="4" t="inlineStr">
        <is>
          <t>3.17.7</t>
        </is>
      </c>
      <c r="C69" s="4" t="inlineStr">
        <is>
          <t>fellowship</t>
        </is>
      </c>
      <c r="D69" s="4" t="inlineStr">
        <is>
          <t>Treat survival series as evidence about selected patients and techniques of their era.</t>
        </is>
      </c>
      <c r="E69" s="4" t="inlineStr"/>
      <c r="F69" s="4" t="inlineStr"/>
      <c r="G69" s="4" t="inlineStr"/>
    </row>
    <row r="70">
      <c r="A70" s="4" t="inlineStr">
        <is>
          <t>3.17.7-P4</t>
        </is>
      </c>
      <c r="B70" s="4" t="inlineStr">
        <is>
          <t>3.17.7</t>
        </is>
      </c>
      <c r="C70" s="4" t="inlineStr">
        <is>
          <t>fellowship</t>
        </is>
      </c>
      <c r="D70" s="4" t="inlineStr">
        <is>
          <t>Read the dynamic alignment work before planning in a knee with a thrust, since the static film will mislead.</t>
        </is>
      </c>
      <c r="E70" s="4" t="inlineStr"/>
      <c r="F70" s="4" t="inlineStr"/>
      <c r="G70" s="4" t="inlineStr"/>
    </row>
    <row r="71">
      <c r="A71" s="4" t="inlineStr">
        <is>
          <t>3.17.7-P5</t>
        </is>
      </c>
      <c r="B71" s="4" t="inlineStr">
        <is>
          <t>3.17.7</t>
        </is>
      </c>
      <c r="C71" s="4" t="inlineStr">
        <is>
          <t>fellowship</t>
        </is>
      </c>
      <c r="D71" s="4" t="inlineStr">
        <is>
          <t>Do not quote the mechanical argument as though it were the clinical evidence.</t>
        </is>
      </c>
      <c r="E71" s="4" t="inlineStr"/>
      <c r="F71" s="4" t="inlineStr"/>
      <c r="G71" s="4" t="inlineStr"/>
    </row>
    <row r="72">
      <c r="A72" s="4" t="inlineStr">
        <is>
          <t>3.17.7-P6</t>
        </is>
      </c>
      <c r="B72" s="4" t="inlineStr">
        <is>
          <t>3.17.7</t>
        </is>
      </c>
      <c r="C72" s="4" t="inlineStr">
        <is>
          <t>consultant</t>
        </is>
      </c>
      <c r="D72" s="4" t="inlineStr">
        <is>
          <t>Weigh age and physiology, since this operation's whole case is that it buys time a younger patient needs.</t>
        </is>
      </c>
      <c r="E72" s="4" t="inlineStr"/>
      <c r="F72" s="4" t="inlineStr"/>
      <c r="G72" s="4" t="inlineStr"/>
    </row>
    <row r="73">
      <c r="A73" s="4" t="inlineStr">
        <is>
          <t>3.17.7-P7</t>
        </is>
      </c>
      <c r="B73" s="4" t="inlineStr">
        <is>
          <t>3.17.7</t>
        </is>
      </c>
      <c r="C73" s="4" t="inlineStr">
        <is>
          <t>consultant</t>
        </is>
      </c>
      <c r="D73" s="4" t="inlineStr">
        <is>
          <t>Weigh comorbidities, because union and rehabilitation both depend on them and smoking in particular changes the arithmetic.</t>
        </is>
      </c>
      <c r="E73" s="4" t="inlineStr"/>
      <c r="F73" s="4" t="inlineStr"/>
      <c r="G73" s="4" t="inlineStr"/>
    </row>
    <row r="74">
      <c r="A74" s="4" t="inlineStr">
        <is>
          <t>3.17.7-P8</t>
        </is>
      </c>
      <c r="B74" s="4" t="inlineStr">
        <is>
          <t>3.17.7</t>
        </is>
      </c>
      <c r="C74" s="4" t="inlineStr">
        <is>
          <t>consultant</t>
        </is>
      </c>
      <c r="D74" s="4" t="inlineStr">
        <is>
          <t>Weigh the demands on the knee, since osteotomy suits a patient who intends to keep loading the joint hard and arthroplasty does not.</t>
        </is>
      </c>
      <c r="E74" s="4" t="inlineStr"/>
      <c r="F74" s="4" t="inlineStr"/>
      <c r="G74" s="4" t="inlineStr"/>
    </row>
    <row r="75">
      <c r="A75" s="4" t="inlineStr">
        <is>
          <t>3.17.7-P9</t>
        </is>
      </c>
      <c r="B75" s="4" t="inlineStr">
        <is>
          <t>3.17.7</t>
        </is>
      </c>
      <c r="C75" s="4" t="inlineStr">
        <is>
          <t>consultant</t>
        </is>
      </c>
      <c r="D75" s="4" t="inlineStr">
        <is>
          <t>Weigh their psychological state and their tolerance of a long recovery, because this is the operation patients most often abandon partway through rehabilitation.</t>
        </is>
      </c>
      <c r="E75" s="4" t="inlineStr"/>
      <c r="F75" s="4" t="inlineStr"/>
      <c r="G75" s="4" t="inlineStr"/>
    </row>
    <row r="76">
      <c r="A76" s="4" t="inlineStr">
        <is>
          <t>3.17.7-P10</t>
        </is>
      </c>
      <c r="B76" s="4" t="inlineStr">
        <is>
          <t>3.17.7</t>
        </is>
      </c>
      <c r="C76" s="4" t="inlineStr">
        <is>
          <t>consultant</t>
        </is>
      </c>
      <c r="D76" s="4" t="inlineStr">
        <is>
          <t>State the balance, and record what the alternative was and why it was not chosen.</t>
        </is>
      </c>
      <c r="E76" s="4" t="inlineStr"/>
      <c r="F76" s="4" t="inlineStr"/>
      <c r="G76" s="4" t="inlineStr"/>
    </row>
    <row r="77">
      <c r="A77" s="4" t="inlineStr">
        <is>
          <t>3.17.7-P11</t>
        </is>
      </c>
      <c r="B77" s="4" t="inlineStr">
        <is>
          <t>3.17.7</t>
        </is>
      </c>
      <c r="C77" s="4" t="inlineStr">
        <is>
          <t>consultant</t>
        </is>
      </c>
      <c r="D77" s="4" t="inlineStr">
        <is>
          <t>Read the long survival series for what they say about correction and the short trials for what they say about symptoms, and do not merge them.</t>
        </is>
      </c>
      <c r="E77" s="4" t="inlineStr"/>
      <c r="F77" s="4" t="inlineStr"/>
      <c r="G77" s="4" t="inlineStr"/>
    </row>
    <row r="78">
      <c r="A78" s="4" t="inlineStr">
        <is>
          <t>3.17.8-P1</t>
        </is>
      </c>
      <c r="B78" s="4" t="inlineStr">
        <is>
          <t>3.17.8</t>
        </is>
      </c>
      <c r="C78" s="4" t="inlineStr">
        <is>
          <t>fellowship</t>
        </is>
      </c>
      <c r="D78" s="4" t="inlineStr">
        <is>
          <t>Read a kinematic study for the activity it measured, since deep flexion and stair descent behave differently from level walking.</t>
        </is>
      </c>
      <c r="E78" s="4" t="inlineStr"/>
      <c r="F78" s="4" t="inlineStr"/>
      <c r="G78" s="4" t="inlineStr"/>
    </row>
    <row r="79">
      <c r="A79" s="4" t="inlineStr">
        <is>
          <t>3.17.8-P2</t>
        </is>
      </c>
      <c r="B79" s="4" t="inlineStr">
        <is>
          <t>3.17.8</t>
        </is>
      </c>
      <c r="C79" s="4" t="inlineStr">
        <is>
          <t>fellowship</t>
        </is>
      </c>
      <c r="D79" s="4" t="inlineStr">
        <is>
          <t>Read revision as an endpoint that includes surgeon decision making, not as a pure measure of failure.</t>
        </is>
      </c>
      <c r="E79" s="4" t="inlineStr"/>
      <c r="F79" s="4" t="inlineStr"/>
      <c r="G79" s="4" t="inlineStr"/>
    </row>
    <row r="80">
      <c r="A80" s="4" t="inlineStr">
        <is>
          <t>3.17.8-P3</t>
        </is>
      </c>
      <c r="B80" s="4" t="inlineStr">
        <is>
          <t>3.17.8</t>
        </is>
      </c>
      <c r="C80" s="4" t="inlineStr">
        <is>
          <t>fellowship</t>
        </is>
      </c>
      <c r="D80" s="4" t="inlineStr">
        <is>
          <t>Check which satisfaction instrument a study used before comparing its proportion with another study's.</t>
        </is>
      </c>
      <c r="E80" s="4" t="inlineStr"/>
      <c r="F80" s="4" t="inlineStr"/>
      <c r="G80" s="4" t="inlineStr"/>
    </row>
    <row r="81">
      <c r="A81" s="4" t="inlineStr">
        <is>
          <t>3.17.8-P4</t>
        </is>
      </c>
      <c r="B81" s="4" t="inlineStr">
        <is>
          <t>3.17.8</t>
        </is>
      </c>
      <c r="C81" s="4" t="inlineStr">
        <is>
          <t>fellowship</t>
        </is>
      </c>
      <c r="D81" s="4" t="inlineStr">
        <is>
          <t>Read the alignment argument as a difference in evidence type rather than as a difference in evidence quality.</t>
        </is>
      </c>
      <c r="E81" s="4" t="inlineStr"/>
      <c r="F81" s="4" t="inlineStr"/>
      <c r="G81" s="4" t="inlineStr"/>
    </row>
    <row r="82">
      <c r="A82" s="4" t="inlineStr">
        <is>
          <t>3.17.8-P5</t>
        </is>
      </c>
      <c r="B82" s="4" t="inlineStr">
        <is>
          <t>3.17.8</t>
        </is>
      </c>
      <c r="C82" s="4" t="inlineStr">
        <is>
          <t>consultant</t>
        </is>
      </c>
      <c r="D82" s="4" t="inlineStr">
        <is>
          <t>Arguing for mechanical alignment: the survival evidence is long, large and consistent, and a target that has produced reliable implant survival for decades should not be abandoned for a short term functional signal.</t>
        </is>
      </c>
      <c r="E82" s="4" t="inlineStr"/>
      <c r="F82" s="4" t="inlineStr"/>
      <c r="G82" s="4" t="inlineStr"/>
    </row>
    <row r="83">
      <c r="A83" s="4" t="inlineStr">
        <is>
          <t>3.17.8-P6</t>
        </is>
      </c>
      <c r="B83" s="4" t="inlineStr">
        <is>
          <t>3.17.8</t>
        </is>
      </c>
      <c r="C83" s="4" t="inlineStr">
        <is>
          <t>consultant</t>
        </is>
      </c>
      <c r="D83" s="4" t="inlineStr">
        <is>
          <t>Take age and physiology into account, because a thirty year implant horizon weighs survival far more heavily than a fifteen year one.</t>
        </is>
      </c>
      <c r="E83" s="4" t="inlineStr"/>
      <c r="F83" s="4" t="inlineStr"/>
      <c r="G83" s="4" t="inlineStr"/>
    </row>
    <row r="84">
      <c r="A84" s="4" t="inlineStr">
        <is>
          <t>3.17.8-P7</t>
        </is>
      </c>
      <c r="B84" s="4" t="inlineStr">
        <is>
          <t>3.17.8</t>
        </is>
      </c>
      <c r="C84" s="4" t="inlineStr">
        <is>
          <t>consultant</t>
        </is>
      </c>
      <c r="D84" s="4" t="inlineStr">
        <is>
          <t>Take comorbidities into account, since several of them change both revision risk and the value of early function.</t>
        </is>
      </c>
      <c r="E84" s="4" t="inlineStr"/>
      <c r="F84" s="4" t="inlineStr"/>
      <c r="G84" s="4" t="inlineStr"/>
    </row>
    <row r="85">
      <c r="A85" s="4" t="inlineStr">
        <is>
          <t>3.17.8-P8</t>
        </is>
      </c>
      <c r="B85" s="4" t="inlineStr">
        <is>
          <t>3.17.8</t>
        </is>
      </c>
      <c r="C85" s="4" t="inlineStr">
        <is>
          <t>consultant</t>
        </is>
      </c>
      <c r="D85" s="4" t="inlineStr">
        <is>
          <t>Take the demands on the knee into account, because the functional argument is strongest in a patient who kneels, squats or works.</t>
        </is>
      </c>
      <c r="E85" s="4" t="inlineStr"/>
      <c r="F85" s="4" t="inlineStr"/>
      <c r="G85" s="4" t="inlineStr"/>
    </row>
    <row r="86">
      <c r="A86" s="4" t="inlineStr">
        <is>
          <t>3.17.8-P9</t>
        </is>
      </c>
      <c r="B86" s="4" t="inlineStr">
        <is>
          <t>3.17.8</t>
        </is>
      </c>
      <c r="C86" s="4" t="inlineStr">
        <is>
          <t>consultant</t>
        </is>
      </c>
      <c r="D86" s="4" t="inlineStr">
        <is>
          <t>Take their psychological state and expectations into account, since dissatisfaction tracks expectation more closely than it tracks radiographs.</t>
        </is>
      </c>
      <c r="E86" s="4" t="inlineStr"/>
      <c r="F86" s="4" t="inlineStr"/>
      <c r="G86" s="4" t="inlineStr"/>
    </row>
    <row r="87">
      <c r="A87" s="4" t="inlineStr">
        <is>
          <t>3.17.8-P10</t>
        </is>
      </c>
      <c r="B87" s="4" t="inlineStr">
        <is>
          <t>3.17.8</t>
        </is>
      </c>
      <c r="C87" s="4" t="inlineStr">
        <is>
          <t>consultant</t>
        </is>
      </c>
      <c r="D87" s="4" t="inlineStr">
        <is>
          <t>Read the kinematic literature and the satisfaction literature together, because the gap between them is the field's live question rather than an inconsistency to explain away.</t>
        </is>
      </c>
      <c r="E87" s="4" t="inlineStr"/>
      <c r="F87" s="4" t="inlineStr"/>
      <c r="G87" s="4" t="inlineStr"/>
    </row>
    <row r="88">
      <c r="A88" s="4" t="inlineStr">
        <is>
          <t>3.17.9-P1</t>
        </is>
      </c>
      <c r="B88" s="4" t="inlineStr">
        <is>
          <t>3.17.9</t>
        </is>
      </c>
      <c r="C88" s="4" t="inlineStr">
        <is>
          <t>fellowship</t>
        </is>
      </c>
      <c r="D88" s="4" t="inlineStr">
        <is>
          <t>Treat this page as the least reliable in the chapter and read the other nine first.</t>
        </is>
      </c>
      <c r="E88" s="4" t="inlineStr"/>
      <c r="F88" s="4" t="inlineStr"/>
      <c r="G88" s="4" t="inlineStr"/>
    </row>
    <row r="89">
      <c r="A89" s="4" t="inlineStr">
        <is>
          <t>3.17.9-P2</t>
        </is>
      </c>
      <c r="B89" s="4" t="inlineStr">
        <is>
          <t>3.17.9</t>
        </is>
      </c>
      <c r="C89" s="4" t="inlineStr">
        <is>
          <t>fellowship</t>
        </is>
      </c>
      <c r="D89" s="4" t="inlineStr">
        <is>
          <t>Do not quote this page as a description of the group's research programme, because it is not one and does not claim to be.</t>
        </is>
      </c>
      <c r="E89" s="4" t="inlineStr"/>
      <c r="F89" s="4" t="inlineStr"/>
      <c r="G89" s="4" t="inlineStr"/>
    </row>
    <row r="90">
      <c r="A90" s="4" t="inlineStr">
        <is>
          <t>3.17.10-P1</t>
        </is>
      </c>
      <c r="B90" s="4" t="inlineStr">
        <is>
          <t>3.17.10</t>
        </is>
      </c>
      <c r="C90" s="4" t="inlineStr">
        <is>
          <t>fellowship</t>
        </is>
      </c>
      <c r="D90" s="4" t="inlineStr">
        <is>
          <t>Read a new biomechanical study by asking which of these seven gaps it narrows, since most narrow none.</t>
        </is>
      </c>
      <c r="E90" s="4" t="inlineStr"/>
      <c r="F90" s="4" t="inlineStr"/>
      <c r="G90" s="4" t="inlineStr"/>
    </row>
    <row r="91">
      <c r="A91" s="4" t="inlineStr">
        <is>
          <t>3.17.10-P2</t>
        </is>
      </c>
      <c r="B91" s="4" t="inlineStr">
        <is>
          <t>3.17.10</t>
        </is>
      </c>
      <c r="C91" s="4" t="inlineStr">
        <is>
          <t>fellowship</t>
        </is>
      </c>
      <c r="D91" s="4" t="inlineStr">
        <is>
          <t>Treat a cohort recruited at presentation as unable to answer a natural history question, however large it is.</t>
        </is>
      </c>
      <c r="E91" s="4" t="inlineStr"/>
      <c r="F91" s="4" t="inlineStr"/>
      <c r="G91" s="4" t="inlineStr"/>
    </row>
    <row r="92">
      <c r="A92" s="4" t="inlineStr">
        <is>
          <t>3.17.10-P3</t>
        </is>
      </c>
      <c r="B92" s="4" t="inlineStr">
        <is>
          <t>3.17.10</t>
        </is>
      </c>
      <c r="C92" s="4" t="inlineStr">
        <is>
          <t>consultant</t>
        </is>
      </c>
      <c r="D92" s="4" t="inlineStr">
        <is>
          <t>Consider their age and physiology, because the time horizon changes which uncertainties matter.</t>
        </is>
      </c>
      <c r="E92" s="4" t="inlineStr"/>
      <c r="F92" s="4" t="inlineStr"/>
      <c r="G92" s="4" t="inlineStr"/>
    </row>
    <row r="93">
      <c r="A93" s="4" t="inlineStr">
        <is>
          <t>3.17.10-P4</t>
        </is>
      </c>
      <c r="B93" s="4" t="inlineStr">
        <is>
          <t>3.17.10</t>
        </is>
      </c>
      <c r="C93" s="4" t="inlineStr">
        <is>
          <t>consultant</t>
        </is>
      </c>
      <c r="D93" s="4" t="inlineStr">
        <is>
          <t>Consider their comorbidities, since these narrow the options uncertainty applies to.</t>
        </is>
      </c>
      <c r="E93" s="4" t="inlineStr"/>
      <c r="F93" s="4" t="inlineStr"/>
      <c r="G93" s="4" t="inlineStr"/>
    </row>
    <row r="94">
      <c r="A94" s="4" t="inlineStr">
        <is>
          <t>3.17.10-P5</t>
        </is>
      </c>
      <c r="B94" s="4" t="inlineStr">
        <is>
          <t>3.17.10</t>
        </is>
      </c>
      <c r="C94" s="4" t="inlineStr">
        <is>
          <t>consultant</t>
        </is>
      </c>
      <c r="D94" s="4" t="inlineStr">
        <is>
          <t>Consider the demands on their knee, because that is what makes one gap relevant and another academic.</t>
        </is>
      </c>
      <c r="E94" s="4" t="inlineStr"/>
      <c r="F94" s="4" t="inlineStr"/>
      <c r="G94" s="4" t="inlineStr"/>
    </row>
    <row r="95">
      <c r="A95" s="4" t="inlineStr">
        <is>
          <t>3.17.10-P6</t>
        </is>
      </c>
      <c r="B95" s="4" t="inlineStr">
        <is>
          <t>3.17.10</t>
        </is>
      </c>
      <c r="C95" s="4" t="inlineStr">
        <is>
          <t>consultant</t>
        </is>
      </c>
      <c r="D95" s="4" t="inlineStr">
        <is>
          <t>Consider their psychological state, since tolerance of uncertainty varies more between patients than almost anything else here.</t>
        </is>
      </c>
      <c r="E95" s="4" t="inlineStr"/>
      <c r="F95" s="4" t="inlineStr"/>
      <c r="G95" s="4" t="inlineStr"/>
    </row>
  </sheetData>
  <dataValidations count="1">
    <dataValidation sqref="E3:E95"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93</f>
        <v/>
      </c>
      <c r="C2" s="3">
        <f>0</f>
        <v/>
      </c>
    </row>
    <row r="3">
      <c r="A3" s="2" t="inlineStr">
        <is>
          <t>Decided</t>
        </is>
      </c>
      <c r="B3" s="3">
        <f>COUNTIF(Recommendations!E3:E95,"&lt;&gt;")</f>
        <v/>
      </c>
      <c r="C3" s="3">
        <f>COUNTIF(Measurements!F3:F2,"&lt;&gt;")</f>
        <v/>
      </c>
    </row>
    <row r="4">
      <c r="A4" s="2" t="inlineStr">
        <is>
          <t>Still blank</t>
        </is>
      </c>
      <c r="B4" s="3">
        <f>B2-B3</f>
        <v/>
      </c>
      <c r="C4" s="3">
        <f>C2-C3</f>
        <v/>
      </c>
    </row>
    <row r="5">
      <c r="A5" s="2" t="inlineStr">
        <is>
          <t>CONFIRMED</t>
        </is>
      </c>
      <c r="B5" s="3">
        <f>COUNTIF(Recommendations!E3:E95,"CONFIRMED")</f>
        <v/>
      </c>
      <c r="C5" s="3" t="inlineStr"/>
    </row>
    <row r="6">
      <c r="A6" s="2" t="inlineStr">
        <is>
          <t>AMENDED</t>
        </is>
      </c>
      <c r="B6" s="3">
        <f>COUNTIF(Recommendations!E3:E95,"AMENDED")</f>
        <v/>
      </c>
      <c r="C6" s="3" t="inlineStr"/>
    </row>
    <row r="7">
      <c r="A7" s="2" t="inlineStr">
        <is>
          <t>WITHDRAWN</t>
        </is>
      </c>
      <c r="B7" s="3">
        <f>COUNTIF(Recommendations!E3:E95,"WITHDRAWN")</f>
        <v/>
      </c>
      <c r="C7" s="3" t="inlineStr"/>
    </row>
    <row r="8">
      <c r="A8" s="2" t="inlineStr">
        <is>
          <t>NOT_CLINICAL</t>
        </is>
      </c>
      <c r="B8" s="3">
        <f>COUNTIF(Recommendations!E3:E95,"NOT_CLINICAL")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2026-10-11T19:56:34Z</dcterms:created>
  <dcterms:modified xmlns:dcterms="http://purl.org/dc/terms/" xmlns:xsi="http://www.w3.org/2001/XMLSchema-instance" xsi:type="dcterms:W3CDTF">2026-10-11T19:56:34Z</dcterms:modified>
</cp:coreProperties>
</file>