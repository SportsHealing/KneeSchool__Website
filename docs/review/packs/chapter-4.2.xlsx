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ges" sheetId="2" state="visible" r:id="rId2"/>
    <sheet xmlns:r="http://schemas.openxmlformats.org/officeDocument/2006/relationships" name="Claims" sheetId="3" state="visible" r:id="rId3"/>
    <sheet xmlns:r="http://schemas.openxmlformats.org/officeDocument/2006/relationships" name="Recommendations" sheetId="4" state="visible" r:id="rId4"/>
    <sheet xmlns:r="http://schemas.openxmlformats.org/officeDocument/2006/relationships" name="Measurements" sheetId="5" state="visible" r:id="rId5"/>
    <sheet xmlns:r="http://schemas.openxmlformats.org/officeDocument/2006/relationships" name="Progress"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b val="1"/>
      <color rgb="00FFFFFF"/>
    </font>
    <font>
      <name val="Arial"/>
      <i val="1"/>
      <color rgb="008A6A2F"/>
    </font>
  </fonts>
  <fills count="4">
    <fill>
      <patternFill/>
    </fill>
    <fill>
      <patternFill patternType="gray125"/>
    </fill>
    <fill>
      <patternFill patternType="solid">
        <fgColor rgb="0016382D"/>
      </patternFill>
    </fill>
    <fill>
      <patternFill patternType="solid">
        <fgColor rgb="00FAF7EF"/>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top" wrapText="1"/>
    </xf>
    <xf numFmtId="0" fontId="4" fillId="2" borderId="0" applyAlignment="1" pivotButton="0" quotePrefix="0" xfId="0">
      <alignment vertical="top" wrapText="1"/>
    </xf>
    <xf numFmtId="0" fontId="3" fillId="0" borderId="0" applyAlignment="1" pivotButton="0" quotePrefix="0" xfId="0">
      <alignment vertical="top"/>
    </xf>
    <xf numFmtId="0" fontId="5"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2" customWidth="1" min="1" max="1"/>
    <col width="96" customWidth="1" min="2" max="2"/>
  </cols>
  <sheetData>
    <row r="1">
      <c r="A1" s="1" t="inlineStr">
        <is>
          <t>Consultant review pack: chapter 4.2 History Taking</t>
        </is>
      </c>
    </row>
    <row r="3">
      <c r="A3" s="2" t="inlineStr">
        <is>
          <t>Section</t>
        </is>
      </c>
      <c r="B3" s="3" t="inlineStr">
        <is>
          <t>4</t>
        </is>
      </c>
    </row>
    <row r="4">
      <c r="A4" s="2" t="inlineStr">
        <is>
          <t>Chapter</t>
        </is>
      </c>
      <c r="B4" s="3" t="inlineStr">
        <is>
          <t>4.2 History Taking</t>
        </is>
      </c>
    </row>
    <row r="5">
      <c r="A5" s="2" t="inlineStr">
        <is>
          <t>Pages</t>
        </is>
      </c>
      <c r="B5" s="3" t="n">
        <v>34</v>
      </c>
    </row>
    <row r="6">
      <c r="A6" s="2" t="inlineStr">
        <is>
          <t>Page type</t>
        </is>
      </c>
      <c r="B6" s="3" t="inlineStr">
        <is>
          <t>examination</t>
        </is>
      </c>
    </row>
    <row r="7">
      <c r="A7" s="2" t="inlineStr">
        <is>
          <t>Tiers</t>
        </is>
      </c>
      <c r="B7" s="3" t="inlineStr">
        <is>
          <t>medical student, mrcs, frcs, fellowship</t>
        </is>
      </c>
    </row>
    <row r="8">
      <c r="A8" s="2" t="inlineStr">
        <is>
          <t>Words</t>
        </is>
      </c>
      <c r="B8" s="3" t="inlineStr">
        <is>
          <t>40,193</t>
        </is>
      </c>
    </row>
    <row r="9">
      <c r="A9" s="2" t="inlineStr">
        <is>
          <t>Style gate</t>
        </is>
      </c>
      <c r="B9" s="3" t="inlineStr">
        <is>
          <t>all pages pass, 0 warnings</t>
        </is>
      </c>
    </row>
    <row r="10">
      <c r="A10" s="2" t="inlineStr">
        <is>
          <t>Evidence verification</t>
        </is>
      </c>
      <c r="B10" s="3" t="inlineStr">
        <is>
          <t>did not run on any page</t>
        </is>
      </c>
    </row>
    <row r="11">
      <c r="A11" s="2" t="inlineStr">
        <is>
          <t>Measurements to check</t>
        </is>
      </c>
      <c r="B11" s="3" t="n">
        <v>0</v>
      </c>
    </row>
    <row r="12">
      <c r="A12" s="2" t="inlineStr">
        <is>
          <t>Recommendations to sign</t>
        </is>
      </c>
      <c r="B12" s="3" t="n">
        <v>191</v>
      </c>
    </row>
    <row r="14">
      <c r="A14" s="2" t="inlineStr">
        <is>
          <t>What this is</t>
        </is>
      </c>
      <c r="B14" s="4" t="inlineStr">
        <is>
          <t>One chapter of KneeSchool, with every measurement and every clinical recommendation on its pages listed for review. Generated from the pages themselves by tools/review_pack.py, so this file cannot disagree with the site.</t>
        </is>
      </c>
    </row>
    <row r="15">
      <c r="A15" s="2" t="inlineStr">
        <is>
          <t>What has not happened</t>
        </is>
      </c>
      <c r="B15" s="4" t="inlineStr">
        <is>
          <t>No source was retrieved for any page in this chapter. The build environment has no access to PubMed, Cochrane, a journal or a textbook, so the pipeline's fact checking stage could not run. Every claim here has been checked by nobody. This pack stands in for the verification stage as well as for the review stage.</t>
        </is>
      </c>
    </row>
    <row r="16">
      <c r="A16" s="2" t="inlineStr">
        <is>
          <t>What to fill in</t>
        </is>
      </c>
      <c r="B16" s="4" t="inlineStr">
        <is>
          <t>The Decision column on the Recommendations and Measurements sheets, and your name. Every other cell is rewritten when the pack is regenerated. A row left blank stays outstanding and comes back in the next pack, so answering part of a sheet is a normal way to use it.</t>
        </is>
      </c>
    </row>
    <row r="17">
      <c r="A17" s="2" t="inlineStr">
        <is>
          <t>Recommendations: allowed decisions</t>
        </is>
      </c>
      <c r="B17" s="4" t="inlineStr">
        <is>
          <t>CONFIRMED, the sentence stands as written. AMENDED, it needs changing and the new wording goes in the Note column. WITHDRAWN, take it off the page. NOT_CLINICAL, it is teaching rather than clinical direction. The detector over collects on purpose, so NOT_CLINICAL is expected and is not a complaint about the page.</t>
        </is>
      </c>
    </row>
    <row r="18">
      <c r="A18" s="2" t="inlineStr">
        <is>
          <t>Measurements: allowed decisions</t>
        </is>
      </c>
      <c r="B18" s="4" t="inlineStr">
        <is>
          <t>VERIFIED, the figure is right and the source goes in the Source column. CORRECTED, the right value goes in the Note column. REMOVED, take the figure off the page.</t>
        </is>
      </c>
    </row>
    <row r="19">
      <c r="A19" s="2" t="inlineStr">
        <is>
          <t>How to return it</t>
        </is>
      </c>
      <c r="B19" s="4" t="inlineStr">
        <is>
          <t>Send the file back. It is read into the registers with: python3 tools/review_pack.py --ingest &lt;this file&gt;. One malformed row stops the whole file, so nothing is written half way.</t>
        </is>
      </c>
    </row>
    <row r="20">
      <c r="A20" s="2" t="inlineStr">
        <is>
          <t>What this cannot do</t>
        </is>
      </c>
      <c r="B20" s="4" t="inlineStr">
        <is>
          <t>It does not change a page. A confirmed recommendation needs nothing; an amended one needs the prose edited, and your wording in the Note column is what the editor works from.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8" customWidth="1" min="3" max="3"/>
    <col width="10" customWidth="1" min="4" max="4"/>
    <col width="52" customWidth="1" min="5" max="5"/>
  </cols>
  <sheetData>
    <row r="1">
      <c r="A1" s="5" t="inlineStr">
        <is>
          <t>Page</t>
        </is>
      </c>
      <c r="B1" s="5" t="inlineStr">
        <is>
          <t>Title</t>
        </is>
      </c>
      <c r="C1" s="5" t="inlineStr">
        <is>
          <t>Tiers</t>
        </is>
      </c>
      <c r="D1" s="5" t="inlineStr">
        <is>
          <t>Words</t>
        </is>
      </c>
      <c r="E1" s="5" t="inlineStr">
        <is>
          <t>Published as</t>
        </is>
      </c>
    </row>
    <row r="2">
      <c r="A2" s="6" t="inlineStr">
        <is>
          <t>4.2.1</t>
        </is>
      </c>
      <c r="B2" s="6" t="inlineStr">
        <is>
          <t>Pain</t>
        </is>
      </c>
      <c r="C2" s="6" t="n">
        <v>4</v>
      </c>
      <c r="D2" s="6" t="n">
        <v>1213</v>
      </c>
      <c r="E2" s="6" t="inlineStr">
        <is>
          <t>examination/pain.html</t>
        </is>
      </c>
    </row>
    <row r="3">
      <c r="A3" s="6" t="inlineStr">
        <is>
          <t>4.2.2</t>
        </is>
      </c>
      <c r="B3" s="6" t="inlineStr">
        <is>
          <t>Instability</t>
        </is>
      </c>
      <c r="C3" s="6" t="n">
        <v>4</v>
      </c>
      <c r="D3" s="6" t="n">
        <v>1286</v>
      </c>
      <c r="E3" s="6" t="inlineStr">
        <is>
          <t>examination/instability.html</t>
        </is>
      </c>
    </row>
    <row r="4">
      <c r="A4" s="6" t="inlineStr">
        <is>
          <t>4.2.3</t>
        </is>
      </c>
      <c r="B4" s="6" t="inlineStr">
        <is>
          <t>Swelling</t>
        </is>
      </c>
      <c r="C4" s="6" t="n">
        <v>4</v>
      </c>
      <c r="D4" s="6" t="n">
        <v>1252</v>
      </c>
      <c r="E4" s="6" t="inlineStr">
        <is>
          <t>examination/history-of-swelling.html</t>
        </is>
      </c>
    </row>
    <row r="5">
      <c r="A5" s="6" t="inlineStr">
        <is>
          <t>4.2.4</t>
        </is>
      </c>
      <c r="B5" s="6" t="inlineStr">
        <is>
          <t>Stiffness</t>
        </is>
      </c>
      <c r="C5" s="6" t="n">
        <v>4</v>
      </c>
      <c r="D5" s="6" t="n">
        <v>1240</v>
      </c>
      <c r="E5" s="6" t="inlineStr">
        <is>
          <t>examination/stiffness.html</t>
        </is>
      </c>
    </row>
    <row r="6">
      <c r="A6" s="6" t="inlineStr">
        <is>
          <t>4.2.5</t>
        </is>
      </c>
      <c r="B6" s="6" t="inlineStr">
        <is>
          <t>Locking</t>
        </is>
      </c>
      <c r="C6" s="6" t="n">
        <v>4</v>
      </c>
      <c r="D6" s="6" t="n">
        <v>1301</v>
      </c>
      <c r="E6" s="6" t="inlineStr">
        <is>
          <t>examination/locking.html</t>
        </is>
      </c>
    </row>
    <row r="7">
      <c r="A7" s="6" t="inlineStr">
        <is>
          <t>4.2.6</t>
        </is>
      </c>
      <c r="B7" s="6" t="inlineStr">
        <is>
          <t>Giving Way</t>
        </is>
      </c>
      <c r="C7" s="6" t="n">
        <v>4</v>
      </c>
      <c r="D7" s="6" t="n">
        <v>1211</v>
      </c>
      <c r="E7" s="6" t="inlineStr">
        <is>
          <t>examination/giving-way.html</t>
        </is>
      </c>
    </row>
    <row r="8">
      <c r="A8" s="6" t="inlineStr">
        <is>
          <t>4.2.7</t>
        </is>
      </c>
      <c r="B8" s="6" t="inlineStr">
        <is>
          <t>Mechanical Symptoms</t>
        </is>
      </c>
      <c r="C8" s="6" t="n">
        <v>4</v>
      </c>
      <c r="D8" s="6" t="n">
        <v>1119</v>
      </c>
      <c r="E8" s="6" t="inlineStr">
        <is>
          <t>examination/history-of-mechanical-symptoms.html</t>
        </is>
      </c>
    </row>
    <row r="9">
      <c r="A9" s="6" t="inlineStr">
        <is>
          <t>4.2.8</t>
        </is>
      </c>
      <c r="B9" s="6" t="inlineStr">
        <is>
          <t>Location of Pain</t>
        </is>
      </c>
      <c r="C9" s="6" t="n">
        <v>4</v>
      </c>
      <c r="D9" s="6" t="n">
        <v>1186</v>
      </c>
      <c r="E9" s="6" t="inlineStr">
        <is>
          <t>examination/location-of-pain.html</t>
        </is>
      </c>
    </row>
    <row r="10">
      <c r="A10" s="6" t="inlineStr">
        <is>
          <t>4.2.9</t>
        </is>
      </c>
      <c r="B10" s="6" t="inlineStr">
        <is>
          <t>Onset</t>
        </is>
      </c>
      <c r="C10" s="6" t="n">
        <v>4</v>
      </c>
      <c r="D10" s="6" t="n">
        <v>1163</v>
      </c>
      <c r="E10" s="6" t="inlineStr">
        <is>
          <t>examination/onset.html</t>
        </is>
      </c>
    </row>
    <row r="11">
      <c r="A11" s="6" t="inlineStr">
        <is>
          <t>4.2.10</t>
        </is>
      </c>
      <c r="B11" s="6" t="inlineStr">
        <is>
          <t>Severity</t>
        </is>
      </c>
      <c r="C11" s="6" t="n">
        <v>4</v>
      </c>
      <c r="D11" s="6" t="n">
        <v>1137</v>
      </c>
      <c r="E11" s="6" t="inlineStr">
        <is>
          <t>examination/severity.html</t>
        </is>
      </c>
    </row>
    <row r="12">
      <c r="A12" s="6" t="inlineStr">
        <is>
          <t>4.2.11</t>
        </is>
      </c>
      <c r="B12" s="6" t="inlineStr">
        <is>
          <t>Aggravating Factors</t>
        </is>
      </c>
      <c r="C12" s="6" t="n">
        <v>4</v>
      </c>
      <c r="D12" s="6" t="n">
        <v>1163</v>
      </c>
      <c r="E12" s="6" t="inlineStr">
        <is>
          <t>examination/aggravating-factors.html</t>
        </is>
      </c>
    </row>
    <row r="13">
      <c r="A13" s="6" t="inlineStr">
        <is>
          <t>4.2.12</t>
        </is>
      </c>
      <c r="B13" s="6" t="inlineStr">
        <is>
          <t>Relieving Factors</t>
        </is>
      </c>
      <c r="C13" s="6" t="n">
        <v>4</v>
      </c>
      <c r="D13" s="6" t="n">
        <v>1119</v>
      </c>
      <c r="E13" s="6" t="inlineStr">
        <is>
          <t>examination/relieving-factors.html</t>
        </is>
      </c>
    </row>
    <row r="14">
      <c r="A14" s="6" t="inlineStr">
        <is>
          <t>4.2.13</t>
        </is>
      </c>
      <c r="B14" s="6" t="inlineStr">
        <is>
          <t>Night Pain</t>
        </is>
      </c>
      <c r="C14" s="6" t="n">
        <v>4</v>
      </c>
      <c r="D14" s="6" t="n">
        <v>1198</v>
      </c>
      <c r="E14" s="6" t="inlineStr">
        <is>
          <t>examination/night-pain.html</t>
        </is>
      </c>
    </row>
    <row r="15">
      <c r="A15" s="6" t="inlineStr">
        <is>
          <t>4.2.14</t>
        </is>
      </c>
      <c r="B15" s="6" t="inlineStr">
        <is>
          <t>Inflammatory Pain</t>
        </is>
      </c>
      <c r="C15" s="6" t="n">
        <v>4</v>
      </c>
      <c r="D15" s="6" t="n">
        <v>1116</v>
      </c>
      <c r="E15" s="6" t="inlineStr">
        <is>
          <t>examination/inflammatory-pain.html</t>
        </is>
      </c>
    </row>
    <row r="16">
      <c r="A16" s="6" t="inlineStr">
        <is>
          <t>4.2.15</t>
        </is>
      </c>
      <c r="B16" s="6" t="inlineStr">
        <is>
          <t>Referred Pain</t>
        </is>
      </c>
      <c r="C16" s="6" t="n">
        <v>4</v>
      </c>
      <c r="D16" s="6" t="n">
        <v>1247</v>
      </c>
      <c r="E16" s="6" t="inlineStr">
        <is>
          <t>examination/referred-pain.html</t>
        </is>
      </c>
    </row>
    <row r="17">
      <c r="A17" s="6" t="inlineStr">
        <is>
          <t>4.2.16</t>
        </is>
      </c>
      <c r="B17" s="6" t="inlineStr">
        <is>
          <t>Non-contact Injury</t>
        </is>
      </c>
      <c r="C17" s="6" t="n">
        <v>4</v>
      </c>
      <c r="D17" s="6" t="n">
        <v>1171</v>
      </c>
      <c r="E17" s="6" t="inlineStr">
        <is>
          <t>examination/non-contact-injury.html</t>
        </is>
      </c>
    </row>
    <row r="18">
      <c r="A18" s="6" t="inlineStr">
        <is>
          <t>4.2.17</t>
        </is>
      </c>
      <c r="B18" s="6" t="inlineStr">
        <is>
          <t>Contact Injury</t>
        </is>
      </c>
      <c r="C18" s="6" t="n">
        <v>4</v>
      </c>
      <c r="D18" s="6" t="n">
        <v>1217</v>
      </c>
      <c r="E18" s="6" t="inlineStr">
        <is>
          <t>examination/contact-injury.html</t>
        </is>
      </c>
    </row>
    <row r="19">
      <c r="A19" s="6" t="inlineStr">
        <is>
          <t>4.2.18</t>
        </is>
      </c>
      <c r="B19" s="6" t="inlineStr">
        <is>
          <t>Twisting Injury</t>
        </is>
      </c>
      <c r="C19" s="6" t="n">
        <v>4</v>
      </c>
      <c r="D19" s="6" t="n">
        <v>1173</v>
      </c>
      <c r="E19" s="6" t="inlineStr">
        <is>
          <t>examination/twisting-injury.html</t>
        </is>
      </c>
    </row>
    <row r="20">
      <c r="A20" s="6" t="inlineStr">
        <is>
          <t>4.2.19</t>
        </is>
      </c>
      <c r="B20" s="6" t="inlineStr">
        <is>
          <t>Hyperextension Injury</t>
        </is>
      </c>
      <c r="C20" s="6" t="n">
        <v>4</v>
      </c>
      <c r="D20" s="6" t="n">
        <v>1063</v>
      </c>
      <c r="E20" s="6" t="inlineStr">
        <is>
          <t>examination/hyperextension-injury.html</t>
        </is>
      </c>
    </row>
    <row r="21">
      <c r="A21" s="6" t="inlineStr">
        <is>
          <t>4.2.20</t>
        </is>
      </c>
      <c r="B21" s="6" t="inlineStr">
        <is>
          <t>Direct Blow</t>
        </is>
      </c>
      <c r="C21" s="6" t="n">
        <v>4</v>
      </c>
      <c r="D21" s="6" t="n">
        <v>1147</v>
      </c>
      <c r="E21" s="6" t="inlineStr">
        <is>
          <t>examination/direct-blow.html</t>
        </is>
      </c>
    </row>
    <row r="22">
      <c r="A22" s="6" t="inlineStr">
        <is>
          <t>4.2.21</t>
        </is>
      </c>
      <c r="B22" s="6" t="inlineStr">
        <is>
          <t>Dashboard Injury</t>
        </is>
      </c>
      <c r="C22" s="6" t="n">
        <v>4</v>
      </c>
      <c r="D22" s="6" t="n">
        <v>1210</v>
      </c>
      <c r="E22" s="6" t="inlineStr">
        <is>
          <t>examination/dashboard-injury.html</t>
        </is>
      </c>
    </row>
    <row r="23">
      <c r="A23" s="6" t="inlineStr">
        <is>
          <t>4.2.22</t>
        </is>
      </c>
      <c r="B23" s="6" t="inlineStr">
        <is>
          <t>Patellar Dislocation Event</t>
        </is>
      </c>
      <c r="C23" s="6" t="n">
        <v>4</v>
      </c>
      <c r="D23" s="6" t="n">
        <v>1240</v>
      </c>
      <c r="E23" s="6" t="inlineStr">
        <is>
          <t>examination/patellar-dislocation-event.html</t>
        </is>
      </c>
    </row>
    <row r="24">
      <c r="A24" s="6" t="inlineStr">
        <is>
          <t>4.2.23</t>
        </is>
      </c>
      <c r="B24" s="6" t="inlineStr">
        <is>
          <t>Football</t>
        </is>
      </c>
      <c r="C24" s="6" t="n">
        <v>4</v>
      </c>
      <c r="D24" s="6" t="n">
        <v>1191</v>
      </c>
      <c r="E24" s="6" t="inlineStr">
        <is>
          <t>examination/football.html</t>
        </is>
      </c>
    </row>
    <row r="25">
      <c r="A25" s="6" t="inlineStr">
        <is>
          <t>4.2.24</t>
        </is>
      </c>
      <c r="B25" s="6" t="inlineStr">
        <is>
          <t>Cricket</t>
        </is>
      </c>
      <c r="C25" s="6" t="n">
        <v>4</v>
      </c>
      <c r="D25" s="6" t="n">
        <v>1199</v>
      </c>
      <c r="E25" s="6" t="inlineStr">
        <is>
          <t>examination/cricket.html</t>
        </is>
      </c>
    </row>
    <row r="26">
      <c r="A26" s="6" t="inlineStr">
        <is>
          <t>4.2.25</t>
        </is>
      </c>
      <c r="B26" s="6" t="inlineStr">
        <is>
          <t>Rugby</t>
        </is>
      </c>
      <c r="C26" s="6" t="n">
        <v>4</v>
      </c>
      <c r="D26" s="6" t="n">
        <v>1134</v>
      </c>
      <c r="E26" s="6" t="inlineStr">
        <is>
          <t>examination/rugby.html</t>
        </is>
      </c>
    </row>
    <row r="27">
      <c r="A27" s="6" t="inlineStr">
        <is>
          <t>4.2.26</t>
        </is>
      </c>
      <c r="B27" s="6" t="inlineStr">
        <is>
          <t>Skiing</t>
        </is>
      </c>
      <c r="C27" s="6" t="n">
        <v>4</v>
      </c>
      <c r="D27" s="6" t="n">
        <v>1206</v>
      </c>
      <c r="E27" s="6" t="inlineStr">
        <is>
          <t>examination/skiing.html</t>
        </is>
      </c>
    </row>
    <row r="28">
      <c r="A28" s="6" t="inlineStr">
        <is>
          <t>4.2.27</t>
        </is>
      </c>
      <c r="B28" s="6" t="inlineStr">
        <is>
          <t>Running</t>
        </is>
      </c>
      <c r="C28" s="6" t="n">
        <v>4</v>
      </c>
      <c r="D28" s="6" t="n">
        <v>1164</v>
      </c>
      <c r="E28" s="6" t="inlineStr">
        <is>
          <t>examination/running.html</t>
        </is>
      </c>
    </row>
    <row r="29">
      <c r="A29" s="6" t="inlineStr">
        <is>
          <t>4.2.28</t>
        </is>
      </c>
      <c r="B29" s="6" t="inlineStr">
        <is>
          <t>Tennis</t>
        </is>
      </c>
      <c r="C29" s="6" t="n">
        <v>4</v>
      </c>
      <c r="D29" s="6" t="n">
        <v>1114</v>
      </c>
      <c r="E29" s="6" t="inlineStr">
        <is>
          <t>examination/tennis.html</t>
        </is>
      </c>
    </row>
    <row r="30">
      <c r="A30" s="6" t="inlineStr">
        <is>
          <t>4.2.29</t>
        </is>
      </c>
      <c r="B30" s="6" t="inlineStr">
        <is>
          <t>Basketball</t>
        </is>
      </c>
      <c r="C30" s="6" t="n">
        <v>4</v>
      </c>
      <c r="D30" s="6" t="n">
        <v>1121</v>
      </c>
      <c r="E30" s="6" t="inlineStr">
        <is>
          <t>examination/basketball.html</t>
        </is>
      </c>
    </row>
    <row r="31">
      <c r="A31" s="6" t="inlineStr">
        <is>
          <t>4.2.30</t>
        </is>
      </c>
      <c r="B31" s="6" t="inlineStr">
        <is>
          <t>Previous Surgery</t>
        </is>
      </c>
      <c r="C31" s="6" t="n">
        <v>4</v>
      </c>
      <c r="D31" s="6" t="n">
        <v>1111</v>
      </c>
      <c r="E31" s="6" t="inlineStr">
        <is>
          <t>examination/previous-surgery.html</t>
        </is>
      </c>
    </row>
    <row r="32">
      <c r="A32" s="6" t="inlineStr">
        <is>
          <t>4.2.31</t>
        </is>
      </c>
      <c r="B32" s="6" t="inlineStr">
        <is>
          <t>Previous Injections</t>
        </is>
      </c>
      <c r="C32" s="6" t="n">
        <v>4</v>
      </c>
      <c r="D32" s="6" t="n">
        <v>1150</v>
      </c>
      <c r="E32" s="6" t="inlineStr">
        <is>
          <t>examination/previous-injections.html</t>
        </is>
      </c>
    </row>
    <row r="33">
      <c r="A33" s="6" t="inlineStr">
        <is>
          <t>4.2.32</t>
        </is>
      </c>
      <c r="B33" s="6" t="inlineStr">
        <is>
          <t>Previous Physiotherapy</t>
        </is>
      </c>
      <c r="C33" s="6" t="n">
        <v>4</v>
      </c>
      <c r="D33" s="6" t="n">
        <v>1171</v>
      </c>
      <c r="E33" s="6" t="inlineStr">
        <is>
          <t>examination/previous-physiotherapy.html</t>
        </is>
      </c>
    </row>
    <row r="34">
      <c r="A34" s="6" t="inlineStr">
        <is>
          <t>4.2.33</t>
        </is>
      </c>
      <c r="B34" s="6" t="inlineStr">
        <is>
          <t>Previous Imaging</t>
        </is>
      </c>
      <c r="C34" s="6" t="n">
        <v>4</v>
      </c>
      <c r="D34" s="6" t="n">
        <v>1242</v>
      </c>
      <c r="E34" s="6" t="inlineStr">
        <is>
          <t>examination/previous-imaging.html</t>
        </is>
      </c>
    </row>
    <row r="35">
      <c r="A35" s="6" t="inlineStr">
        <is>
          <t>4.2.34</t>
        </is>
      </c>
      <c r="B35" s="6" t="inlineStr">
        <is>
          <t>Previous Rehabilitation</t>
        </is>
      </c>
      <c r="C35" s="6" t="n">
        <v>4</v>
      </c>
      <c r="D35" s="6" t="n">
        <v>1218</v>
      </c>
      <c r="E35" s="6" t="inlineStr">
        <is>
          <t>examination/previous-rehabilitation.html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0"/>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10" customWidth="1" min="3" max="3"/>
  </cols>
  <sheetData>
    <row r="1">
      <c r="A1" s="5" t="inlineStr">
        <is>
          <t>Page</t>
        </is>
      </c>
      <c r="B1" s="5" t="inlineStr">
        <is>
          <t>Title</t>
        </is>
      </c>
      <c r="C1" s="5" t="inlineStr">
        <is>
          <t>Claim</t>
        </is>
      </c>
    </row>
    <row r="2">
      <c r="A2" s="4" t="inlineStr">
        <is>
          <t>4.2.1</t>
        </is>
      </c>
      <c r="B2" s="4" t="inlineStr">
        <is>
          <t>Pain</t>
        </is>
      </c>
      <c r="C2" s="4" t="inlineStr">
        <is>
          <t>In referred practice the account has hardened, so ask what has changed rather than what it is like.</t>
        </is>
      </c>
    </row>
    <row r="3">
      <c r="A3" s="4" t="inlineStr">
        <is>
          <t>4.2.1</t>
        </is>
      </c>
      <c r="B3" s="4" t="inlineStr">
        <is>
          <t>Pain</t>
        </is>
      </c>
      <c r="C3" s="4" t="inlineStr">
        <is>
          <t>Pain after a reconstruction or a replacement needs its own differential.</t>
        </is>
      </c>
    </row>
    <row r="4">
      <c r="A4" s="4" t="inlineStr">
        <is>
          <t>4.2.1</t>
        </is>
      </c>
      <c r="B4" s="4" t="inlineStr">
        <is>
          <t>Pain</t>
        </is>
      </c>
      <c r="C4" s="4" t="inlineStr">
        <is>
          <t>Pain with no mechanical pattern after surgery is most likely to be operated on and least likely to benefit.</t>
        </is>
      </c>
    </row>
    <row r="5">
      <c r="A5" s="4" t="inlineStr">
        <is>
          <t>4.2.1</t>
        </is>
      </c>
      <c r="B5" s="4" t="inlineStr">
        <is>
          <t>Pain</t>
        </is>
      </c>
      <c r="C5" s="4" t="inlineStr">
        <is>
          <t>No figure in this chapter supports which patterns discriminate; the patterns are standard teaching.</t>
        </is>
      </c>
    </row>
    <row r="6">
      <c r="A6" s="4" t="inlineStr">
        <is>
          <t>4.2.2</t>
        </is>
      </c>
      <c r="B6" s="4" t="inlineStr">
        <is>
          <t>Instability</t>
        </is>
      </c>
      <c r="C6" s="4" t="inlineStr">
        <is>
          <t>Persistent instability after reconstruction has four common causes and the history separates them.</t>
        </is>
      </c>
    </row>
    <row r="7">
      <c r="A7" s="4" t="inlineStr">
        <is>
          <t>4.2.2</t>
        </is>
      </c>
      <c r="B7" s="4" t="inlineStr">
        <is>
          <t>Instability</t>
        </is>
      </c>
      <c r="C7" s="4" t="inlineStr">
        <is>
          <t>An unaddressed rotational component is the commonest and the easiest to miss.</t>
        </is>
      </c>
    </row>
    <row r="8">
      <c r="A8" s="4" t="inlineStr">
        <is>
          <t>4.2.2</t>
        </is>
      </c>
      <c r="B8" s="4" t="inlineStr">
        <is>
          <t>Instability</t>
        </is>
      </c>
      <c r="C8" s="4" t="inlineStr">
        <is>
          <t>Quadriceps deficit produces pseudo-instability that responds to rehabilitation, not revision.</t>
        </is>
      </c>
    </row>
    <row r="9">
      <c r="A9" s="4" t="inlineStr">
        <is>
          <t>4.2.2</t>
        </is>
      </c>
      <c r="B9" s="4" t="inlineStr">
        <is>
          <t>Instability</t>
        </is>
      </c>
      <c r="C9" s="4" t="inlineStr">
        <is>
          <t>A subluxing patella can present as the knee giving way.</t>
        </is>
      </c>
    </row>
    <row r="10">
      <c r="A10" s="4" t="inlineStr">
        <is>
          <t>4.2.2</t>
        </is>
      </c>
      <c r="B10" s="4" t="inlineStr">
        <is>
          <t>Instability</t>
        </is>
      </c>
      <c r="C10" s="4" t="inlineStr">
        <is>
          <t>Ask for the event, then the activity, then the direction, then what happened afterwards.</t>
        </is>
      </c>
    </row>
    <row r="11">
      <c r="A11" s="4" t="inlineStr">
        <is>
          <t>4.2.3</t>
        </is>
      </c>
      <c r="B11" s="4" t="inlineStr">
        <is>
          <t>Swelling</t>
        </is>
      </c>
      <c r="C11" s="4" t="inlineStr">
        <is>
          <t>Recurrent effusion is a common post-operative referral and the history separates its causes.</t>
        </is>
      </c>
    </row>
    <row r="12">
      <c r="A12" s="4" t="inlineStr">
        <is>
          <t>4.2.3</t>
        </is>
      </c>
      <c r="B12" s="4" t="inlineStr">
        <is>
          <t>Swelling</t>
        </is>
      </c>
      <c r="C12" s="4" t="inlineStr">
        <is>
          <t>An effusion that never settled behaves differently from one that settled and returned.</t>
        </is>
      </c>
    </row>
    <row r="13">
      <c r="A13" s="4" t="inlineStr">
        <is>
          <t>4.2.3</t>
        </is>
      </c>
      <c r="B13" s="4" t="inlineStr">
        <is>
          <t>Swelling</t>
        </is>
      </c>
      <c r="C13" s="4" t="inlineStr">
        <is>
          <t>After arthroplasty, exclude infection before entertaining a mechanical explanation.</t>
        </is>
      </c>
    </row>
    <row r="14">
      <c r="A14" s="4" t="inlineStr">
        <is>
          <t>4.2.3</t>
        </is>
      </c>
      <c r="B14" s="4" t="inlineStr">
        <is>
          <t>Swelling</t>
        </is>
      </c>
      <c r="C14" s="4" t="inlineStr">
        <is>
          <t>An effusion after a repair may be a rehabilitation problem rather than a structural one.</t>
        </is>
      </c>
    </row>
    <row r="15">
      <c r="A15" s="4" t="inlineStr">
        <is>
          <t>4.2.4</t>
        </is>
      </c>
      <c r="B15" s="4" t="inlineStr">
        <is>
          <t>Stiffness</t>
        </is>
      </c>
      <c r="C15" s="4" t="inlineStr">
        <is>
          <t>A knee that never achieved range differs from one that achieved it and lost it.</t>
        </is>
      </c>
    </row>
    <row r="16">
      <c r="A16" s="4" t="inlineStr">
        <is>
          <t>4.2.4</t>
        </is>
      </c>
      <c r="B16" s="4" t="inlineStr">
        <is>
          <t>Stiffness</t>
        </is>
      </c>
      <c r="C16" s="4" t="inlineStr">
        <is>
          <t>Ask what rehabilitation was done rather than what was prescribed.</t>
        </is>
      </c>
    </row>
    <row r="17">
      <c r="A17" s="4" t="inlineStr">
        <is>
          <t>4.2.4</t>
        </is>
      </c>
      <c r="B17" s="4" t="inlineStr">
        <is>
          <t>Stiffness</t>
        </is>
      </c>
      <c r="C17" s="4" t="inlineStr">
        <is>
          <t>Pain before stiffness suggests a cause; stiffness before pain suggests a capsular process.</t>
        </is>
      </c>
    </row>
    <row r="18">
      <c r="A18" s="4" t="inlineStr">
        <is>
          <t>4.2.4</t>
        </is>
      </c>
      <c r="B18" s="4" t="inlineStr">
        <is>
          <t>Stiffness</t>
        </is>
      </c>
      <c r="C18" s="4" t="inlineStr">
        <is>
          <t>A release for stiffness driven by unexplained pain is the intervention most likely to disappoint.</t>
        </is>
      </c>
    </row>
    <row r="19">
      <c r="A19" s="4" t="inlineStr">
        <is>
          <t>4.2.5</t>
        </is>
      </c>
      <c r="B19" s="4" t="inlineStr">
        <is>
          <t>Locking</t>
        </is>
      </c>
      <c r="C19" s="4" t="inlineStr">
        <is>
          <t>After a failed arthroscopy for locking, establish whether the symptom was ever a block.</t>
        </is>
      </c>
    </row>
    <row r="20">
      <c r="A20" s="4" t="inlineStr">
        <is>
          <t>4.2.5</t>
        </is>
      </c>
      <c r="B20" s="4" t="inlineStr">
        <is>
          <t>Locking</t>
        </is>
      </c>
      <c r="C20" s="4" t="inlineStr">
        <is>
          <t>If it was not, a second arthroscopy will not help either.</t>
        </is>
      </c>
    </row>
    <row r="21">
      <c r="A21" s="4" t="inlineStr">
        <is>
          <t>4.2.5</t>
        </is>
      </c>
      <c r="B21" s="4" t="inlineStr">
        <is>
          <t>Locking</t>
        </is>
      </c>
      <c r="C21" s="4" t="inlineStr">
        <is>
          <t>A resected fragment leaves a mechanically different knee, which can itself produce symptoms.</t>
        </is>
      </c>
    </row>
    <row r="22">
      <c r="A22" s="4" t="inlineStr">
        <is>
          <t>4.2.5</t>
        </is>
      </c>
      <c r="B22" s="4" t="inlineStr">
        <is>
          <t>Locking</t>
        </is>
      </c>
      <c r="C22" s="4" t="inlineStr">
        <is>
          <t>A locked knee after a repair may be repair failure rather than a new event.</t>
        </is>
      </c>
    </row>
    <row r="23">
      <c r="A23" s="4" t="inlineStr">
        <is>
          <t>4.2.6</t>
        </is>
      </c>
      <c r="B23" s="4" t="inlineStr">
        <is>
          <t>Giving Way</t>
        </is>
      </c>
      <c r="C23" s="4" t="inlineStr">
        <is>
          <t>Ask whether the episode resembles the original symptom: a return suggests graft failure.</t>
        </is>
      </c>
    </row>
    <row r="24">
      <c r="A24" s="4" t="inlineStr">
        <is>
          <t>4.2.6</t>
        </is>
      </c>
      <c r="B24" s="4" t="inlineStr">
        <is>
          <t>Giving Way</t>
        </is>
      </c>
      <c r="C24" s="4" t="inlineStr">
        <is>
          <t>A new pivoting symptom suggests a rotational component that was never addressed.</t>
        </is>
      </c>
    </row>
    <row r="25">
      <c r="A25" s="4" t="inlineStr">
        <is>
          <t>4.2.6</t>
        </is>
      </c>
      <c r="B25" s="4" t="inlineStr">
        <is>
          <t>Giving Way</t>
        </is>
      </c>
      <c r="C25" s="4" t="inlineStr">
        <is>
          <t>In a multiligament knee the complaint is distrust in every direction, not a plane.</t>
        </is>
      </c>
    </row>
    <row r="26">
      <c r="A26" s="4" t="inlineStr">
        <is>
          <t>4.2.6</t>
        </is>
      </c>
      <c r="B26" s="4" t="inlineStr">
        <is>
          <t>Giving Way</t>
        </is>
      </c>
      <c r="C26" s="4" t="inlineStr">
        <is>
          <t>In a hypermobile patient compare against their own other knee and their own past function.</t>
        </is>
      </c>
    </row>
    <row r="27">
      <c r="A27" s="4" t="inlineStr">
        <is>
          <t>4.2.7</t>
        </is>
      </c>
      <c r="B27" s="4" t="inlineStr">
        <is>
          <t>Mechanical Symptoms</t>
        </is>
      </c>
      <c r="C27" s="4" t="inlineStr">
        <is>
          <t>After resection the symptom may be altered mechanics rather than a new tear.</t>
        </is>
      </c>
    </row>
    <row r="28">
      <c r="A28" s="4" t="inlineStr">
        <is>
          <t>4.2.7</t>
        </is>
      </c>
      <c r="B28" s="4" t="inlineStr">
        <is>
          <t>Mechanical Symptoms</t>
        </is>
      </c>
      <c r="C28" s="4" t="inlineStr">
        <is>
          <t>A cyclops lesion produces a reproducible block near extension and is often called stiffness.</t>
        </is>
      </c>
    </row>
    <row r="29">
      <c r="A29" s="4" t="inlineStr">
        <is>
          <t>4.2.7</t>
        </is>
      </c>
      <c r="B29" s="4" t="inlineStr">
        <is>
          <t>Mechanical Symptoms</t>
        </is>
      </c>
      <c r="C29" s="4" t="inlineStr">
        <is>
          <t>A knee arthroscoped repeatedly without benefit usually had a symptom that was never mechanical.</t>
        </is>
      </c>
    </row>
    <row r="30">
      <c r="A30" s="4" t="inlineStr">
        <is>
          <t>4.2.7</t>
        </is>
      </c>
      <c r="B30" s="4" t="inlineStr">
        <is>
          <t>Mechanical Symptoms</t>
        </is>
      </c>
      <c r="C30" s="4" t="inlineStr">
        <is>
          <t>That conclusion comes from the history, not from a further arthroscopy.</t>
        </is>
      </c>
    </row>
    <row r="31">
      <c r="A31" s="4" t="inlineStr">
        <is>
          <t>4.2.8</t>
        </is>
      </c>
      <c r="B31" s="4" t="inlineStr">
        <is>
          <t>Location of Pain</t>
        </is>
      </c>
      <c r="C31" s="4" t="inlineStr">
        <is>
          <t>After surgery the site of pain points at what was done rather than at what was there.</t>
        </is>
      </c>
    </row>
    <row r="32">
      <c r="A32" s="4" t="inlineStr">
        <is>
          <t>4.2.8</t>
        </is>
      </c>
      <c r="B32" s="4" t="inlineStr">
        <is>
          <t>Location of Pain</t>
        </is>
      </c>
      <c r="C32" s="4" t="inlineStr">
        <is>
          <t>Harvest site, tunnel, device and scar pain are all reported simply as knee pain.</t>
        </is>
      </c>
    </row>
    <row r="33">
      <c r="A33" s="4" t="inlineStr">
        <is>
          <t>4.2.8</t>
        </is>
      </c>
      <c r="B33" s="4" t="inlineStr">
        <is>
          <t>Location of Pain</t>
        </is>
      </c>
      <c r="C33" s="4" t="inlineStr">
        <is>
          <t>Joint line pain after a repair may be the repair, and the rehabilitation timing settles it.</t>
        </is>
      </c>
    </row>
    <row r="34">
      <c r="A34" s="4" t="inlineStr">
        <is>
          <t>4.2.8</t>
        </is>
      </c>
      <c r="B34" s="4" t="inlineStr">
        <is>
          <t>Location of Pain</t>
        </is>
      </c>
      <c r="C34" s="4" t="inlineStr">
        <is>
          <t>In a painful arthroplasty, diffuse pain suggests infection or sensitisation over a mechanical cause.</t>
        </is>
      </c>
    </row>
    <row r="35">
      <c r="A35" s="4" t="inlineStr">
        <is>
          <t>4.2.9</t>
        </is>
      </c>
      <c r="B35" s="4" t="inlineStr">
        <is>
          <t>Onset</t>
        </is>
      </c>
      <c r="C35" s="4" t="inlineStr">
        <is>
          <t>A patient referred after a reconstruction has two onsets, and conflating them is the common error.</t>
        </is>
      </c>
    </row>
    <row r="36">
      <c r="A36" s="4" t="inlineStr">
        <is>
          <t>4.2.9</t>
        </is>
      </c>
      <c r="B36" s="4" t="inlineStr">
        <is>
          <t>Onset</t>
        </is>
      </c>
      <c r="C36" s="4" t="inlineStr">
        <is>
          <t>A symptom that began when loading increased differs from one present from the first week.</t>
        </is>
      </c>
    </row>
    <row r="37">
      <c r="A37" s="4" t="inlineStr">
        <is>
          <t>4.2.9</t>
        </is>
      </c>
      <c r="B37" s="4" t="inlineStr">
        <is>
          <t>Onset</t>
        </is>
      </c>
      <c r="C37" s="4" t="inlineStr">
        <is>
          <t>In a multiply operated knee, a timeline of operations and symptom changes is the history.</t>
        </is>
      </c>
    </row>
    <row r="38">
      <c r="A38" s="4" t="inlineStr">
        <is>
          <t>4.2.9</t>
        </is>
      </c>
      <c r="B38" s="4" t="inlineStr">
        <is>
          <t>Onset</t>
        </is>
      </c>
      <c r="C38" s="4" t="inlineStr">
        <is>
          <t>Ask about the onset of the current complaint as well as the original injury.</t>
        </is>
      </c>
    </row>
    <row r="39">
      <c r="A39" s="4" t="inlineStr">
        <is>
          <t>4.2.10</t>
        </is>
      </c>
      <c r="B39" s="4" t="inlineStr">
        <is>
          <t>Severity</t>
        </is>
      </c>
      <c r="C39" s="4" t="inlineStr">
        <is>
          <t>Severity without a comparator is the least useful part of a referral letter.</t>
        </is>
      </c>
    </row>
    <row r="40">
      <c r="A40" s="4" t="inlineStr">
        <is>
          <t>4.2.10</t>
        </is>
      </c>
      <c r="B40" s="4" t="inlineStr">
        <is>
          <t>Severity</t>
        </is>
      </c>
      <c r="C40" s="4" t="inlineStr">
        <is>
          <t>The useful version is severity relative to before the last intervention.</t>
        </is>
      </c>
    </row>
    <row r="41">
      <c r="A41" s="4" t="inlineStr">
        <is>
          <t>4.2.10</t>
        </is>
      </c>
      <c r="B41" s="4" t="inlineStr">
        <is>
          <t>Severity</t>
        </is>
      </c>
      <c r="C41" s="4" t="inlineStr">
        <is>
          <t>Worse than before an operation and better but not enough are different problems.</t>
        </is>
      </c>
    </row>
    <row r="42">
      <c r="A42" s="4" t="inlineStr">
        <is>
          <t>4.2.10</t>
        </is>
      </c>
      <c r="B42" s="4" t="inlineStr">
        <is>
          <t>Severity</t>
        </is>
      </c>
      <c r="C42" s="4" t="inlineStr">
        <is>
          <t>Severe pain with no mechanical pattern after multiple operations is the commonest avoidable harm here.</t>
        </is>
      </c>
    </row>
    <row r="43">
      <c r="A43" s="4" t="inlineStr">
        <is>
          <t>4.2.11</t>
        </is>
      </c>
      <c r="B43" s="4" t="inlineStr">
        <is>
          <t>Aggravating Factors</t>
        </is>
      </c>
      <c r="C43" s="4" t="inlineStr">
        <is>
          <t>After surgery a change in the provoking pattern is more informative than the pattern.</t>
        </is>
      </c>
    </row>
    <row r="44">
      <c r="A44" s="4" t="inlineStr">
        <is>
          <t>4.2.11</t>
        </is>
      </c>
      <c r="B44" s="4" t="inlineStr">
        <is>
          <t>Aggravating Factors</t>
        </is>
      </c>
      <c r="C44" s="4" t="inlineStr">
        <is>
          <t>New flexion-provoked anterior pain after reconstruction is usually patellofemoral or harvest site.</t>
        </is>
      </c>
    </row>
    <row r="45">
      <c r="A45" s="4" t="inlineStr">
        <is>
          <t>4.2.11</t>
        </is>
      </c>
      <c r="B45" s="4" t="inlineStr">
        <is>
          <t>Aggravating Factors</t>
        </is>
      </c>
      <c r="C45" s="4" t="inlineStr">
        <is>
          <t>New lateral pain after an osteotomy is transferred load behaving excessively.</t>
        </is>
      </c>
    </row>
    <row r="46">
      <c r="A46" s="4" t="inlineStr">
        <is>
          <t>4.2.11</t>
        </is>
      </c>
      <c r="B46" s="4" t="inlineStr">
        <is>
          <t>Aggravating Factors</t>
        </is>
      </c>
      <c r="C46" s="4" t="inlineStr">
        <is>
          <t>Establish the pre-operative pattern first, which is frequently not recorded.</t>
        </is>
      </c>
    </row>
    <row r="47">
      <c r="A47" s="4" t="inlineStr">
        <is>
          <t>4.2.12</t>
        </is>
      </c>
      <c r="B47" s="4" t="inlineStr">
        <is>
          <t>Relieving Factors</t>
        </is>
      </c>
      <c r="C47" s="4" t="inlineStr">
        <is>
          <t>After surgery, relieving factors are the clearest guide to whether the symptom is mechanical.</t>
        </is>
      </c>
    </row>
    <row r="48">
      <c r="A48" s="4" t="inlineStr">
        <is>
          <t>4.2.12</t>
        </is>
      </c>
      <c r="B48" s="4" t="inlineStr">
        <is>
          <t>Relieving Factors</t>
        </is>
      </c>
      <c r="C48" s="4" t="inlineStr">
        <is>
          <t>Pain unaffected by rest, position, load and immobilisation is not mechanical.</t>
        </is>
      </c>
    </row>
    <row r="49">
      <c r="A49" s="4" t="inlineStr">
        <is>
          <t>4.2.12</t>
        </is>
      </c>
      <c r="B49" s="4" t="inlineStr">
        <is>
          <t>Relieving Factors</t>
        </is>
      </c>
      <c r="C49" s="4" t="inlineStr">
        <is>
          <t>Position dependent relief points at impingement, a cyclops lesion or a component issue.</t>
        </is>
      </c>
    </row>
    <row r="50">
      <c r="A50" s="4" t="inlineStr">
        <is>
          <t>4.2.12</t>
        </is>
      </c>
      <c r="B50" s="4" t="inlineStr">
        <is>
          <t>Relieving Factors</t>
        </is>
      </c>
      <c r="C50" s="4" t="inlineStr">
        <is>
          <t>In revision assessment, whether anything relieves it frequently decides whether to operate.</t>
        </is>
      </c>
    </row>
    <row r="51">
      <c r="A51" s="4" t="inlineStr">
        <is>
          <t>4.2.13</t>
        </is>
      </c>
      <c r="B51" s="4" t="inlineStr">
        <is>
          <t>Night Pain</t>
        </is>
      </c>
      <c r="C51" s="4" t="inlineStr">
        <is>
          <t>Night pain since an operation needs infection excluded however long ago it was.</t>
        </is>
      </c>
    </row>
    <row r="52">
      <c r="A52" s="4" t="inlineStr">
        <is>
          <t>4.2.13</t>
        </is>
      </c>
      <c r="B52" s="4" t="inlineStr">
        <is>
          <t>Night Pain</t>
        </is>
      </c>
      <c r="C52" s="4" t="inlineStr">
        <is>
          <t>Low grade chronic infection can present with pain, stiffness and night pain and little else.</t>
        </is>
      </c>
    </row>
    <row r="53">
      <c r="A53" s="4" t="inlineStr">
        <is>
          <t>4.2.13</t>
        </is>
      </c>
      <c r="B53" s="4" t="inlineStr">
        <is>
          <t>Night Pain</t>
        </is>
      </c>
      <c r="C53" s="4" t="inlineStr">
        <is>
          <t>Night pain with a stable knee and no swelling after reconstruction more often reflects a pain process.</t>
        </is>
      </c>
    </row>
    <row r="54">
      <c r="A54" s="4" t="inlineStr">
        <is>
          <t>4.2.13</t>
        </is>
      </c>
      <c r="B54" s="4" t="inlineStr">
        <is>
          <t>Night Pain</t>
        </is>
      </c>
      <c r="C54" s="4" t="inlineStr">
        <is>
          <t>When to stop investigating night pain with no cause found is a judgement the history cannot settle.</t>
        </is>
      </c>
    </row>
    <row r="55">
      <c r="A55" s="4" t="inlineStr">
        <is>
          <t>4.2.14</t>
        </is>
      </c>
      <c r="B55" s="4" t="inlineStr">
        <is>
          <t>Inflammatory Pain</t>
        </is>
      </c>
      <c r="C55" s="4" t="inlineStr">
        <is>
          <t>A knee that returned to a stiff, swollen, morning-worse state after arthroscopy was probably inflamed before it.</t>
        </is>
      </c>
    </row>
    <row r="56">
      <c r="A56" s="4" t="inlineStr">
        <is>
          <t>4.2.14</t>
        </is>
      </c>
      <c r="B56" s="4" t="inlineStr">
        <is>
          <t>Inflammatory Pain</t>
        </is>
      </c>
      <c r="C56" s="4" t="inlineStr">
        <is>
          <t>A pattern that developed after an operation raises infection, reactive synovitis or a material reaction.</t>
        </is>
      </c>
    </row>
    <row r="57">
      <c r="A57" s="4" t="inlineStr">
        <is>
          <t>4.2.14</t>
        </is>
      </c>
      <c r="B57" s="4" t="inlineStr">
        <is>
          <t>Inflammatory Pain</t>
        </is>
      </c>
      <c r="C57" s="4" t="inlineStr">
        <is>
          <t>Persistent synovitis after multiple operations is a recognised and often unexplained end state.</t>
        </is>
      </c>
    </row>
    <row r="58">
      <c r="A58" s="4" t="inlineStr">
        <is>
          <t>4.2.14</t>
        </is>
      </c>
      <c r="B58" s="4" t="inlineStr">
        <is>
          <t>Inflammatory Pain</t>
        </is>
      </c>
      <c r="C58" s="4" t="inlineStr">
        <is>
          <t>The history identifies who needs reactive and infective synovitis distinguished; it cannot distinguish them.</t>
        </is>
      </c>
    </row>
    <row r="59">
      <c r="A59" s="4" t="inlineStr">
        <is>
          <t>4.2.15</t>
        </is>
      </c>
      <c r="B59" s="4" t="inlineStr">
        <is>
          <t>Referred Pain</t>
        </is>
      </c>
      <c r="C59" s="4" t="inlineStr">
        <is>
          <t>After surgery, referred causes need revisiting, because they were excluded before and not since.</t>
        </is>
      </c>
    </row>
    <row r="60">
      <c r="A60" s="4" t="inlineStr">
        <is>
          <t>4.2.15</t>
        </is>
      </c>
      <c r="B60" s="4" t="inlineStr">
        <is>
          <t>Referred Pain</t>
        </is>
      </c>
      <c r="C60" s="4" t="inlineStr">
        <is>
          <t>A spinal cause arising later will be attributed to the operation by everyone.</t>
        </is>
      </c>
    </row>
    <row r="61">
      <c r="A61" s="4" t="inlineStr">
        <is>
          <t>4.2.15</t>
        </is>
      </c>
      <c r="B61" s="4" t="inlineStr">
        <is>
          <t>Referred Pain</t>
        </is>
      </c>
      <c r="C61" s="4" t="inlineStr">
        <is>
          <t>Complex regional pain, neuropathic pain and referred pain are three different things.</t>
        </is>
      </c>
    </row>
    <row r="62">
      <c r="A62" s="4" t="inlineStr">
        <is>
          <t>4.2.15</t>
        </is>
      </c>
      <c r="B62" s="4" t="inlineStr">
        <is>
          <t>Referred Pain</t>
        </is>
      </c>
      <c r="C62" s="4" t="inlineStr">
        <is>
          <t>Infrapatellar branch neuroma presents as localised numbness or hypersensitivity, not joint pain.</t>
        </is>
      </c>
    </row>
    <row r="63">
      <c r="A63" s="4" t="inlineStr">
        <is>
          <t>4.2.16</t>
        </is>
      </c>
      <c r="B63" s="4" t="inlineStr">
        <is>
          <t>Non-contact Injury</t>
        </is>
      </c>
      <c r="C63" s="4" t="inlineStr">
        <is>
          <t>The mechanism of a re-injury points at what the first operation did not address.</t>
        </is>
      </c>
    </row>
    <row r="64">
      <c r="A64" s="4" t="inlineStr">
        <is>
          <t>4.2.16</t>
        </is>
      </c>
      <c r="B64" s="4" t="inlineStr">
        <is>
          <t>Non-contact Injury</t>
        </is>
      </c>
      <c r="C64" s="4" t="inlineStr">
        <is>
          <t>Failure during the original movement raises rotational control and tunnel position.</t>
        </is>
      </c>
    </row>
    <row r="65">
      <c r="A65" s="4" t="inlineStr">
        <is>
          <t>4.2.16</t>
        </is>
      </c>
      <c r="B65" s="4" t="inlineStr">
        <is>
          <t>Non-contact Injury</t>
        </is>
      </c>
      <c r="C65" s="4" t="inlineStr">
        <is>
          <t>Failure during a trivial movement raises biology, fixation, alignment or meniscal deficiency.</t>
        </is>
      </c>
    </row>
    <row r="66">
      <c r="A66" s="4" t="inlineStr">
        <is>
          <t>4.2.16</t>
        </is>
      </c>
      <c r="B66" s="4" t="inlineStr">
        <is>
          <t>Non-contact Injury</t>
        </is>
      </c>
      <c r="C66" s="4" t="inlineStr">
        <is>
          <t>The two scenarios lead to different operations, so reconstruct the mechanism carefully.</t>
        </is>
      </c>
    </row>
    <row r="67">
      <c r="A67" s="4" t="inlineStr">
        <is>
          <t>4.2.17</t>
        </is>
      </c>
      <c r="B67" s="4" t="inlineStr">
        <is>
          <t>Contact Injury</t>
        </is>
      </c>
      <c r="C67" s="4" t="inlineStr">
        <is>
          <t>The original event's history is more useful than the examination performed at presentation.</t>
        </is>
      </c>
    </row>
    <row r="68">
      <c r="A68" s="4" t="inlineStr">
        <is>
          <t>4.2.17</t>
        </is>
      </c>
      <c r="B68" s="4" t="inlineStr">
        <is>
          <t>Contact Injury</t>
        </is>
      </c>
      <c r="C68" s="4" t="inlineStr">
        <is>
          <t>Reconstruct the energy, the direction, and whether the knee reduced spontaneously.</t>
        </is>
      </c>
    </row>
    <row r="69">
      <c r="A69" s="4" t="inlineStr">
        <is>
          <t>4.2.17</t>
        </is>
      </c>
      <c r="B69" s="4" t="inlineStr">
        <is>
          <t>Contact Injury</t>
        </is>
      </c>
      <c r="C69" s="4" t="inlineStr">
        <is>
          <t>A spontaneously reduced dislocation can look like a ligament injury with a normal radiograph.</t>
        </is>
      </c>
    </row>
    <row r="70">
      <c r="A70" s="4" t="inlineStr">
        <is>
          <t>4.2.17</t>
        </is>
      </c>
      <c r="B70" s="4" t="inlineStr">
        <is>
          <t>Contact Injury</t>
        </is>
      </c>
      <c r="C70" s="4" t="inlineStr">
        <is>
          <t>Any peroneal deficit indicates a lateral injury of higher energy than it appears.</t>
        </is>
      </c>
    </row>
    <row r="71">
      <c r="A71" s="4" t="inlineStr">
        <is>
          <t>4.2.18</t>
        </is>
      </c>
      <c r="B71" s="4" t="inlineStr">
        <is>
          <t>Twisting Injury</t>
        </is>
      </c>
      <c r="C71" s="4" t="inlineStr">
        <is>
          <t>A reconstructed knee twisting and giving way suggests the rotational component was missed.</t>
        </is>
      </c>
    </row>
    <row r="72">
      <c r="A72" s="4" t="inlineStr">
        <is>
          <t>4.2.18</t>
        </is>
      </c>
      <c r="B72" s="4" t="inlineStr">
        <is>
          <t>Twisting Injury</t>
        </is>
      </c>
      <c r="C72" s="4" t="inlineStr">
        <is>
          <t>A deficient meniscus alters rotational constraint as well as load.</t>
        </is>
      </c>
    </row>
    <row r="73">
      <c r="A73" s="4" t="inlineStr">
        <is>
          <t>4.2.18</t>
        </is>
      </c>
      <c r="B73" s="4" t="inlineStr">
        <is>
          <t>Twisting Injury</t>
        </is>
      </c>
      <c r="C73" s="4" t="inlineStr">
        <is>
          <t>In hypermobility, compare against the patient's own other knee and prior function.</t>
        </is>
      </c>
    </row>
    <row r="74">
      <c r="A74" s="4" t="inlineStr">
        <is>
          <t>4.2.18</t>
        </is>
      </c>
      <c r="B74" s="4" t="inlineStr">
        <is>
          <t>Twisting Injury</t>
        </is>
      </c>
      <c r="C74" s="4" t="inlineStr">
        <is>
          <t>A twisting history with the kneecap moving points at the patella, which referrals often miss.</t>
        </is>
      </c>
    </row>
    <row r="75">
      <c r="A75" s="4" t="inlineStr">
        <is>
          <t>4.2.19</t>
        </is>
      </c>
      <c r="B75" s="4" t="inlineStr">
        <is>
          <t>Hyperextension Injury</t>
        </is>
      </c>
      <c r="C75" s="4" t="inlineStr">
        <is>
          <t>A graft that stretched out in a hyperextending knee raises whether the hyperextension was addressed.</t>
        </is>
      </c>
    </row>
    <row r="76">
      <c r="A76" s="4" t="inlineStr">
        <is>
          <t>4.2.19</t>
        </is>
      </c>
      <c r="B76" s="4" t="inlineStr">
        <is>
          <t>Hyperextension Injury</t>
        </is>
      </c>
      <c r="C76" s="4" t="inlineStr">
        <is>
          <t>A late posterolateral problem often traces to a hyperextension injury assessed as cruciate alone.</t>
        </is>
      </c>
    </row>
    <row r="77">
      <c r="A77" s="4" t="inlineStr">
        <is>
          <t>4.2.19</t>
        </is>
      </c>
      <c r="B77" s="4" t="inlineStr">
        <is>
          <t>Hyperextension Injury</t>
        </is>
      </c>
      <c r="C77" s="4" t="inlineStr">
        <is>
          <t>Correcting hyperextension may be a bony problem rather than a soft tissue one.</t>
        </is>
      </c>
    </row>
    <row r="78">
      <c r="A78" s="4" t="inlineStr">
        <is>
          <t>4.2.20</t>
        </is>
      </c>
      <c r="B78" s="4" t="inlineStr">
        <is>
          <t>Direct Blow</t>
        </is>
      </c>
      <c r="C78" s="4" t="inlineStr">
        <is>
          <t>A chronic extensor mechanism injury is far harder than an acute repair.</t>
        </is>
      </c>
    </row>
    <row r="79">
      <c r="A79" s="4" t="inlineStr">
        <is>
          <t>4.2.20</t>
        </is>
      </c>
      <c r="B79" s="4" t="inlineStr">
        <is>
          <t>Direct Blow</t>
        </is>
      </c>
      <c r="C79" s="4" t="inlineStr">
        <is>
          <t>The question that catches it is whether the patient can straighten the knee.</t>
        </is>
      </c>
    </row>
    <row r="80">
      <c r="A80" s="4" t="inlineStr">
        <is>
          <t>4.2.20</t>
        </is>
      </c>
      <c r="B80" s="4" t="inlineStr">
        <is>
          <t>Direct Blow</t>
        </is>
      </c>
      <c r="C80" s="4" t="inlineStr">
        <is>
          <t>Anterior pain after a blow with normal imaging sometimes has a chondral lesion and sometimes nothing.</t>
        </is>
      </c>
    </row>
    <row r="81">
      <c r="A81" s="4" t="inlineStr">
        <is>
          <t>4.2.20</t>
        </is>
      </c>
      <c r="B81" s="4" t="inlineStr">
        <is>
          <t>Direct Blow</t>
        </is>
      </c>
      <c r="C81" s="4" t="inlineStr">
        <is>
          <t>A reproducible symptom at a defined angle with fixed localised tenderness favours looking.</t>
        </is>
      </c>
    </row>
    <row r="82">
      <c r="A82" s="4" t="inlineStr">
        <is>
          <t>4.2.21</t>
        </is>
      </c>
      <c r="B82" s="4" t="inlineStr">
        <is>
          <t>Dashboard Injury</t>
        </is>
      </c>
      <c r="C82" s="4" t="inlineStr">
        <is>
          <t>Chronic posterior cruciate deficiency often presents years later with an adapted gait.</t>
        </is>
      </c>
    </row>
    <row r="83">
      <c r="A83" s="4" t="inlineStr">
        <is>
          <t>4.2.21</t>
        </is>
      </c>
      <c r="B83" s="4" t="inlineStr">
        <is>
          <t>Dashboard Injury</t>
        </is>
      </c>
      <c r="C83" s="4" t="inlineStr">
        <is>
          <t>An unassessed posterolateral corner is the common reason a posterior cruciate reconstruction fails.</t>
        </is>
      </c>
    </row>
    <row r="84">
      <c r="A84" s="4" t="inlineStr">
        <is>
          <t>4.2.21</t>
        </is>
      </c>
      <c r="B84" s="4" t="inlineStr">
        <is>
          <t>Dashboard Injury</t>
        </is>
      </c>
      <c r="C84" s="4" t="inlineStr">
        <is>
          <t>A varus thrust changes the operation from a reconstruction to a reconstruction plus realignment.</t>
        </is>
      </c>
    </row>
    <row r="85">
      <c r="A85" s="4" t="inlineStr">
        <is>
          <t>4.2.21</t>
        </is>
      </c>
      <c r="B85" s="4" t="inlineStr">
        <is>
          <t>Dashboard Injury</t>
        </is>
      </c>
      <c r="C85" s="4" t="inlineStr">
        <is>
          <t>Many chronically deficient knees function well, so the mechanical finding is not the indication.</t>
        </is>
      </c>
    </row>
    <row r="86">
      <c r="A86" s="4" t="inlineStr">
        <is>
          <t>4.2.22</t>
        </is>
      </c>
      <c r="B86" s="4" t="inlineStr">
        <is>
          <t>Patellar Dislocation Event</t>
        </is>
      </c>
      <c r="C86" s="4" t="inlineStr">
        <is>
          <t>Continued dislocation after a soft tissue procedure usually means the bony cause was not addressed.</t>
        </is>
      </c>
    </row>
    <row r="87">
      <c r="A87" s="4" t="inlineStr">
        <is>
          <t>4.2.22</t>
        </is>
      </c>
      <c r="B87" s="4" t="inlineStr">
        <is>
          <t>Patellar Dislocation Event</t>
        </is>
      </c>
      <c r="C87" s="4" t="inlineStr">
        <is>
          <t>Pain without instability after stabilisation raises over-constraint or chondral injury.</t>
        </is>
      </c>
    </row>
    <row r="88">
      <c r="A88" s="4" t="inlineStr">
        <is>
          <t>4.2.22</t>
        </is>
      </c>
      <c r="B88" s="4" t="inlineStr">
        <is>
          <t>Patellar Dislocation Event</t>
        </is>
      </c>
      <c r="C88" s="4" t="inlineStr">
        <is>
          <t>When the pain began relative to the operation separates those causes.</t>
        </is>
      </c>
    </row>
    <row r="89">
      <c r="A89" s="4" t="inlineStr">
        <is>
          <t>4.2.22</t>
        </is>
      </c>
      <c r="B89" s="4" t="inlineStr">
        <is>
          <t>Patellar Dislocation Event</t>
        </is>
      </c>
      <c r="C89" s="4" t="inlineStr">
        <is>
          <t>Medial instability after a lateral release is iatrogenic and diagnosed almost entirely from the history.</t>
        </is>
      </c>
    </row>
    <row r="90">
      <c r="A90" s="4" t="inlineStr">
        <is>
          <t>4.2.23</t>
        </is>
      </c>
      <c r="B90" s="4" t="inlineStr">
        <is>
          <t>Football</t>
        </is>
      </c>
      <c r="C90" s="4" t="inlineStr">
        <is>
          <t>Failure during the original cutting movement raises rotational control and tunnel position.</t>
        </is>
      </c>
    </row>
    <row r="91">
      <c r="A91" s="4" t="inlineStr">
        <is>
          <t>4.2.23</t>
        </is>
      </c>
      <c r="B91" s="4" t="inlineStr">
        <is>
          <t>Football</t>
        </is>
      </c>
      <c r="C91" s="4" t="inlineStr">
        <is>
          <t>Failure during a trivial movement raises graft, fixation, alignment or meniscal deficiency.</t>
        </is>
      </c>
    </row>
    <row r="92">
      <c r="A92" s="4" t="inlineStr">
        <is>
          <t>4.2.23</t>
        </is>
      </c>
      <c r="B92" s="4" t="inlineStr">
        <is>
          <t>Football</t>
        </is>
      </c>
      <c r="C92" s="4" t="inlineStr">
        <is>
          <t>A player who never returned with a stable knee usually has a confidence problem.</t>
        </is>
      </c>
    </row>
    <row r="93">
      <c r="A93" s="4" t="inlineStr">
        <is>
          <t>4.2.23</t>
        </is>
      </c>
      <c r="B93" s="4" t="inlineStr">
        <is>
          <t>Football</t>
        </is>
      </c>
      <c r="C93" s="4" t="inlineStr">
        <is>
          <t>That group is larger than the structural failures.</t>
        </is>
      </c>
    </row>
    <row r="94">
      <c r="A94" s="4" t="inlineStr">
        <is>
          <t>4.2.23</t>
        </is>
      </c>
      <c r="B94" s="4" t="inlineStr">
        <is>
          <t>Football</t>
        </is>
      </c>
      <c r="C94" s="4" t="inlineStr">
        <is>
          <t>The history decides whether the next step is an operation, rehabilitation or a conversation.</t>
        </is>
      </c>
    </row>
    <row r="95">
      <c r="A95" s="4" t="inlineStr">
        <is>
          <t>4.2.24</t>
        </is>
      </c>
      <c r="B95" s="4" t="inlineStr">
        <is>
          <t>Cricket</t>
        </is>
      </c>
      <c r="C95" s="4" t="inlineStr">
        <is>
          <t>Establish what rehabilitation was done, not what was prescribed.</t>
        </is>
      </c>
    </row>
    <row r="96">
      <c r="A96" s="4" t="inlineStr">
        <is>
          <t>4.2.24</t>
        </is>
      </c>
      <c r="B96" s="4" t="inlineStr">
        <is>
          <t>Cricket</t>
        </is>
      </c>
      <c r="C96" s="4" t="inlineStr">
        <is>
          <t>A tendinopathy that never had a progressive loading programme is the commoner presentation.</t>
        </is>
      </c>
    </row>
    <row r="97">
      <c r="A97" s="4" t="inlineStr">
        <is>
          <t>4.2.24</t>
        </is>
      </c>
      <c r="B97" s="4" t="inlineStr">
        <is>
          <t>Cricket</t>
        </is>
      </c>
      <c r="C97" s="4" t="inlineStr">
        <is>
          <t>Pain that no longer settles between sessions suggests bone stress rather than tendon.</t>
        </is>
      </c>
    </row>
    <row r="98">
      <c r="A98" s="4" t="inlineStr">
        <is>
          <t>4.2.24</t>
        </is>
      </c>
      <c r="B98" s="4" t="inlineStr">
        <is>
          <t>Cricket</t>
        </is>
      </c>
      <c r="C98" s="4" t="inlineStr">
        <is>
          <t>An old diving injury is often the only clue to a patellofemoral chondral lesion.</t>
        </is>
      </c>
    </row>
    <row r="99">
      <c r="A99" s="4" t="inlineStr">
        <is>
          <t>4.2.25</t>
        </is>
      </c>
      <c r="B99" s="4" t="inlineStr">
        <is>
          <t>Rugby</t>
        </is>
      </c>
      <c r="C99" s="4" t="inlineStr">
        <is>
          <t>The chronic presentation is usually a medial or posterolateral component never addressed.</t>
        </is>
      </c>
    </row>
    <row r="100">
      <c r="A100" s="4" t="inlineStr">
        <is>
          <t>4.2.25</t>
        </is>
      </c>
      <c r="B100" s="4" t="inlineStr">
        <is>
          <t>Rugby</t>
        </is>
      </c>
      <c r="C100" s="4" t="inlineStr">
        <is>
          <t>The original mechanism is more useful than the acute examination, which under-reported laxity.</t>
        </is>
      </c>
    </row>
    <row r="101">
      <c r="A101" s="4" t="inlineStr">
        <is>
          <t>4.2.25</t>
        </is>
      </c>
      <c r="B101" s="4" t="inlineStr">
        <is>
          <t>Rugby</t>
        </is>
      </c>
      <c r="C101" s="4" t="inlineStr">
        <is>
          <t>A varus thrust traces back to a varus or hyperextension injury assessed as cruciate alone.</t>
        </is>
      </c>
    </row>
    <row r="102">
      <c r="A102" s="4" t="inlineStr">
        <is>
          <t>4.2.25</t>
        </is>
      </c>
      <c r="B102" s="4" t="inlineStr">
        <is>
          <t>Rugby</t>
        </is>
      </c>
      <c r="C102" s="4" t="inlineStr">
        <is>
          <t>Recurrent instability in a contact athlete may be exposure rather than a surgical failure.</t>
        </is>
      </c>
    </row>
    <row r="103">
      <c r="A103" s="4" t="inlineStr">
        <is>
          <t>4.2.26</t>
        </is>
      </c>
      <c r="B103" s="4" t="inlineStr">
        <is>
          <t>Skiing</t>
        </is>
      </c>
      <c r="C103" s="4" t="inlineStr">
        <is>
          <t>A knee stable in daily life and unstable on skis is being loaded by the sport's lever.</t>
        </is>
      </c>
    </row>
    <row r="104">
      <c r="A104" s="4" t="inlineStr">
        <is>
          <t>4.2.26</t>
        </is>
      </c>
      <c r="B104" s="4" t="inlineStr">
        <is>
          <t>Skiing</t>
        </is>
      </c>
      <c r="C104" s="4" t="inlineStr">
        <is>
          <t>Chronic medial laxity with a reconstructed cruciate is the pattern that stretches grafts.</t>
        </is>
      </c>
    </row>
    <row r="105">
      <c r="A105" s="4" t="inlineStr">
        <is>
          <t>4.2.26</t>
        </is>
      </c>
      <c r="B105" s="4" t="inlineStr">
        <is>
          <t>Skiing</t>
        </is>
      </c>
      <c r="C105" s="4" t="inlineStr">
        <is>
          <t>Equipment remains modifiable in a way the knee is not.</t>
        </is>
      </c>
    </row>
    <row r="106">
      <c r="A106" s="4" t="inlineStr">
        <is>
          <t>4.2.26</t>
        </is>
      </c>
      <c r="B106" s="4" t="inlineStr">
        <is>
          <t>Skiing</t>
        </is>
      </c>
      <c r="C106" s="4" t="inlineStr">
        <is>
          <t>Ask whether the rotational component was ever addressed.</t>
        </is>
      </c>
    </row>
    <row r="107">
      <c r="A107" s="4" t="inlineStr">
        <is>
          <t>4.2.27</t>
        </is>
      </c>
      <c r="B107" s="4" t="inlineStr">
        <is>
          <t>Running</t>
        </is>
      </c>
      <c r="C107" s="4" t="inlineStr">
        <is>
          <t>A runner unchanged after a structural intervention almost always had an overuse problem.</t>
        </is>
      </c>
    </row>
    <row r="108">
      <c r="A108" s="4" t="inlineStr">
        <is>
          <t>4.2.27</t>
        </is>
      </c>
      <c r="B108" s="4" t="inlineStr">
        <is>
          <t>Running</t>
        </is>
      </c>
      <c r="C108" s="4" t="inlineStr">
        <is>
          <t>A runner who relapsed on returning to the same load has had the diagnosis confirmed.</t>
        </is>
      </c>
    </row>
    <row r="109">
      <c r="A109" s="4" t="inlineStr">
        <is>
          <t>4.2.27</t>
        </is>
      </c>
      <c r="B109" s="4" t="inlineStr">
        <is>
          <t>Running</t>
        </is>
      </c>
      <c r="C109" s="4" t="inlineStr">
        <is>
          <t>The useful next step is usually a loading programme rather than a further procedure.</t>
        </is>
      </c>
    </row>
    <row r="110">
      <c r="A110" s="4" t="inlineStr">
        <is>
          <t>4.2.27</t>
        </is>
      </c>
      <c r="B110" s="4" t="inlineStr">
        <is>
          <t>Running</t>
        </is>
      </c>
      <c r="C110" s="4" t="inlineStr">
        <is>
          <t>The history separates persistent anterior pain better than further imaging.</t>
        </is>
      </c>
    </row>
    <row r="111">
      <c r="A111" s="4" t="inlineStr">
        <is>
          <t>4.2.28</t>
        </is>
      </c>
      <c r="B111" s="4" t="inlineStr">
        <is>
          <t>Tennis</t>
        </is>
      </c>
      <c r="C111" s="4" t="inlineStr">
        <is>
          <t>Pain unchanged after arthroscopy was degenerative, and the next step is not another arthroscopy.</t>
        </is>
      </c>
    </row>
    <row r="112">
      <c r="A112" s="4" t="inlineStr">
        <is>
          <t>4.2.28</t>
        </is>
      </c>
      <c r="B112" s="4" t="inlineStr">
        <is>
          <t>Tennis</t>
        </is>
      </c>
      <c r="C112" s="4" t="inlineStr">
        <is>
          <t>A persisting mechanical symptom raises a retained fragment, a new tear or a chondral lesion.</t>
        </is>
      </c>
    </row>
    <row r="113">
      <c r="A113" s="4" t="inlineStr">
        <is>
          <t>4.2.28</t>
        </is>
      </c>
      <c r="B113" s="4" t="inlineStr">
        <is>
          <t>Tennis</t>
        </is>
      </c>
      <c r="C113" s="4" t="inlineStr">
        <is>
          <t>A player wanting to return to tennis after arthroplasty needs an explicit conversation.</t>
        </is>
      </c>
    </row>
    <row r="114">
      <c r="A114" s="4" t="inlineStr">
        <is>
          <t>4.2.28</t>
        </is>
      </c>
      <c r="B114" s="4" t="inlineStr">
        <is>
          <t>Tennis</t>
        </is>
      </c>
      <c r="C114" s="4" t="inlineStr">
        <is>
          <t>Their intended level of play is what makes that conversation concrete.</t>
        </is>
      </c>
    </row>
    <row r="115">
      <c r="A115" s="4" t="inlineStr">
        <is>
          <t>4.2.29</t>
        </is>
      </c>
      <c r="B115" s="4" t="inlineStr">
        <is>
          <t>Basketball</t>
        </is>
      </c>
      <c r="C115" s="4" t="inlineStr">
        <is>
          <t>A stable knee that cannot land confidently is a rehabilitation and psychological problem.</t>
        </is>
      </c>
    </row>
    <row r="116">
      <c r="A116" s="4" t="inlineStr">
        <is>
          <t>4.2.29</t>
        </is>
      </c>
      <c r="B116" s="4" t="inlineStr">
        <is>
          <t>Basketball</t>
        </is>
      </c>
      <c r="C116" s="4" t="inlineStr">
        <is>
          <t>That group is larger than the structural failures.</t>
        </is>
      </c>
    </row>
    <row r="117">
      <c r="A117" s="4" t="inlineStr">
        <is>
          <t>4.2.29</t>
        </is>
      </c>
      <c r="B117" s="4" t="inlineStr">
        <is>
          <t>Basketball</t>
        </is>
      </c>
      <c r="C117" s="4" t="inlineStr">
        <is>
          <t>Giving way on cutting raises an unaddressed rotational component.</t>
        </is>
      </c>
    </row>
    <row r="118">
      <c r="A118" s="4" t="inlineStr">
        <is>
          <t>4.2.29</t>
        </is>
      </c>
      <c r="B118" s="4" t="inlineStr">
        <is>
          <t>Basketball</t>
        </is>
      </c>
      <c r="C118" s="4" t="inlineStr">
        <is>
          <t>Anterior pain after a patellar tendon graft is often the harvest site, worse with kneeling.</t>
        </is>
      </c>
    </row>
    <row r="119">
      <c r="A119" s="4" t="inlineStr">
        <is>
          <t>4.2.30</t>
        </is>
      </c>
      <c r="B119" s="4" t="inlineStr">
        <is>
          <t>Previous Surgery</t>
        </is>
      </c>
      <c r="C119" s="4" t="inlineStr">
        <is>
          <t>In revision practice the surgical history is the assessment.</t>
        </is>
      </c>
    </row>
    <row r="120">
      <c r="A120" s="4" t="inlineStr">
        <is>
          <t>4.2.30</t>
        </is>
      </c>
      <c r="B120" s="4" t="inlineStr">
        <is>
          <t>Previous Surgery</t>
        </is>
      </c>
      <c r="C120" s="4" t="inlineStr">
        <is>
          <t>Build a timeline: operation, date, indication, finding, and symptom before and after.</t>
        </is>
      </c>
    </row>
    <row r="121">
      <c r="A121" s="4" t="inlineStr">
        <is>
          <t>4.2.30</t>
        </is>
      </c>
      <c r="B121" s="4" t="inlineStr">
        <is>
          <t>Previous Surgery</t>
        </is>
      </c>
      <c r="C121" s="4" t="inlineStr">
        <is>
          <t>Repeated operations for the same symptom with brief benefit means the diagnosis was wrong.</t>
        </is>
      </c>
    </row>
    <row r="122">
      <c r="A122" s="4" t="inlineStr">
        <is>
          <t>4.2.30</t>
        </is>
      </c>
      <c r="B122" s="4" t="inlineStr">
        <is>
          <t>Previous Surgery</t>
        </is>
      </c>
      <c r="C122" s="4" t="inlineStr">
        <is>
          <t>A symptom returning at six weeks, six months and six years has different causes.</t>
        </is>
      </c>
    </row>
    <row r="123">
      <c r="A123" s="4" t="inlineStr">
        <is>
          <t>4.2.30</t>
        </is>
      </c>
      <c r="B123" s="4" t="inlineStr">
        <is>
          <t>Previous Surgery</t>
        </is>
      </c>
      <c r="C123" s="4" t="inlineStr">
        <is>
          <t>The timeline identifies what cannot be undone, which bounds everything that follows.</t>
        </is>
      </c>
    </row>
    <row r="124">
      <c r="A124" s="4" t="inlineStr">
        <is>
          <t>4.2.31</t>
        </is>
      </c>
      <c r="B124" s="4" t="inlineStr">
        <is>
          <t>Previous Injections</t>
        </is>
      </c>
      <c r="C124" s="4" t="inlineStr">
        <is>
          <t>The date of the last intra-articular steroid is frequently missing from a referral letter.</t>
        </is>
      </c>
    </row>
    <row r="125">
      <c r="A125" s="4" t="inlineStr">
        <is>
          <t>4.2.31</t>
        </is>
      </c>
      <c r="B125" s="4" t="inlineStr">
        <is>
          <t>Previous Injections</t>
        </is>
      </c>
      <c r="C125" s="4" t="inlineStr">
        <is>
          <t>A low grade infection after an injection can present late and quietly.</t>
        </is>
      </c>
    </row>
    <row r="126">
      <c r="A126" s="4" t="inlineStr">
        <is>
          <t>4.2.31</t>
        </is>
      </c>
      <c r="B126" s="4" t="inlineStr">
        <is>
          <t>Previous Injections</t>
        </is>
      </c>
      <c r="C126" s="4" t="inlineStr">
        <is>
          <t>A diagnostic injection answers questions the examination cannot, such as hip against knee.</t>
        </is>
      </c>
    </row>
    <row r="127">
      <c r="A127" s="4" t="inlineStr">
        <is>
          <t>4.2.31</t>
        </is>
      </c>
      <c r="B127" s="4" t="inlineStr">
        <is>
          <t>Previous Injections</t>
        </is>
      </c>
      <c r="C127" s="4" t="inlineStr">
        <is>
          <t>Using an injection diagnostically is often quicker than further imaging.</t>
        </is>
      </c>
    </row>
    <row r="128">
      <c r="A128" s="4" t="inlineStr">
        <is>
          <t>4.2.32</t>
        </is>
      </c>
      <c r="B128" s="4" t="inlineStr">
        <is>
          <t>Previous Physiotherapy</t>
        </is>
      </c>
      <c r="C128" s="4" t="inlineStr">
        <is>
          <t>Many courses with no progression are not a trial, however many sessions are recorded.</t>
        </is>
      </c>
    </row>
    <row r="129">
      <c r="A129" s="4" t="inlineStr">
        <is>
          <t>4.2.32</t>
        </is>
      </c>
      <c r="B129" s="4" t="inlineStr">
        <is>
          <t>Previous Physiotherapy</t>
        </is>
      </c>
      <c r="C129" s="4" t="inlineStr">
        <is>
          <t>A structured, progressed, documented programme that failed is a trial.</t>
        </is>
      </c>
    </row>
    <row r="130">
      <c r="A130" s="4" t="inlineStr">
        <is>
          <t>4.2.32</t>
        </is>
      </c>
      <c r="B130" s="4" t="inlineStr">
        <is>
          <t>Previous Physiotherapy</t>
        </is>
      </c>
      <c r="C130" s="4" t="inlineStr">
        <is>
          <t>The distinction is in the progression rather than the session count.</t>
        </is>
      </c>
    </row>
    <row r="131">
      <c r="A131" s="4" t="inlineStr">
        <is>
          <t>4.2.32</t>
        </is>
      </c>
      <c r="B131" s="4" t="inlineStr">
        <is>
          <t>Previous Physiotherapy</t>
        </is>
      </c>
      <c r="C131" s="4" t="inlineStr">
        <is>
          <t>In a multiply operated knee a further programme is often the better option.</t>
        </is>
      </c>
    </row>
    <row r="132">
      <c r="A132" s="4" t="inlineStr">
        <is>
          <t>4.2.33</t>
        </is>
      </c>
      <c r="B132" s="4" t="inlineStr">
        <is>
          <t>Previous Imaging</t>
        </is>
      </c>
      <c r="C132" s="4" t="inlineStr">
        <is>
          <t>Establish the sequence of imaging against the sequence of operations and symptoms.</t>
        </is>
      </c>
    </row>
    <row r="133">
      <c r="A133" s="4" t="inlineStr">
        <is>
          <t>4.2.33</t>
        </is>
      </c>
      <c r="B133" s="4" t="inlineStr">
        <is>
          <t>Previous Imaging</t>
        </is>
      </c>
      <c r="C133" s="4" t="inlineStr">
        <is>
          <t>A post-operative report written without the operative detail is frequently misleading.</t>
        </is>
      </c>
    </row>
    <row r="134">
      <c r="A134" s="4" t="inlineStr">
        <is>
          <t>4.2.33</t>
        </is>
      </c>
      <c r="B134" s="4" t="inlineStr">
        <is>
          <t>Previous Imaging</t>
        </is>
      </c>
      <c r="C134" s="4" t="inlineStr">
        <is>
          <t>The imaging that answers the question is often not the imaging that has been done.</t>
        </is>
      </c>
    </row>
    <row r="135">
      <c r="A135" s="4" t="inlineStr">
        <is>
          <t>4.2.33</t>
        </is>
      </c>
      <c r="B135" s="4" t="inlineStr">
        <is>
          <t>Previous Imaging</t>
        </is>
      </c>
      <c r="C135" s="4" t="inlineStr">
        <is>
          <t>A referred patient frequently carries several incompatible explanations.</t>
        </is>
      </c>
    </row>
    <row r="136">
      <c r="A136" s="4" t="inlineStr">
        <is>
          <t>4.2.34</t>
        </is>
      </c>
      <c r="B136" s="4" t="inlineStr">
        <is>
          <t>Previous Rehabilitation</t>
        </is>
      </c>
      <c r="C136" s="4" t="inlineStr">
        <is>
          <t>The history determines the plan more often than the imaging, and the treatment history most.</t>
        </is>
      </c>
    </row>
    <row r="137">
      <c r="A137" s="4" t="inlineStr">
        <is>
          <t>4.2.34</t>
        </is>
      </c>
      <c r="B137" s="4" t="inlineStr">
        <is>
          <t>Previous Rehabilitation</t>
        </is>
      </c>
      <c r="C137" s="4" t="inlineStr">
        <is>
          <t>The commonest finding here is that no criteria-based programme was ever delivered.</t>
        </is>
      </c>
    </row>
    <row r="138">
      <c r="A138" s="4" t="inlineStr">
        <is>
          <t>4.2.34</t>
        </is>
      </c>
      <c r="B138" s="4" t="inlineStr">
        <is>
          <t>Previous Rehabilitation</t>
        </is>
      </c>
      <c r="C138" s="4" t="inlineStr">
        <is>
          <t>Establishing that changes the plan and is usually unwelcome.</t>
        </is>
      </c>
    </row>
    <row r="139">
      <c r="A139" s="4" t="inlineStr">
        <is>
          <t>4.2.34</t>
        </is>
      </c>
      <c r="B139" s="4" t="inlineStr">
        <is>
          <t>Previous Rehabilitation</t>
        </is>
      </c>
      <c r="C139" s="4" t="inlineStr">
        <is>
          <t>A properly delivered programme that failed is the strongest argument for surgery available.</t>
        </is>
      </c>
    </row>
    <row r="140">
      <c r="A140" s="4" t="inlineStr">
        <is>
          <t>4.2.34</t>
        </is>
      </c>
      <c r="B140" s="4" t="inlineStr">
        <is>
          <t>Previous Rehabilitation</t>
        </is>
      </c>
      <c r="C140" s="4" t="inlineStr">
        <is>
          <t>No claim in this chapter about which question discriminates best is supported by a figure.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9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86" customWidth="1" min="4" max="4"/>
    <col width="16" customWidth="1" min="5" max="5"/>
    <col width="22" customWidth="1" min="6" max="6"/>
    <col width="50" customWidth="1" min="7" max="7"/>
  </cols>
  <sheetData>
    <row r="1">
      <c r="A1" s="5" t="inlineStr">
        <is>
          <t>Ref</t>
        </is>
      </c>
      <c r="B1" s="5" t="inlineStr">
        <is>
          <t>Page</t>
        </is>
      </c>
      <c r="C1" s="5" t="inlineStr">
        <is>
          <t>Tier</t>
        </is>
      </c>
      <c r="D1" s="5" t="inlineStr">
        <is>
          <t>Sentence</t>
        </is>
      </c>
      <c r="E1" s="5" t="inlineStr">
        <is>
          <t>Decision</t>
        </is>
      </c>
      <c r="F1" s="5" t="inlineStr">
        <is>
          <t>Reviewer</t>
        </is>
      </c>
      <c r="G1" s="5" t="inlineStr">
        <is>
          <t>Note</t>
        </is>
      </c>
    </row>
    <row r="2">
      <c r="A2" s="7" t="inlineStr">
        <is>
          <t>EXAMPLE</t>
        </is>
      </c>
      <c r="B2" s="7" t="inlineStr">
        <is>
          <t>0.0.0</t>
        </is>
      </c>
      <c r="C2" s="7" t="inlineStr">
        <is>
          <t>mrcs</t>
        </is>
      </c>
      <c r="D2" s="7" t="inlineStr">
        <is>
          <t>This row shows the expected format and is ignored when the pack is read back.</t>
        </is>
      </c>
      <c r="E2" s="7" t="inlineStr">
        <is>
          <t>CONFIRMED</t>
        </is>
      </c>
      <c r="F2" s="7" t="inlineStr">
        <is>
          <t>Miss A Surgeon</t>
        </is>
      </c>
      <c r="G2" s="7" t="inlineStr">
        <is>
          <t>Leave the Note column empty unless amending.</t>
        </is>
      </c>
    </row>
    <row r="3">
      <c r="A3" s="4" t="inlineStr">
        <is>
          <t>4.2.1-P1</t>
        </is>
      </c>
      <c r="B3" s="4" t="inlineStr">
        <is>
          <t>4.2.1</t>
        </is>
      </c>
      <c r="C3" s="4" t="inlineStr">
        <is>
          <t>medical_student</t>
        </is>
      </c>
      <c r="D3" s="4" t="inlineStr">
        <is>
          <t>Ask an open question first and let the patient describe the pain in their own words before offering any options.</t>
        </is>
      </c>
      <c r="E3" s="4" t="inlineStr"/>
      <c r="F3" s="4" t="inlineStr"/>
      <c r="G3" s="4" t="inlineStr"/>
    </row>
    <row r="4">
      <c r="A4" s="4" t="inlineStr">
        <is>
          <t>4.2.1-P2</t>
        </is>
      </c>
      <c r="B4" s="4" t="inlineStr">
        <is>
          <t>4.2.1</t>
        </is>
      </c>
      <c r="C4" s="4" t="inlineStr">
        <is>
          <t>medical_student</t>
        </is>
      </c>
      <c r="D4" s="4" t="inlineStr">
        <is>
          <t>Ask what the patient can no longer do, because that is the answer that will define whether treatment worked.</t>
        </is>
      </c>
      <c r="E4" s="4" t="inlineStr"/>
      <c r="F4" s="4" t="inlineStr"/>
      <c r="G4" s="4" t="inlineStr"/>
    </row>
    <row r="5">
      <c r="A5" s="4" t="inlineStr">
        <is>
          <t>4.2.1-P3</t>
        </is>
      </c>
      <c r="B5" s="4" t="inlineStr">
        <is>
          <t>4.2.1</t>
        </is>
      </c>
      <c r="C5" s="4" t="inlineStr">
        <is>
          <t>medical_student</t>
        </is>
      </c>
      <c r="D5" s="4" t="inlineStr">
        <is>
          <t>Avoid offering a list of descriptors to choose from.</t>
        </is>
      </c>
      <c r="E5" s="4" t="inlineStr"/>
      <c r="F5" s="4" t="inlineStr"/>
      <c r="G5" s="4" t="inlineStr"/>
    </row>
    <row r="6">
      <c r="A6" s="4" t="inlineStr">
        <is>
          <t>4.2.1-P4</t>
        </is>
      </c>
      <c r="B6" s="4" t="inlineStr">
        <is>
          <t>4.2.1</t>
        </is>
      </c>
      <c r="C6" s="4" t="inlineStr">
        <is>
          <t>mrcs</t>
        </is>
      </c>
      <c r="D6" s="4" t="inlineStr">
        <is>
          <t>Pain that does not fit any pattern on this chapter's pages should prompt a search above and below the knee before a scan of the knee.</t>
        </is>
      </c>
      <c r="E6" s="4" t="inlineStr"/>
      <c r="F6" s="4" t="inlineStr"/>
      <c r="G6" s="4" t="inlineStr"/>
    </row>
    <row r="7">
      <c r="A7" s="4" t="inlineStr">
        <is>
          <t>4.2.1-P5</t>
        </is>
      </c>
      <c r="B7" s="4" t="inlineStr">
        <is>
          <t>4.2.1</t>
        </is>
      </c>
      <c r="C7" s="4" t="inlineStr">
        <is>
          <t>frcs</t>
        </is>
      </c>
      <c r="D7" s="4" t="inlineStr">
        <is>
          <t>A patient told they have arthritis describes arthritic pain, which is why the history should precede the notes and the images.</t>
        </is>
      </c>
      <c r="E7" s="4" t="inlineStr"/>
      <c r="F7" s="4" t="inlineStr"/>
      <c r="G7" s="4" t="inlineStr"/>
    </row>
    <row r="8">
      <c r="A8" s="4" t="inlineStr">
        <is>
          <t>4.2.2-P1</t>
        </is>
      </c>
      <c r="B8" s="4" t="inlineStr">
        <is>
          <t>4.2.2</t>
        </is>
      </c>
      <c r="C8" s="4" t="inlineStr">
        <is>
          <t>medical_student</t>
        </is>
      </c>
      <c r="D8" s="4" t="inlineStr">
        <is>
          <t>Do not ask whether the knee is unstable.</t>
        </is>
      </c>
      <c r="E8" s="4" t="inlineStr"/>
      <c r="F8" s="4" t="inlineStr"/>
      <c r="G8" s="4" t="inlineStr"/>
    </row>
    <row r="9">
      <c r="A9" s="4" t="inlineStr">
        <is>
          <t>4.2.2-P2</t>
        </is>
      </c>
      <c r="B9" s="4" t="inlineStr">
        <is>
          <t>4.2.2</t>
        </is>
      </c>
      <c r="C9" s="4" t="inlineStr">
        <is>
          <t>medical_student</t>
        </is>
      </c>
      <c r="D9" s="4" t="inlineStr">
        <is>
          <t>Ask what the knee does, and when.</t>
        </is>
      </c>
      <c r="E9" s="4" t="inlineStr"/>
      <c r="F9" s="4" t="inlineStr"/>
      <c r="G9" s="4" t="inlineStr"/>
    </row>
    <row r="10">
      <c r="A10" s="4" t="inlineStr">
        <is>
          <t>4.2.2-P3</t>
        </is>
      </c>
      <c r="B10" s="4" t="inlineStr">
        <is>
          <t>4.2.2</t>
        </is>
      </c>
      <c r="C10" s="4" t="inlineStr">
        <is>
          <t>medical_student</t>
        </is>
      </c>
      <c r="D10" s="4" t="inlineStr">
        <is>
          <t>Ask for a specific occasion: what they were doing, what the knee did, whether they fell, and whether it swelled afterwards.</t>
        </is>
      </c>
      <c r="E10" s="4" t="inlineStr"/>
      <c r="F10" s="4" t="inlineStr"/>
      <c r="G10" s="4" t="inlineStr"/>
    </row>
    <row r="11">
      <c r="A11" s="4" t="inlineStr">
        <is>
          <t>4.2.2-P4</t>
        </is>
      </c>
      <c r="B11" s="4" t="inlineStr">
        <is>
          <t>4.2.2</t>
        </is>
      </c>
      <c r="C11" s="4" t="inlineStr">
        <is>
          <t>medical_student</t>
        </is>
      </c>
      <c r="D11" s="4" t="inlineStr">
        <is>
          <t>Ask whether it happens on a straight line or on a turn, because the two point at different structures.</t>
        </is>
      </c>
      <c r="E11" s="4" t="inlineStr"/>
      <c r="F11" s="4" t="inlineStr"/>
      <c r="G11" s="4" t="inlineStr"/>
    </row>
    <row r="12">
      <c r="A12" s="4" t="inlineStr">
        <is>
          <t>4.2.2-P5</t>
        </is>
      </c>
      <c r="B12" s="4" t="inlineStr">
        <is>
          <t>4.2.2</t>
        </is>
      </c>
      <c r="C12" s="4" t="inlineStr">
        <is>
          <t>medical_student</t>
        </is>
      </c>
      <c r="D12" s="4" t="inlineStr">
        <is>
          <t>Ask how often, and whether it is getting more or less frequent, since a worsening frequency changes the urgency.</t>
        </is>
      </c>
      <c r="E12" s="4" t="inlineStr"/>
      <c r="F12" s="4" t="inlineStr"/>
      <c r="G12" s="4" t="inlineStr"/>
    </row>
    <row r="13">
      <c r="A13" s="4" t="inlineStr">
        <is>
          <t>4.2.2-P6</t>
        </is>
      </c>
      <c r="B13" s="4" t="inlineStr">
        <is>
          <t>4.2.2</t>
        </is>
      </c>
      <c r="C13" s="4" t="inlineStr">
        <is>
          <t>medical_student</t>
        </is>
      </c>
      <c r="D13" s="4" t="inlineStr">
        <is>
          <t>Ask what they now avoid, which measures the symptom's cost better than any frequency does.</t>
        </is>
      </c>
      <c r="E13" s="4" t="inlineStr"/>
      <c r="F13" s="4" t="inlineStr"/>
      <c r="G13" s="4" t="inlineStr"/>
    </row>
    <row r="14">
      <c r="A14" s="4" t="inlineStr">
        <is>
          <t>4.2.3-P1</t>
        </is>
      </c>
      <c r="B14" s="4" t="inlineStr">
        <is>
          <t>4.2.3</t>
        </is>
      </c>
      <c r="C14" s="4" t="inlineStr">
        <is>
          <t>medical_student</t>
        </is>
      </c>
      <c r="D14" s="4" t="inlineStr">
        <is>
          <t>Ask how long after the injury the knee swelled, and press for a number of hours rather than accepting soon.</t>
        </is>
      </c>
      <c r="E14" s="4" t="inlineStr"/>
      <c r="F14" s="4" t="inlineStr"/>
      <c r="G14" s="4" t="inlineStr"/>
    </row>
    <row r="15">
      <c r="A15" s="4" t="inlineStr">
        <is>
          <t>4.2.3-P2</t>
        </is>
      </c>
      <c r="B15" s="4" t="inlineStr">
        <is>
          <t>4.2.3</t>
        </is>
      </c>
      <c r="C15" s="4" t="inlineStr">
        <is>
          <t>medical_student</t>
        </is>
      </c>
      <c r="D15" s="4" t="inlineStr">
        <is>
          <t>Ask how big it became and whether it has settled, because a swelling that recurs behaves differently from one that resolved.</t>
        </is>
      </c>
      <c r="E15" s="4" t="inlineStr"/>
      <c r="F15" s="4" t="inlineStr"/>
      <c r="G15" s="4" t="inlineStr"/>
    </row>
    <row r="16">
      <c r="A16" s="4" t="inlineStr">
        <is>
          <t>4.2.3-P3</t>
        </is>
      </c>
      <c r="B16" s="4" t="inlineStr">
        <is>
          <t>4.2.3</t>
        </is>
      </c>
      <c r="C16" s="4" t="inlineStr">
        <is>
          <t>medical_student</t>
        </is>
      </c>
      <c r="D16" s="4" t="inlineStr">
        <is>
          <t>Ask whether the knee has swollen before, and whether swelling follows activity, since that pattern points to a degenerate or inflammatory cause rather than an acute tear.</t>
        </is>
      </c>
      <c r="E16" s="4" t="inlineStr"/>
      <c r="F16" s="4" t="inlineStr"/>
      <c r="G16" s="4" t="inlineStr"/>
    </row>
    <row r="17">
      <c r="A17" s="4" t="inlineStr">
        <is>
          <t>4.2.3-P4</t>
        </is>
      </c>
      <c r="B17" s="4" t="inlineStr">
        <is>
          <t>4.2.3</t>
        </is>
      </c>
      <c r="C17" s="4" t="inlineStr">
        <is>
          <t>mrcs</t>
        </is>
      </c>
      <c r="D17" s="4" t="inlineStr">
        <is>
          <t>The expected reasoning at this level is from the timing to a short differential and then to what must be excluded.</t>
        </is>
      </c>
      <c r="E17" s="4" t="inlineStr"/>
      <c r="F17" s="4" t="inlineStr"/>
      <c r="G17" s="4" t="inlineStr"/>
    </row>
    <row r="18">
      <c r="A18" s="4" t="inlineStr">
        <is>
          <t>4.2.3-P5</t>
        </is>
      </c>
      <c r="B18" s="4" t="inlineStr">
        <is>
          <t>4.2.3</t>
        </is>
      </c>
      <c r="C18" s="4" t="inlineStr">
        <is>
          <t>frcs</t>
        </is>
      </c>
      <c r="D18" s="4" t="inlineStr">
        <is>
          <t>An immediate haemarthrosis with a mechanical block is the one knee presentation in this chapter that should not wait for an elective pathway.</t>
        </is>
      </c>
      <c r="E18" s="4" t="inlineStr"/>
      <c r="F18" s="4" t="inlineStr"/>
      <c r="G18" s="4" t="inlineStr"/>
    </row>
    <row r="19">
      <c r="A19" s="4" t="inlineStr">
        <is>
          <t>4.2.3-P6</t>
        </is>
      </c>
      <c r="B19" s="4" t="inlineStr">
        <is>
          <t>4.2.3</t>
        </is>
      </c>
      <c r="C19" s="4" t="inlineStr">
        <is>
          <t>frcs</t>
        </is>
      </c>
      <c r="D19" s="4" t="inlineStr">
        <is>
          <t>- An immediate haemarthrosis with a mechanical block should not go down an elective pathway.</t>
        </is>
      </c>
      <c r="E19" s="4" t="inlineStr"/>
      <c r="F19" s="4" t="inlineStr"/>
      <c r="G19" s="4" t="inlineStr"/>
    </row>
    <row r="20">
      <c r="A20" s="4" t="inlineStr">
        <is>
          <t>4.2.3-P7</t>
        </is>
      </c>
      <c r="B20" s="4" t="inlineStr">
        <is>
          <t>4.2.3</t>
        </is>
      </c>
      <c r="C20" s="4" t="inlineStr">
        <is>
          <t>frcs</t>
        </is>
      </c>
      <c r="D20" s="4" t="inlineStr">
        <is>
          <t>- Soon, quickly and straight away are not the same answer and should not be recorded as one.</t>
        </is>
      </c>
      <c r="E20" s="4" t="inlineStr"/>
      <c r="F20" s="4" t="inlineStr"/>
      <c r="G20" s="4" t="inlineStr"/>
    </row>
    <row r="21">
      <c r="A21" s="4" t="inlineStr">
        <is>
          <t>4.2.4-P1</t>
        </is>
      </c>
      <c r="B21" s="4" t="inlineStr">
        <is>
          <t>4.2.4</t>
        </is>
      </c>
      <c r="C21" s="4" t="inlineStr">
        <is>
          <t>medical_student</t>
        </is>
      </c>
      <c r="D21" s="4" t="inlineStr">
        <is>
          <t>Ask what the knee cannot do rather than whether it is stiff.</t>
        </is>
      </c>
      <c r="E21" s="4" t="inlineStr"/>
      <c r="F21" s="4" t="inlineStr"/>
      <c r="G21" s="4" t="inlineStr"/>
    </row>
    <row r="22">
      <c r="A22" s="4" t="inlineStr">
        <is>
          <t>4.2.4-P2</t>
        </is>
      </c>
      <c r="B22" s="4" t="inlineStr">
        <is>
          <t>4.2.4</t>
        </is>
      </c>
      <c r="C22" s="4" t="inlineStr">
        <is>
          <t>medical_student</t>
        </is>
      </c>
      <c r="D22" s="4" t="inlineStr">
        <is>
          <t>Ask how long it lasts in the morning, since a prolonged morning stiffness points away from a purely mechanical cause.</t>
        </is>
      </c>
      <c r="E22" s="4" t="inlineStr"/>
      <c r="F22" s="4" t="inlineStr"/>
      <c r="G22" s="4" t="inlineStr"/>
    </row>
    <row r="23">
      <c r="A23" s="4" t="inlineStr">
        <is>
          <t>4.2.4-P3</t>
        </is>
      </c>
      <c r="B23" s="4" t="inlineStr">
        <is>
          <t>4.2.4</t>
        </is>
      </c>
      <c r="C23" s="4" t="inlineStr">
        <is>
          <t>medical_student</t>
        </is>
      </c>
      <c r="D23" s="4" t="inlineStr">
        <is>
          <t>Ask whether it came on gradually or after an event, because a sudden loss of extension is a different problem from a gradual one.</t>
        </is>
      </c>
      <c r="E23" s="4" t="inlineStr"/>
      <c r="F23" s="4" t="inlineStr"/>
      <c r="G23" s="4" t="inlineStr"/>
    </row>
    <row r="24">
      <c r="A24" s="4" t="inlineStr">
        <is>
          <t>4.2.4-P4</t>
        </is>
      </c>
      <c r="B24" s="4" t="inlineStr">
        <is>
          <t>4.2.4</t>
        </is>
      </c>
      <c r="C24" s="4" t="inlineStr">
        <is>
          <t>frcs</t>
        </is>
      </c>
      <c r="D24" s="4" t="inlineStr">
        <is>
          <t>- Stiffness in several joints should prompt a systemic workup rather than a mechanical label.</t>
        </is>
      </c>
      <c r="E24" s="4" t="inlineStr"/>
      <c r="F24" s="4" t="inlineStr"/>
      <c r="G24" s="4" t="inlineStr"/>
    </row>
    <row r="25">
      <c r="A25" s="4" t="inlineStr">
        <is>
          <t>4.2.5-P1</t>
        </is>
      </c>
      <c r="B25" s="4" t="inlineStr">
        <is>
          <t>4.2.5</t>
        </is>
      </c>
      <c r="C25" s="4" t="inlineStr">
        <is>
          <t>medical_student</t>
        </is>
      </c>
      <c r="D25" s="4" t="inlineStr">
        <is>
          <t>Ask whether the knee has ever got stuck so that it would not straighten.</t>
        </is>
      </c>
      <c r="E25" s="4" t="inlineStr"/>
      <c r="F25" s="4" t="inlineStr"/>
      <c r="G25" s="4" t="inlineStr"/>
    </row>
    <row r="26">
      <c r="A26" s="4" t="inlineStr">
        <is>
          <t>4.2.5-P2</t>
        </is>
      </c>
      <c r="B26" s="4" t="inlineStr">
        <is>
          <t>4.2.5</t>
        </is>
      </c>
      <c r="C26" s="4" t="inlineStr">
        <is>
          <t>medical_student</t>
        </is>
      </c>
      <c r="D26" s="4" t="inlineStr">
        <is>
          <t>Ask how long it stayed stuck and how often it happens.</t>
        </is>
      </c>
      <c r="E26" s="4" t="inlineStr"/>
      <c r="F26" s="4" t="inlineStr"/>
      <c r="G26" s="4" t="inlineStr"/>
    </row>
    <row r="27">
      <c r="A27" s="4" t="inlineStr">
        <is>
          <t>4.2.5-P3</t>
        </is>
      </c>
      <c r="B27" s="4" t="inlineStr">
        <is>
          <t>4.2.5</t>
        </is>
      </c>
      <c r="C27" s="4" t="inlineStr">
        <is>
          <t>medical_student</t>
        </is>
      </c>
      <c r="D27" s="4" t="inlineStr">
        <is>
          <t>Ask whether they can straighten it fully now, and then check, because a block may still be present.</t>
        </is>
      </c>
      <c r="E27" s="4" t="inlineStr"/>
      <c r="F27" s="4" t="inlineStr"/>
      <c r="G27" s="4" t="inlineStr"/>
    </row>
    <row r="28">
      <c r="A28" s="4" t="inlineStr">
        <is>
          <t>4.2.6-P1</t>
        </is>
      </c>
      <c r="B28" s="4" t="inlineStr">
        <is>
          <t>4.2.6</t>
        </is>
      </c>
      <c r="C28" s="4" t="inlineStr">
        <is>
          <t>medical_student</t>
        </is>
      </c>
      <c r="D28" s="4" t="inlineStr">
        <is>
          <t>Ask for one specific episode in detail rather than a general account.</t>
        </is>
      </c>
      <c r="E28" s="4" t="inlineStr"/>
      <c r="F28" s="4" t="inlineStr"/>
      <c r="G28" s="4" t="inlineStr"/>
    </row>
    <row r="29">
      <c r="A29" s="4" t="inlineStr">
        <is>
          <t>4.2.6-P2</t>
        </is>
      </c>
      <c r="B29" s="4" t="inlineStr">
        <is>
          <t>4.2.6</t>
        </is>
      </c>
      <c r="C29" s="4" t="inlineStr">
        <is>
          <t>medical_student</t>
        </is>
      </c>
      <c r="D29" s="4" t="inlineStr">
        <is>
          <t>Ask what they were doing: turning, stepping down, running in a straight line, or standing still.</t>
        </is>
      </c>
      <c r="E29" s="4" t="inlineStr"/>
      <c r="F29" s="4" t="inlineStr"/>
      <c r="G29" s="4" t="inlineStr"/>
    </row>
    <row r="30">
      <c r="A30" s="4" t="inlineStr">
        <is>
          <t>4.2.6-P3</t>
        </is>
      </c>
      <c r="B30" s="4" t="inlineStr">
        <is>
          <t>4.2.6</t>
        </is>
      </c>
      <c r="C30" s="4" t="inlineStr">
        <is>
          <t>medical_student</t>
        </is>
      </c>
      <c r="D30" s="4" t="inlineStr">
        <is>
          <t>Ask which way the knee went, accepting that many patients cannot say and that a guess is worse than an admission.</t>
        </is>
      </c>
      <c r="E30" s="4" t="inlineStr"/>
      <c r="F30" s="4" t="inlineStr"/>
      <c r="G30" s="4" t="inlineStr"/>
    </row>
    <row r="31">
      <c r="A31" s="4" t="inlineStr">
        <is>
          <t>4.2.6-P4</t>
        </is>
      </c>
      <c r="B31" s="4" t="inlineStr">
        <is>
          <t>4.2.6</t>
        </is>
      </c>
      <c r="C31" s="4" t="inlineStr">
        <is>
          <t>medical_student</t>
        </is>
      </c>
      <c r="D31" s="4" t="inlineStr">
        <is>
          <t>Ask whether they fell, whether the knee swelled afterwards, and how long it took to settle.</t>
        </is>
      </c>
      <c r="E31" s="4" t="inlineStr"/>
      <c r="F31" s="4" t="inlineStr"/>
      <c r="G31" s="4" t="inlineStr"/>
    </row>
    <row r="32">
      <c r="A32" s="4" t="inlineStr">
        <is>
          <t>4.2.6-P5</t>
        </is>
      </c>
      <c r="B32" s="4" t="inlineStr">
        <is>
          <t>4.2.6</t>
        </is>
      </c>
      <c r="C32" s="4" t="inlineStr">
        <is>
          <t>medical_student</t>
        </is>
      </c>
      <c r="D32" s="4" t="inlineStr">
        <is>
          <t>Ask whether they expected it, because a knee that gives way without warning is a different problem from one that fails during a movement the patient knew was risky.</t>
        </is>
      </c>
      <c r="E32" s="4" t="inlineStr"/>
      <c r="F32" s="4" t="inlineStr"/>
      <c r="G32" s="4" t="inlineStr"/>
    </row>
    <row r="33">
      <c r="A33" s="4" t="inlineStr">
        <is>
          <t>4.2.6-P6</t>
        </is>
      </c>
      <c r="B33" s="4" t="inlineStr">
        <is>
          <t>4.2.6</t>
        </is>
      </c>
      <c r="C33" s="4" t="inlineStr">
        <is>
          <t>frcs</t>
        </is>
      </c>
      <c r="D33" s="4" t="inlineStr">
        <is>
          <t>Ask what they no longer do.</t>
        </is>
      </c>
      <c r="E33" s="4" t="inlineStr"/>
      <c r="F33" s="4" t="inlineStr"/>
      <c r="G33" s="4" t="inlineStr"/>
    </row>
    <row r="34">
      <c r="A34" s="4" t="inlineStr">
        <is>
          <t>4.2.6-P7</t>
        </is>
      </c>
      <c r="B34" s="4" t="inlineStr">
        <is>
          <t>4.2.6</t>
        </is>
      </c>
      <c r="C34" s="4" t="inlineStr">
        <is>
          <t>fellowship</t>
        </is>
      </c>
      <c r="D34" s="4" t="inlineStr">
        <is>
          <t>Ask whether the episode resembles the original symptom: a return suggests graft failure.</t>
        </is>
      </c>
      <c r="E34" s="4" t="inlineStr"/>
      <c r="F34" s="4" t="inlineStr"/>
      <c r="G34" s="4" t="inlineStr"/>
    </row>
    <row r="35">
      <c r="A35" s="4" t="inlineStr">
        <is>
          <t>4.2.7-P1</t>
        </is>
      </c>
      <c r="B35" s="4" t="inlineStr">
        <is>
          <t>4.2.7</t>
        </is>
      </c>
      <c r="C35" s="4" t="inlineStr">
        <is>
          <t>medical_student</t>
        </is>
      </c>
      <c r="D35" s="4" t="inlineStr">
        <is>
          <t>Ask whether anything in the knee clicks, catches or grinds, and then ask whether it hurts when it does.</t>
        </is>
      </c>
      <c r="E35" s="4" t="inlineStr"/>
      <c r="F35" s="4" t="inlineStr"/>
      <c r="G35" s="4" t="inlineStr"/>
    </row>
    <row r="36">
      <c r="A36" s="4" t="inlineStr">
        <is>
          <t>4.2.7-P2</t>
        </is>
      </c>
      <c r="B36" s="4" t="inlineStr">
        <is>
          <t>4.2.7</t>
        </is>
      </c>
      <c r="C36" s="4" t="inlineStr">
        <is>
          <t>medical_student</t>
        </is>
      </c>
      <c r="D36" s="4" t="inlineStr">
        <is>
          <t>Ask whether it happens in a particular position, because reproducibility at a specific angle suggests a structural cause.</t>
        </is>
      </c>
      <c r="E36" s="4" t="inlineStr"/>
      <c r="F36" s="4" t="inlineStr"/>
      <c r="G36" s="4" t="inlineStr"/>
    </row>
    <row r="37">
      <c r="A37" s="4" t="inlineStr">
        <is>
          <t>4.2.7-P3</t>
        </is>
      </c>
      <c r="B37" s="4" t="inlineStr">
        <is>
          <t>4.2.7</t>
        </is>
      </c>
      <c r="C37" s="4" t="inlineStr">
        <is>
          <t>medical_student</t>
        </is>
      </c>
      <c r="D37" s="4" t="inlineStr">
        <is>
          <t>Ask whether anything ever stops the knee moving, which is the locking question.</t>
        </is>
      </c>
      <c r="E37" s="4" t="inlineStr"/>
      <c r="F37" s="4" t="inlineStr"/>
      <c r="G37" s="4" t="inlineStr"/>
    </row>
    <row r="38">
      <c r="A38" s="4" t="inlineStr">
        <is>
          <t>4.2.7-P4</t>
        </is>
      </c>
      <c r="B38" s="4" t="inlineStr">
        <is>
          <t>4.2.7</t>
        </is>
      </c>
      <c r="C38" s="4" t="inlineStr">
        <is>
          <t>medical_student</t>
        </is>
      </c>
      <c r="D38" s="4" t="inlineStr">
        <is>
          <t>Ask whether they can make it happen on request, since a patient who can demonstrate it gives you an examination finding rather than a history.</t>
        </is>
      </c>
      <c r="E38" s="4" t="inlineStr"/>
      <c r="F38" s="4" t="inlineStr"/>
      <c r="G38" s="4" t="inlineStr"/>
    </row>
    <row r="39">
      <c r="A39" s="4" t="inlineStr">
        <is>
          <t>4.2.8-P1</t>
        </is>
      </c>
      <c r="B39" s="4" t="inlineStr">
        <is>
          <t>4.2.8</t>
        </is>
      </c>
      <c r="C39" s="4" t="inlineStr">
        <is>
          <t>medical_student</t>
        </is>
      </c>
      <c r="D39" s="4" t="inlineStr">
        <is>
          <t>Ask the patient to point with one finger to where it hurts most.</t>
        </is>
      </c>
      <c r="E39" s="4" t="inlineStr"/>
      <c r="F39" s="4" t="inlineStr"/>
      <c r="G39" s="4" t="inlineStr"/>
    </row>
    <row r="40">
      <c r="A40" s="4" t="inlineStr">
        <is>
          <t>4.2.8-P2</t>
        </is>
      </c>
      <c r="B40" s="4" t="inlineStr">
        <is>
          <t>4.2.8</t>
        </is>
      </c>
      <c r="C40" s="4" t="inlineStr">
        <is>
          <t>medical_student</t>
        </is>
      </c>
      <c r="D40" s="4" t="inlineStr">
        <is>
          <t>Ask whether the pain stays there or moves, since migrating pain behaves differently from fixed pain.</t>
        </is>
      </c>
      <c r="E40" s="4" t="inlineStr"/>
      <c r="F40" s="4" t="inlineStr"/>
      <c r="G40" s="4" t="inlineStr"/>
    </row>
    <row r="41">
      <c r="A41" s="4" t="inlineStr">
        <is>
          <t>4.2.8-P3</t>
        </is>
      </c>
      <c r="B41" s="4" t="inlineStr">
        <is>
          <t>4.2.8</t>
        </is>
      </c>
      <c r="C41" s="4" t="inlineStr">
        <is>
          <t>medical_student</t>
        </is>
      </c>
      <c r="D41" s="4" t="inlineStr">
        <is>
          <t>Ask whether there is more than one site, and if so which came first.</t>
        </is>
      </c>
      <c r="E41" s="4" t="inlineStr"/>
      <c r="F41" s="4" t="inlineStr"/>
      <c r="G41" s="4" t="inlineStr"/>
    </row>
    <row r="42">
      <c r="A42" s="4" t="inlineStr">
        <is>
          <t>4.2.8-P4</t>
        </is>
      </c>
      <c r="B42" s="4" t="inlineStr">
        <is>
          <t>4.2.8</t>
        </is>
      </c>
      <c r="C42" s="4" t="inlineStr">
        <is>
          <t>medical_student</t>
        </is>
      </c>
      <c r="D42" s="4" t="inlineStr">
        <is>
          <t>Ask the patient to point with one finger, and never offer a region.</t>
        </is>
      </c>
      <c r="E42" s="4" t="inlineStr"/>
      <c r="F42" s="4" t="inlineStr"/>
      <c r="G42" s="4" t="inlineStr"/>
    </row>
    <row r="43">
      <c r="A43" s="4" t="inlineStr">
        <is>
          <t>4.2.9-P1</t>
        </is>
      </c>
      <c r="B43" s="4" t="inlineStr">
        <is>
          <t>4.2.9</t>
        </is>
      </c>
      <c r="C43" s="4" t="inlineStr">
        <is>
          <t>medical_student</t>
        </is>
      </c>
      <c r="D43" s="4" t="inlineStr">
        <is>
          <t>Ask when the knee was last completely normal, which is more reliable than asking when the problem started.</t>
        </is>
      </c>
      <c r="E43" s="4" t="inlineStr"/>
      <c r="F43" s="4" t="inlineStr"/>
      <c r="G43" s="4" t="inlineStr"/>
    </row>
    <row r="44">
      <c r="A44" s="4" t="inlineStr">
        <is>
          <t>4.2.9-P2</t>
        </is>
      </c>
      <c r="B44" s="4" t="inlineStr">
        <is>
          <t>4.2.9</t>
        </is>
      </c>
      <c r="C44" s="4" t="inlineStr">
        <is>
          <t>medical_student</t>
        </is>
      </c>
      <c r="D44" s="4" t="inlineStr">
        <is>
          <t>Ask whether there were earlier, milder episodes, since a sudden onset on a background of warning symptoms is a different story.</t>
        </is>
      </c>
      <c r="E44" s="4" t="inlineStr"/>
      <c r="F44" s="4" t="inlineStr"/>
      <c r="G44" s="4" t="inlineStr"/>
    </row>
    <row r="45">
      <c r="A45" s="4" t="inlineStr">
        <is>
          <t>4.2.10-P1</t>
        </is>
      </c>
      <c r="B45" s="4" t="inlineStr">
        <is>
          <t>4.2.10</t>
        </is>
      </c>
      <c r="C45" s="4" t="inlineStr">
        <is>
          <t>medical_student</t>
        </is>
      </c>
      <c r="D45" s="4" t="inlineStr">
        <is>
          <t>Ask what the pain stops them doing, rather than asking for a number out of ten.</t>
        </is>
      </c>
      <c r="E45" s="4" t="inlineStr"/>
      <c r="F45" s="4" t="inlineStr"/>
      <c r="G45" s="4" t="inlineStr"/>
    </row>
    <row r="46">
      <c r="A46" s="4" t="inlineStr">
        <is>
          <t>4.2.10-P2</t>
        </is>
      </c>
      <c r="B46" s="4" t="inlineStr">
        <is>
          <t>4.2.10</t>
        </is>
      </c>
      <c r="C46" s="4" t="inlineStr">
        <is>
          <t>medical_student</t>
        </is>
      </c>
      <c r="D46" s="4" t="inlineStr">
        <is>
          <t>Ask about specific activities: walking distance, stairs, sleep, work, and whatever they used to do for enjoyment.</t>
        </is>
      </c>
      <c r="E46" s="4" t="inlineStr"/>
      <c r="F46" s="4" t="inlineStr"/>
      <c r="G46" s="4" t="inlineStr"/>
    </row>
    <row r="47">
      <c r="A47" s="4" t="inlineStr">
        <is>
          <t>4.2.10-P3</t>
        </is>
      </c>
      <c r="B47" s="4" t="inlineStr">
        <is>
          <t>4.2.10</t>
        </is>
      </c>
      <c r="C47" s="4" t="inlineStr">
        <is>
          <t>medical_student</t>
        </is>
      </c>
      <c r="D47" s="4" t="inlineStr">
        <is>
          <t>Ask what painkillers they take, how often, and whether they help, since that is a behavioural measure of severity rather than a reported one.</t>
        </is>
      </c>
      <c r="E47" s="4" t="inlineStr"/>
      <c r="F47" s="4" t="inlineStr"/>
      <c r="G47" s="4" t="inlineStr"/>
    </row>
    <row r="48">
      <c r="A48" s="4" t="inlineStr">
        <is>
          <t>4.2.10-P4</t>
        </is>
      </c>
      <c r="B48" s="4" t="inlineStr">
        <is>
          <t>4.2.10</t>
        </is>
      </c>
      <c r="C48" s="4" t="inlineStr">
        <is>
          <t>medical_student</t>
        </is>
      </c>
      <c r="D48" s="4" t="inlineStr">
        <is>
          <t>Ask whether it is getting worse, better or unchanged, because the trajectory matters more than the level.</t>
        </is>
      </c>
      <c r="E48" s="4" t="inlineStr"/>
      <c r="F48" s="4" t="inlineStr"/>
      <c r="G48" s="4" t="inlineStr"/>
    </row>
    <row r="49">
      <c r="A49" s="4" t="inlineStr">
        <is>
          <t>4.2.11-P1</t>
        </is>
      </c>
      <c r="B49" s="4" t="inlineStr">
        <is>
          <t>4.2.11</t>
        </is>
      </c>
      <c r="C49" s="4" t="inlineStr">
        <is>
          <t>medical_student</t>
        </is>
      </c>
      <c r="D49" s="4" t="inlineStr">
        <is>
          <t>Ask for activities rather than movements.</t>
        </is>
      </c>
      <c r="E49" s="4" t="inlineStr"/>
      <c r="F49" s="4" t="inlineStr"/>
      <c r="G49" s="4" t="inlineStr"/>
    </row>
    <row r="50">
      <c r="A50" s="4" t="inlineStr">
        <is>
          <t>4.2.11-P2</t>
        </is>
      </c>
      <c r="B50" s="4" t="inlineStr">
        <is>
          <t>4.2.11</t>
        </is>
      </c>
      <c r="C50" s="4" t="inlineStr">
        <is>
          <t>medical_student</t>
        </is>
      </c>
      <c r="D50" s="4" t="inlineStr">
        <is>
          <t>Ask about stairs up and stairs down separately, because they load differently and the answer differs.</t>
        </is>
      </c>
      <c r="E50" s="4" t="inlineStr"/>
      <c r="F50" s="4" t="inlineStr"/>
      <c r="G50" s="4" t="inlineStr"/>
    </row>
    <row r="51">
      <c r="A51" s="4" t="inlineStr">
        <is>
          <t>4.2.11-P3</t>
        </is>
      </c>
      <c r="B51" s="4" t="inlineStr">
        <is>
          <t>4.2.11</t>
        </is>
      </c>
      <c r="C51" s="4" t="inlineStr">
        <is>
          <t>medical_student</t>
        </is>
      </c>
      <c r="D51" s="4" t="inlineStr">
        <is>
          <t>Ask how soon the pain comes on: immediately, after a distance, or the following day.</t>
        </is>
      </c>
      <c r="E51" s="4" t="inlineStr"/>
      <c r="F51" s="4" t="inlineStr"/>
      <c r="G51" s="4" t="inlineStr"/>
    </row>
    <row r="52">
      <c r="A52" s="4" t="inlineStr">
        <is>
          <t>4.2.11-P4</t>
        </is>
      </c>
      <c r="B52" s="4" t="inlineStr">
        <is>
          <t>4.2.11</t>
        </is>
      </c>
      <c r="C52" s="4" t="inlineStr">
        <is>
          <t>medical_student</t>
        </is>
      </c>
      <c r="D52" s="4" t="inlineStr">
        <is>
          <t>Ask whether the activity has to be stopped or merely hurts, since the two are different severities.</t>
        </is>
      </c>
      <c r="E52" s="4" t="inlineStr"/>
      <c r="F52" s="4" t="inlineStr"/>
      <c r="G52" s="4" t="inlineStr"/>
    </row>
    <row r="53">
      <c r="A53" s="4" t="inlineStr">
        <is>
          <t>4.2.11-P5</t>
        </is>
      </c>
      <c r="B53" s="4" t="inlineStr">
        <is>
          <t>4.2.11</t>
        </is>
      </c>
      <c r="C53" s="4" t="inlineStr">
        <is>
          <t>frcs</t>
        </is>
      </c>
      <c r="D53" s="4" t="inlineStr">
        <is>
          <t>Ask whether the provoking loading is loading the operation would change.</t>
        </is>
      </c>
      <c r="E53" s="4" t="inlineStr"/>
      <c r="F53" s="4" t="inlineStr"/>
      <c r="G53" s="4" t="inlineStr"/>
    </row>
    <row r="54">
      <c r="A54" s="4" t="inlineStr">
        <is>
          <t>4.2.12-P1</t>
        </is>
      </c>
      <c r="B54" s="4" t="inlineStr">
        <is>
          <t>4.2.12</t>
        </is>
      </c>
      <c r="C54" s="4" t="inlineStr">
        <is>
          <t>medical_student</t>
        </is>
      </c>
      <c r="D54" s="4" t="inlineStr">
        <is>
          <t>Ask what they do when it hurts, rather than offering rest, ice or tablets as options.</t>
        </is>
      </c>
      <c r="E54" s="4" t="inlineStr"/>
      <c r="F54" s="4" t="inlineStr"/>
      <c r="G54" s="4" t="inlineStr"/>
    </row>
    <row r="55">
      <c r="A55" s="4" t="inlineStr">
        <is>
          <t>4.2.12-P2</t>
        </is>
      </c>
      <c r="B55" s="4" t="inlineStr">
        <is>
          <t>4.2.12</t>
        </is>
      </c>
      <c r="C55" s="4" t="inlineStr">
        <is>
          <t>medical_student</t>
        </is>
      </c>
      <c r="D55" s="4" t="inlineStr">
        <is>
          <t>Ask how long it takes to settle, in minutes or hours.</t>
        </is>
      </c>
      <c r="E55" s="4" t="inlineStr"/>
      <c r="F55" s="4" t="inlineStr"/>
      <c r="G55" s="4" t="inlineStr"/>
    </row>
    <row r="56">
      <c r="A56" s="4" t="inlineStr">
        <is>
          <t>4.2.12-P3</t>
        </is>
      </c>
      <c r="B56" s="4" t="inlineStr">
        <is>
          <t>4.2.12</t>
        </is>
      </c>
      <c r="C56" s="4" t="inlineStr">
        <is>
          <t>medical_student</t>
        </is>
      </c>
      <c r="D56" s="4" t="inlineStr">
        <is>
          <t>Ask whether analgesia helps, which, and how much, since a complete lack of response to simple analgesia is informative.</t>
        </is>
      </c>
      <c r="E56" s="4" t="inlineStr"/>
      <c r="F56" s="4" t="inlineStr"/>
      <c r="G56" s="4" t="inlineStr"/>
    </row>
    <row r="57">
      <c r="A57" s="4" t="inlineStr">
        <is>
          <t>4.2.12-P4</t>
        </is>
      </c>
      <c r="B57" s="4" t="inlineStr">
        <is>
          <t>4.2.12</t>
        </is>
      </c>
      <c r="C57" s="4" t="inlineStr">
        <is>
          <t>medical_student</t>
        </is>
      </c>
      <c r="D57" s="4" t="inlineStr">
        <is>
          <t>Ask whether a brace, a stick, strapping or particular footwear helps, because a positive answer points at mechanics and at a possible non-operative route.</t>
        </is>
      </c>
      <c r="E57" s="4" t="inlineStr"/>
      <c r="F57" s="4" t="inlineStr"/>
      <c r="G57" s="4" t="inlineStr"/>
    </row>
    <row r="58">
      <c r="A58" s="4" t="inlineStr">
        <is>
          <t>4.2.12-P5</t>
        </is>
      </c>
      <c r="B58" s="4" t="inlineStr">
        <is>
          <t>4.2.12</t>
        </is>
      </c>
      <c r="C58" s="4" t="inlineStr">
        <is>
          <t>medical_student</t>
        </is>
      </c>
      <c r="D58" s="4" t="inlineStr">
        <is>
          <t>Ask whether rest has been tried properly, since a patient who has never rested the knee cannot say whether rest helps.</t>
        </is>
      </c>
      <c r="E58" s="4" t="inlineStr"/>
      <c r="F58" s="4" t="inlineStr"/>
      <c r="G58" s="4" t="inlineStr"/>
    </row>
    <row r="59">
      <c r="A59" s="4" t="inlineStr">
        <is>
          <t>4.2.12-P6</t>
        </is>
      </c>
      <c r="B59" s="4" t="inlineStr">
        <is>
          <t>4.2.12</t>
        </is>
      </c>
      <c r="C59" s="4" t="inlineStr">
        <is>
          <t>frcs</t>
        </is>
      </c>
      <c r="D59" s="4" t="inlineStr">
        <is>
          <t>At decision level a relieving factor is a natural experiment the patient has already run, and it should be used as one.</t>
        </is>
      </c>
      <c r="E59" s="4" t="inlineStr"/>
      <c r="F59" s="4" t="inlineStr"/>
      <c r="G59" s="4" t="inlineStr"/>
    </row>
    <row r="60">
      <c r="A60" s="4" t="inlineStr">
        <is>
          <t>4.2.12-P7</t>
        </is>
      </c>
      <c r="B60" s="4" t="inlineStr">
        <is>
          <t>4.2.12</t>
        </is>
      </c>
      <c r="C60" s="4" t="inlineStr">
        <is>
          <t>frcs</t>
        </is>
      </c>
      <c r="D60" s="4" t="inlineStr">
        <is>
          <t>And a knee relieved only by opiates, in the presence of modest findings, should prompt a broader assessment rather than a mechanical intervention.</t>
        </is>
      </c>
      <c r="E60" s="4" t="inlineStr"/>
      <c r="F60" s="4" t="inlineStr"/>
      <c r="G60" s="4" t="inlineStr"/>
    </row>
    <row r="61">
      <c r="A61" s="4" t="inlineStr">
        <is>
          <t>4.2.13-P1</t>
        </is>
      </c>
      <c r="B61" s="4" t="inlineStr">
        <is>
          <t>4.2.13</t>
        </is>
      </c>
      <c r="C61" s="4" t="inlineStr">
        <is>
          <t>medical_student</t>
        </is>
      </c>
      <c r="D61" s="4" t="inlineStr">
        <is>
          <t>Ask whether the pain wakes them, which is different from asking whether it hurts at night.</t>
        </is>
      </c>
      <c r="E61" s="4" t="inlineStr"/>
      <c r="F61" s="4" t="inlineStr"/>
      <c r="G61" s="4" t="inlineStr"/>
    </row>
    <row r="62">
      <c r="A62" s="4" t="inlineStr">
        <is>
          <t>4.2.13-P2</t>
        </is>
      </c>
      <c r="B62" s="4" t="inlineStr">
        <is>
          <t>4.2.13</t>
        </is>
      </c>
      <c r="C62" s="4" t="inlineStr">
        <is>
          <t>medical_student</t>
        </is>
      </c>
      <c r="D62" s="4" t="inlineStr">
        <is>
          <t>Ask whether they wake because of the pain, how often, and whether they can get back to sleep.</t>
        </is>
      </c>
      <c r="E62" s="4" t="inlineStr"/>
      <c r="F62" s="4" t="inlineStr"/>
      <c r="G62" s="4" t="inlineStr"/>
    </row>
    <row r="63">
      <c r="A63" s="4" t="inlineStr">
        <is>
          <t>4.2.13-P3</t>
        </is>
      </c>
      <c r="B63" s="4" t="inlineStr">
        <is>
          <t>4.2.13</t>
        </is>
      </c>
      <c r="C63" s="4" t="inlineStr">
        <is>
          <t>medical_student</t>
        </is>
      </c>
      <c r="D63" s="4" t="inlineStr">
        <is>
          <t>Ask about associated features: fever, sweats, weight loss, pain elsewhere, and whether they feel generally unwell.</t>
        </is>
      </c>
      <c r="E63" s="4" t="inlineStr"/>
      <c r="F63" s="4" t="inlineStr"/>
      <c r="G63" s="4" t="inlineStr"/>
    </row>
    <row r="64">
      <c r="A64" s="4" t="inlineStr">
        <is>
          <t>4.2.13-P4</t>
        </is>
      </c>
      <c r="B64" s="4" t="inlineStr">
        <is>
          <t>4.2.13</t>
        </is>
      </c>
      <c r="C64" s="4" t="inlineStr">
        <is>
          <t>medical_student</t>
        </is>
      </c>
      <c r="D64" s="4" t="inlineStr">
        <is>
          <t>Ask about recent injections, operations or illness, because infection is the time-critical cause.</t>
        </is>
      </c>
      <c r="E64" s="4" t="inlineStr"/>
      <c r="F64" s="4" t="inlineStr"/>
      <c r="G64" s="4" t="inlineStr"/>
    </row>
    <row r="65">
      <c r="A65" s="4" t="inlineStr">
        <is>
          <t>4.2.13-P5</t>
        </is>
      </c>
      <c r="B65" s="4" t="inlineStr">
        <is>
          <t>4.2.13</t>
        </is>
      </c>
      <c r="C65" s="4" t="inlineStr">
        <is>
          <t>frcs</t>
        </is>
      </c>
      <c r="D65" s="4" t="inlineStr">
        <is>
          <t>A patient with night pain and a modest mechanical picture should not have a mechanical operation until the other categories are excluded, and that sequence is the whole point of the question.</t>
        </is>
      </c>
      <c r="E65" s="4" t="inlineStr"/>
      <c r="F65" s="4" t="inlineStr"/>
      <c r="G65" s="4" t="inlineStr"/>
    </row>
    <row r="66">
      <c r="A66" s="4" t="inlineStr">
        <is>
          <t>4.2.14-P1</t>
        </is>
      </c>
      <c r="B66" s="4" t="inlineStr">
        <is>
          <t>4.2.14</t>
        </is>
      </c>
      <c r="C66" s="4" t="inlineStr">
        <is>
          <t>medical_student</t>
        </is>
      </c>
      <c r="D66" s="4" t="inlineStr">
        <is>
          <t>Ask how long the knee is stiff in the morning before it loosens, pressing for minutes.</t>
        </is>
      </c>
      <c r="E66" s="4" t="inlineStr"/>
      <c r="F66" s="4" t="inlineStr"/>
      <c r="G66" s="4" t="inlineStr"/>
    </row>
    <row r="67">
      <c r="A67" s="4" t="inlineStr">
        <is>
          <t>4.2.14-P2</t>
        </is>
      </c>
      <c r="B67" s="4" t="inlineStr">
        <is>
          <t>4.2.14</t>
        </is>
      </c>
      <c r="C67" s="4" t="inlineStr">
        <is>
          <t>medical_student</t>
        </is>
      </c>
      <c r="D67" s="4" t="inlineStr">
        <is>
          <t>Ask whether it is worse after sitting still and better after moving about, which is the core inflammatory pattern.</t>
        </is>
      </c>
      <c r="E67" s="4" t="inlineStr"/>
      <c r="F67" s="4" t="inlineStr"/>
      <c r="G67" s="4" t="inlineStr"/>
    </row>
    <row r="68">
      <c r="A68" s="4" t="inlineStr">
        <is>
          <t>4.2.14-P3</t>
        </is>
      </c>
      <c r="B68" s="4" t="inlineStr">
        <is>
          <t>4.2.14</t>
        </is>
      </c>
      <c r="C68" s="4" t="inlineStr">
        <is>
          <t>medical_student</t>
        </is>
      </c>
      <c r="D68" s="4" t="inlineStr">
        <is>
          <t>Ask about other joints, including the hands, feet and spine, and about swelling in them rather than only pain.</t>
        </is>
      </c>
      <c r="E68" s="4" t="inlineStr"/>
      <c r="F68" s="4" t="inlineStr"/>
      <c r="G68" s="4" t="inlineStr"/>
    </row>
    <row r="69">
      <c r="A69" s="4" t="inlineStr">
        <is>
          <t>4.2.14-P4</t>
        </is>
      </c>
      <c r="B69" s="4" t="inlineStr">
        <is>
          <t>4.2.14</t>
        </is>
      </c>
      <c r="C69" s="4" t="inlineStr">
        <is>
          <t>medical_student</t>
        </is>
      </c>
      <c r="D69" s="4" t="inlineStr">
        <is>
          <t>Ask about systemic features: fatigue, fever, weight loss, rashes, eye problems, bowel symptoms and psoriasis.</t>
        </is>
      </c>
      <c r="E69" s="4" t="inlineStr"/>
      <c r="F69" s="4" t="inlineStr"/>
      <c r="G69" s="4" t="inlineStr"/>
    </row>
    <row r="70">
      <c r="A70" s="4" t="inlineStr">
        <is>
          <t>4.2.14-P5</t>
        </is>
      </c>
      <c r="B70" s="4" t="inlineStr">
        <is>
          <t>4.2.14</t>
        </is>
      </c>
      <c r="C70" s="4" t="inlineStr">
        <is>
          <t>medical_student</t>
        </is>
      </c>
      <c r="D70" s="4" t="inlineStr">
        <is>
          <t>Ask about family history, since several of the relevant conditions cluster.</t>
        </is>
      </c>
      <c r="E70" s="4" t="inlineStr"/>
      <c r="F70" s="4" t="inlineStr"/>
      <c r="G70" s="4" t="inlineStr"/>
    </row>
    <row r="71">
      <c r="A71" s="4" t="inlineStr">
        <is>
          <t>4.2.15-P1</t>
        </is>
      </c>
      <c r="B71" s="4" t="inlineStr">
        <is>
          <t>4.2.15</t>
        </is>
      </c>
      <c r="C71" s="4" t="inlineStr">
        <is>
          <t>medical_student</t>
        </is>
      </c>
      <c r="D71" s="4" t="inlineStr">
        <is>
          <t>Ask whether the pain is only in the knee or whether it extends into the thigh, the groin or the calf.</t>
        </is>
      </c>
      <c r="E71" s="4" t="inlineStr"/>
      <c r="F71" s="4" t="inlineStr"/>
      <c r="G71" s="4" t="inlineStr"/>
    </row>
    <row r="72">
      <c r="A72" s="4" t="inlineStr">
        <is>
          <t>4.2.15-P2</t>
        </is>
      </c>
      <c r="B72" s="4" t="inlineStr">
        <is>
          <t>4.2.15</t>
        </is>
      </c>
      <c r="C72" s="4" t="inlineStr">
        <is>
          <t>medical_student</t>
        </is>
      </c>
      <c r="D72" s="4" t="inlineStr">
        <is>
          <t>Ask about the hip directly: groin pain, pain on putting shoes and socks on, and difficulty getting in and out of a car.</t>
        </is>
      </c>
      <c r="E72" s="4" t="inlineStr"/>
      <c r="F72" s="4" t="inlineStr"/>
      <c r="G72" s="4" t="inlineStr"/>
    </row>
    <row r="73">
      <c r="A73" s="4" t="inlineStr">
        <is>
          <t>4.2.15-P3</t>
        </is>
      </c>
      <c r="B73" s="4" t="inlineStr">
        <is>
          <t>4.2.15</t>
        </is>
      </c>
      <c r="C73" s="4" t="inlineStr">
        <is>
          <t>medical_student</t>
        </is>
      </c>
      <c r="D73" s="4" t="inlineStr">
        <is>
          <t>Ask about the back: back pain, pain radiating below the knee, pins and needles, numbness and weakness.</t>
        </is>
      </c>
      <c r="E73" s="4" t="inlineStr"/>
      <c r="F73" s="4" t="inlineStr"/>
      <c r="G73" s="4" t="inlineStr"/>
    </row>
    <row r="74">
      <c r="A74" s="4" t="inlineStr">
        <is>
          <t>4.2.15-P4</t>
        </is>
      </c>
      <c r="B74" s="4" t="inlineStr">
        <is>
          <t>4.2.15</t>
        </is>
      </c>
      <c r="C74" s="4" t="inlineStr">
        <is>
          <t>medical_student</t>
        </is>
      </c>
      <c r="D74" s="4" t="inlineStr">
        <is>
          <t>Ask whether anything in the back or hip provokes the knee pain.</t>
        </is>
      </c>
      <c r="E74" s="4" t="inlineStr"/>
      <c r="F74" s="4" t="inlineStr"/>
      <c r="G74" s="4" t="inlineStr"/>
    </row>
    <row r="75">
      <c r="A75" s="4" t="inlineStr">
        <is>
          <t>4.2.15-P5</t>
        </is>
      </c>
      <c r="B75" s="4" t="inlineStr">
        <is>
          <t>4.2.15</t>
        </is>
      </c>
      <c r="C75" s="4" t="inlineStr">
        <is>
          <t>mrcs</t>
        </is>
      </c>
      <c r="D75" s="4" t="inlineStr">
        <is>
          <t>Provocation is the second: pain reproduced by hip rotation rather than by knee movement settles a great deal, and that is an examination finding the history should prompt.</t>
        </is>
      </c>
      <c r="E75" s="4" t="inlineStr"/>
      <c r="F75" s="4" t="inlineStr"/>
      <c r="G75" s="4" t="inlineStr"/>
    </row>
    <row r="76">
      <c r="A76" s="4" t="inlineStr">
        <is>
          <t>4.2.16-P1</t>
        </is>
      </c>
      <c r="B76" s="4" t="inlineStr">
        <is>
          <t>4.2.16</t>
        </is>
      </c>
      <c r="C76" s="4" t="inlineStr">
        <is>
          <t>medical_student</t>
        </is>
      </c>
      <c r="D76" s="4" t="inlineStr">
        <is>
          <t>Ask whether anything or anybody hit the knee.</t>
        </is>
      </c>
      <c r="E76" s="4" t="inlineStr"/>
      <c r="F76" s="4" t="inlineStr"/>
      <c r="G76" s="4" t="inlineStr"/>
    </row>
    <row r="77">
      <c r="A77" s="4" t="inlineStr">
        <is>
          <t>4.2.16-P2</t>
        </is>
      </c>
      <c r="B77" s="4" t="inlineStr">
        <is>
          <t>4.2.16</t>
        </is>
      </c>
      <c r="C77" s="4" t="inlineStr">
        <is>
          <t>medical_student</t>
        </is>
      </c>
      <c r="D77" s="4" t="inlineStr">
        <is>
          <t>Ask what the foot was doing: planted, turning, or landing.</t>
        </is>
      </c>
      <c r="E77" s="4" t="inlineStr"/>
      <c r="F77" s="4" t="inlineStr"/>
      <c r="G77" s="4" t="inlineStr"/>
    </row>
    <row r="78">
      <c r="A78" s="4" t="inlineStr">
        <is>
          <t>4.2.16-P3</t>
        </is>
      </c>
      <c r="B78" s="4" t="inlineStr">
        <is>
          <t>4.2.16</t>
        </is>
      </c>
      <c r="C78" s="4" t="inlineStr">
        <is>
          <t>medical_student</t>
        </is>
      </c>
      <c r="D78" s="4" t="inlineStr">
        <is>
          <t>Ask what the body was doing: decelerating, changing direction, or landing from a jump.</t>
        </is>
      </c>
      <c r="E78" s="4" t="inlineStr"/>
      <c r="F78" s="4" t="inlineStr"/>
      <c r="G78" s="4" t="inlineStr"/>
    </row>
    <row r="79">
      <c r="A79" s="4" t="inlineStr">
        <is>
          <t>4.2.16-P4</t>
        </is>
      </c>
      <c r="B79" s="4" t="inlineStr">
        <is>
          <t>4.2.16</t>
        </is>
      </c>
      <c r="C79" s="4" t="inlineStr">
        <is>
          <t>medical_student</t>
        </is>
      </c>
      <c r="D79" s="4" t="inlineStr">
        <is>
          <t>Ask whether they heard or felt a pop, whether they fell, and whether they could carry on.</t>
        </is>
      </c>
      <c r="E79" s="4" t="inlineStr"/>
      <c r="F79" s="4" t="inlineStr"/>
      <c r="G79" s="4" t="inlineStr"/>
    </row>
    <row r="80">
      <c r="A80" s="4" t="inlineStr">
        <is>
          <t>4.2.16-P5</t>
        </is>
      </c>
      <c r="B80" s="4" t="inlineStr">
        <is>
          <t>4.2.16</t>
        </is>
      </c>
      <c r="C80" s="4" t="inlineStr">
        <is>
          <t>medical_student</t>
        </is>
      </c>
      <c r="D80" s="4" t="inlineStr">
        <is>
          <t>Ask about swelling timing, which is the single most discriminating follow-up.</t>
        </is>
      </c>
      <c r="E80" s="4" t="inlineStr"/>
      <c r="F80" s="4" t="inlineStr"/>
      <c r="G80" s="4" t="inlineStr"/>
    </row>
    <row r="81">
      <c r="A81" s="4" t="inlineStr">
        <is>
          <t>4.2.16-P6</t>
        </is>
      </c>
      <c r="B81" s="4" t="inlineStr">
        <is>
          <t>4.2.16</t>
        </is>
      </c>
      <c r="C81" s="4" t="inlineStr">
        <is>
          <t>frcs</t>
        </is>
      </c>
      <c r="D81" s="4" t="inlineStr">
        <is>
          <t>A non-contact injury with valgus collapse should prompt a deliberate search for medial and rotational injury rather than a cruciate-only assessment.</t>
        </is>
      </c>
      <c r="E81" s="4" t="inlineStr"/>
      <c r="F81" s="4" t="inlineStr"/>
      <c r="G81" s="4" t="inlineStr"/>
    </row>
    <row r="82">
      <c r="A82" s="4" t="inlineStr">
        <is>
          <t>4.2.16-P7</t>
        </is>
      </c>
      <c r="B82" s="4" t="inlineStr">
        <is>
          <t>4.2.16</t>
        </is>
      </c>
      <c r="C82" s="4" t="inlineStr">
        <is>
          <t>frcs</t>
        </is>
      </c>
      <c r="D82" s="4" t="inlineStr">
        <is>
          <t>- Valgus collapse should prompt a deliberate search for medial and rotational injury.</t>
        </is>
      </c>
      <c r="E82" s="4" t="inlineStr"/>
      <c r="F82" s="4" t="inlineStr"/>
      <c r="G82" s="4" t="inlineStr"/>
    </row>
    <row r="83">
      <c r="A83" s="4" t="inlineStr">
        <is>
          <t>4.2.17-P1</t>
        </is>
      </c>
      <c r="B83" s="4" t="inlineStr">
        <is>
          <t>4.2.17</t>
        </is>
      </c>
      <c r="C83" s="4" t="inlineStr">
        <is>
          <t>medical_student</t>
        </is>
      </c>
      <c r="D83" s="4" t="inlineStr">
        <is>
          <t>Ask where the blow landed: the outside of the knee, the inside, the front, or the lower leg.</t>
        </is>
      </c>
      <c r="E83" s="4" t="inlineStr"/>
      <c r="F83" s="4" t="inlineStr"/>
      <c r="G83" s="4" t="inlineStr"/>
    </row>
    <row r="84">
      <c r="A84" s="4" t="inlineStr">
        <is>
          <t>4.2.17-P2</t>
        </is>
      </c>
      <c r="B84" s="4" t="inlineStr">
        <is>
          <t>4.2.17</t>
        </is>
      </c>
      <c r="C84" s="4" t="inlineStr">
        <is>
          <t>medical_student</t>
        </is>
      </c>
      <c r="D84" s="4" t="inlineStr">
        <is>
          <t>Ask which way the knee bent or was pushed as a result.</t>
        </is>
      </c>
      <c r="E84" s="4" t="inlineStr"/>
      <c r="F84" s="4" t="inlineStr"/>
      <c r="G84" s="4" t="inlineStr"/>
    </row>
    <row r="85">
      <c r="A85" s="4" t="inlineStr">
        <is>
          <t>4.2.17-P3</t>
        </is>
      </c>
      <c r="B85" s="4" t="inlineStr">
        <is>
          <t>4.2.17</t>
        </is>
      </c>
      <c r="C85" s="4" t="inlineStr">
        <is>
          <t>medical_student</t>
        </is>
      </c>
      <c r="D85" s="4" t="inlineStr">
        <is>
          <t>Ask whether the foot was planted at the time, because a planted foot converts a blow into a much larger joint force.</t>
        </is>
      </c>
      <c r="E85" s="4" t="inlineStr"/>
      <c r="F85" s="4" t="inlineStr"/>
      <c r="G85" s="4" t="inlineStr"/>
    </row>
    <row r="86">
      <c r="A86" s="4" t="inlineStr">
        <is>
          <t>4.2.17-P4</t>
        </is>
      </c>
      <c r="B86" s="4" t="inlineStr">
        <is>
          <t>4.2.17</t>
        </is>
      </c>
      <c r="C86" s="4" t="inlineStr">
        <is>
          <t>medical_student</t>
        </is>
      </c>
      <c r="D86" s="4" t="inlineStr">
        <is>
          <t>Ask whether they could weight bear immediately and whether the knee swelled, and how fast.</t>
        </is>
      </c>
      <c r="E86" s="4" t="inlineStr"/>
      <c r="F86" s="4" t="inlineStr"/>
      <c r="G86" s="4" t="inlineStr"/>
    </row>
    <row r="87">
      <c r="A87" s="4" t="inlineStr">
        <is>
          <t>4.2.17-P5</t>
        </is>
      </c>
      <c r="B87" s="4" t="inlineStr">
        <is>
          <t>4.2.17</t>
        </is>
      </c>
      <c r="C87" s="4" t="inlineStr">
        <is>
          <t>medical_student</t>
        </is>
      </c>
      <c r="D87" s="4" t="inlineStr">
        <is>
          <t>Ask about the knee feeling like it came apart or went out and back in, which raises a dislocation.</t>
        </is>
      </c>
      <c r="E87" s="4" t="inlineStr"/>
      <c r="F87" s="4" t="inlineStr"/>
      <c r="G87" s="4" t="inlineStr"/>
    </row>
    <row r="88">
      <c r="A88" s="4" t="inlineStr">
        <is>
          <t>4.2.17-P6</t>
        </is>
      </c>
      <c r="B88" s="4" t="inlineStr">
        <is>
          <t>4.2.17</t>
        </is>
      </c>
      <c r="C88" s="4" t="inlineStr">
        <is>
          <t>mrcs</t>
        </is>
      </c>
      <c r="D88" s="4" t="inlineStr">
        <is>
          <t>Any high energy contact injury should prompt assessment for a combined injury rather than a single structure, which is the main difference from the non-contact mechanism.</t>
        </is>
      </c>
      <c r="E88" s="4" t="inlineStr"/>
      <c r="F88" s="4" t="inlineStr"/>
      <c r="G88" s="4" t="inlineStr"/>
    </row>
    <row r="89">
      <c r="A89" s="4" t="inlineStr">
        <is>
          <t>4.2.18-P1</t>
        </is>
      </c>
      <c r="B89" s="4" t="inlineStr">
        <is>
          <t>4.2.18</t>
        </is>
      </c>
      <c r="C89" s="4" t="inlineStr">
        <is>
          <t>medical_student</t>
        </is>
      </c>
      <c r="D89" s="4" t="inlineStr">
        <is>
          <t>Ask whether the foot stayed still while the body turned, and in which direction the body went.</t>
        </is>
      </c>
      <c r="E89" s="4" t="inlineStr"/>
      <c r="F89" s="4" t="inlineStr"/>
      <c r="G89" s="4" t="inlineStr"/>
    </row>
    <row r="90">
      <c r="A90" s="4" t="inlineStr">
        <is>
          <t>4.2.18-P2</t>
        </is>
      </c>
      <c r="B90" s="4" t="inlineStr">
        <is>
          <t>4.2.18</t>
        </is>
      </c>
      <c r="C90" s="4" t="inlineStr">
        <is>
          <t>medical_student</t>
        </is>
      </c>
      <c r="D90" s="4" t="inlineStr">
        <is>
          <t>Ask how much weight was on the leg: fully loaded, partly, or almost none.</t>
        </is>
      </c>
      <c r="E90" s="4" t="inlineStr"/>
      <c r="F90" s="4" t="inlineStr"/>
      <c r="G90" s="4" t="inlineStr"/>
    </row>
    <row r="91">
      <c r="A91" s="4" t="inlineStr">
        <is>
          <t>4.2.18-P3</t>
        </is>
      </c>
      <c r="B91" s="4" t="inlineStr">
        <is>
          <t>4.2.18</t>
        </is>
      </c>
      <c r="C91" s="4" t="inlineStr">
        <is>
          <t>medical_student</t>
        </is>
      </c>
      <c r="D91" s="4" t="inlineStr">
        <is>
          <t>Ask how bent the knee was, because a twist in deep flexion loads different structures from a twist near extension.</t>
        </is>
      </c>
      <c r="E91" s="4" t="inlineStr"/>
      <c r="F91" s="4" t="inlineStr"/>
      <c r="G91" s="4" t="inlineStr"/>
    </row>
    <row r="92">
      <c r="A92" s="4" t="inlineStr">
        <is>
          <t>4.2.18-P4</t>
        </is>
      </c>
      <c r="B92" s="4" t="inlineStr">
        <is>
          <t>4.2.18</t>
        </is>
      </c>
      <c r="C92" s="4" t="inlineStr">
        <is>
          <t>medical_student</t>
        </is>
      </c>
      <c r="D92" s="4" t="inlineStr">
        <is>
          <t>Ask what happened immediately afterwards: whether they could continue, how fast it swelled and whether it locked.</t>
        </is>
      </c>
      <c r="E92" s="4" t="inlineStr"/>
      <c r="F92" s="4" t="inlineStr"/>
      <c r="G92" s="4" t="inlineStr"/>
    </row>
    <row r="93">
      <c r="A93" s="4" t="inlineStr">
        <is>
          <t>4.2.18-P5</t>
        </is>
      </c>
      <c r="B93" s="4" t="inlineStr">
        <is>
          <t>4.2.18</t>
        </is>
      </c>
      <c r="C93" s="4" t="inlineStr">
        <is>
          <t>medical_student</t>
        </is>
      </c>
      <c r="D93" s="4" t="inlineStr">
        <is>
          <t>Ask whether the knee had twisted before, since a recurrent twisting injury in a young patient raises underlying instability or patellar maltracking.</t>
        </is>
      </c>
      <c r="E93" s="4" t="inlineStr"/>
      <c r="F93" s="4" t="inlineStr"/>
      <c r="G93" s="4" t="inlineStr"/>
    </row>
    <row r="94">
      <c r="A94" s="4" t="inlineStr">
        <is>
          <t>4.2.18-P6</t>
        </is>
      </c>
      <c r="B94" s="4" t="inlineStr">
        <is>
          <t>4.2.18</t>
        </is>
      </c>
      <c r="C94" s="4" t="inlineStr">
        <is>
          <t>frcs</t>
        </is>
      </c>
      <c r="D94" s="4" t="inlineStr">
        <is>
          <t>A recurrent twisting injury in a young patient should prompt assessment for underlying rotational laxity or patellar instability rather than treatment of each episode in isolation.</t>
        </is>
      </c>
      <c r="E94" s="4" t="inlineStr"/>
      <c r="F94" s="4" t="inlineStr"/>
      <c r="G94" s="4" t="inlineStr"/>
    </row>
    <row r="95">
      <c r="A95" s="4" t="inlineStr">
        <is>
          <t>4.2.19-P1</t>
        </is>
      </c>
      <c r="B95" s="4" t="inlineStr">
        <is>
          <t>4.2.19</t>
        </is>
      </c>
      <c r="C95" s="4" t="inlineStr">
        <is>
          <t>medical_student</t>
        </is>
      </c>
      <c r="D95" s="4" t="inlineStr">
        <is>
          <t>Ask whether the knee went backwards or past straight, and whether they saw or felt it happen.</t>
        </is>
      </c>
      <c r="E95" s="4" t="inlineStr"/>
      <c r="F95" s="4" t="inlineStr"/>
      <c r="G95" s="4" t="inlineStr"/>
    </row>
    <row r="96">
      <c r="A96" s="4" t="inlineStr">
        <is>
          <t>4.2.19-P2</t>
        </is>
      </c>
      <c r="B96" s="4" t="inlineStr">
        <is>
          <t>4.2.19</t>
        </is>
      </c>
      <c r="C96" s="4" t="inlineStr">
        <is>
          <t>medical_student</t>
        </is>
      </c>
      <c r="D96" s="4" t="inlineStr">
        <is>
          <t>Ask whether they were kicking, landing, or stepping into something unexpected.</t>
        </is>
      </c>
      <c r="E96" s="4" t="inlineStr"/>
      <c r="F96" s="4" t="inlineStr"/>
      <c r="G96" s="4" t="inlineStr"/>
    </row>
    <row r="97">
      <c r="A97" s="4" t="inlineStr">
        <is>
          <t>4.2.19-P3</t>
        </is>
      </c>
      <c r="B97" s="4" t="inlineStr">
        <is>
          <t>4.2.19</t>
        </is>
      </c>
      <c r="C97" s="4" t="inlineStr">
        <is>
          <t>medical_student</t>
        </is>
      </c>
      <c r="D97" s="4" t="inlineStr">
        <is>
          <t>Ask whether the knee felt like it came apart, and whether it swelled immediately.</t>
        </is>
      </c>
      <c r="E97" s="4" t="inlineStr"/>
      <c r="F97" s="4" t="inlineStr"/>
      <c r="G97" s="4" t="inlineStr"/>
    </row>
    <row r="98">
      <c r="A98" s="4" t="inlineStr">
        <is>
          <t>4.2.19-P4</t>
        </is>
      </c>
      <c r="B98" s="4" t="inlineStr">
        <is>
          <t>4.2.19</t>
        </is>
      </c>
      <c r="C98" s="4" t="inlineStr">
        <is>
          <t>medical_student</t>
        </is>
      </c>
      <c r="D98" s="4" t="inlineStr">
        <is>
          <t>Ask about any numbness, tingling or weakness in the foot afterwards, because a nerve symptom raises the energy of the injury considerably.</t>
        </is>
      </c>
      <c r="E98" s="4" t="inlineStr"/>
      <c r="F98" s="4" t="inlineStr"/>
      <c r="G98" s="4" t="inlineStr"/>
    </row>
    <row r="99">
      <c r="A99" s="4" t="inlineStr">
        <is>
          <t>4.2.19-P5</t>
        </is>
      </c>
      <c r="B99" s="4" t="inlineStr">
        <is>
          <t>4.2.19</t>
        </is>
      </c>
      <c r="C99" s="4" t="inlineStr">
        <is>
          <t>medical_student</t>
        </is>
      </c>
      <c r="D99" s="4" t="inlineStr">
        <is>
          <t>Ask whether they can now fully straighten the knee and whether it feels like it goes back too far.</t>
        </is>
      </c>
      <c r="E99" s="4" t="inlineStr"/>
      <c r="F99" s="4" t="inlineStr"/>
      <c r="G99" s="4" t="inlineStr"/>
    </row>
    <row r="100">
      <c r="A100" s="4" t="inlineStr">
        <is>
          <t>4.2.20-P1</t>
        </is>
      </c>
      <c r="B100" s="4" t="inlineStr">
        <is>
          <t>4.2.20</t>
        </is>
      </c>
      <c r="C100" s="4" t="inlineStr">
        <is>
          <t>medical_student</t>
        </is>
      </c>
      <c r="D100" s="4" t="inlineStr">
        <is>
          <t>Ask what the knee hit and from what height, since energy matters more than the fact of the blow.</t>
        </is>
      </c>
      <c r="E100" s="4" t="inlineStr"/>
      <c r="F100" s="4" t="inlineStr"/>
      <c r="G100" s="4" t="inlineStr"/>
    </row>
    <row r="101">
      <c r="A101" s="4" t="inlineStr">
        <is>
          <t>4.2.20-P2</t>
        </is>
      </c>
      <c r="B101" s="4" t="inlineStr">
        <is>
          <t>4.2.20</t>
        </is>
      </c>
      <c r="C101" s="4" t="inlineStr">
        <is>
          <t>medical_student</t>
        </is>
      </c>
      <c r="D101" s="4" t="inlineStr">
        <is>
          <t>Ask whether the knee was bent or straight at the time, because a flexed knee presents the patella and an extended one presents the condyles.</t>
        </is>
      </c>
      <c r="E101" s="4" t="inlineStr"/>
      <c r="F101" s="4" t="inlineStr"/>
      <c r="G101" s="4" t="inlineStr"/>
    </row>
    <row r="102">
      <c r="A102" s="4" t="inlineStr">
        <is>
          <t>4.2.20-P3</t>
        </is>
      </c>
      <c r="B102" s="4" t="inlineStr">
        <is>
          <t>4.2.20</t>
        </is>
      </c>
      <c r="C102" s="4" t="inlineStr">
        <is>
          <t>medical_student</t>
        </is>
      </c>
      <c r="D102" s="4" t="inlineStr">
        <is>
          <t>Ask whether they can straighten the knee against gravity and whether they could stand up afterwards, which screens the extensor mechanism.</t>
        </is>
      </c>
      <c r="E102" s="4" t="inlineStr"/>
      <c r="F102" s="4" t="inlineStr"/>
      <c r="G102" s="4" t="inlineStr"/>
    </row>
    <row r="103">
      <c r="A103" s="4" t="inlineStr">
        <is>
          <t>4.2.20-P4</t>
        </is>
      </c>
      <c r="B103" s="4" t="inlineStr">
        <is>
          <t>4.2.20</t>
        </is>
      </c>
      <c r="C103" s="4" t="inlineStr">
        <is>
          <t>medical_student</t>
        </is>
      </c>
      <c r="D103" s="4" t="inlineStr">
        <is>
          <t>Ask about immediate swelling, bruising and whether the skin was broken.</t>
        </is>
      </c>
      <c r="E103" s="4" t="inlineStr"/>
      <c r="F103" s="4" t="inlineStr"/>
      <c r="G103" s="4" t="inlineStr"/>
    </row>
    <row r="104">
      <c r="A104" s="4" t="inlineStr">
        <is>
          <t>4.2.20-P5</t>
        </is>
      </c>
      <c r="B104" s="4" t="inlineStr">
        <is>
          <t>4.2.20</t>
        </is>
      </c>
      <c r="C104" s="4" t="inlineStr">
        <is>
          <t>medical_student</t>
        </is>
      </c>
      <c r="D104" s="4" t="inlineStr">
        <is>
          <t>Ask whether the knee has been injected or operated on recently, because an open or penetrating injury over a prosthetic or recently operated knee is urgent.</t>
        </is>
      </c>
      <c r="E104" s="4" t="inlineStr"/>
      <c r="F104" s="4" t="inlineStr"/>
      <c r="G104" s="4" t="inlineStr"/>
    </row>
    <row r="105">
      <c r="A105" s="4" t="inlineStr">
        <is>
          <t>4.2.21-P1</t>
        </is>
      </c>
      <c r="B105" s="4" t="inlineStr">
        <is>
          <t>4.2.21</t>
        </is>
      </c>
      <c r="C105" s="4" t="inlineStr">
        <is>
          <t>medical_student</t>
        </is>
      </c>
      <c r="D105" s="4" t="inlineStr">
        <is>
          <t>Ask whether the knee was bent and whether something struck the front of the shin rather than the knee itself.</t>
        </is>
      </c>
      <c r="E105" s="4" t="inlineStr"/>
      <c r="F105" s="4" t="inlineStr"/>
      <c r="G105" s="4" t="inlineStr"/>
    </row>
    <row r="106">
      <c r="A106" s="4" t="inlineStr">
        <is>
          <t>4.2.21-P2</t>
        </is>
      </c>
      <c r="B106" s="4" t="inlineStr">
        <is>
          <t>4.2.21</t>
        </is>
      </c>
      <c r="C106" s="4" t="inlineStr">
        <is>
          <t>medical_student</t>
        </is>
      </c>
      <c r="D106" s="4" t="inlineStr">
        <is>
          <t>Ask about the energy: a road traffic collision, a fall from height, or a sporting impact.</t>
        </is>
      </c>
      <c r="E106" s="4" t="inlineStr"/>
      <c r="F106" s="4" t="inlineStr"/>
      <c r="G106" s="4" t="inlineStr"/>
    </row>
    <row r="107">
      <c r="A107" s="4" t="inlineStr">
        <is>
          <t>4.2.21-P3</t>
        </is>
      </c>
      <c r="B107" s="4" t="inlineStr">
        <is>
          <t>4.2.21</t>
        </is>
      </c>
      <c r="C107" s="4" t="inlineStr">
        <is>
          <t>medical_student</t>
        </is>
      </c>
      <c r="D107" s="4" t="inlineStr">
        <is>
          <t>Ask about the hip and the femur, because a posteriorly directed force on a flexed knee also loads them and a hip dislocation or femoral fracture takes priority.</t>
        </is>
      </c>
      <c r="E107" s="4" t="inlineStr"/>
      <c r="F107" s="4" t="inlineStr"/>
      <c r="G107" s="4" t="inlineStr"/>
    </row>
    <row r="108">
      <c r="A108" s="4" t="inlineStr">
        <is>
          <t>4.2.21-P4</t>
        </is>
      </c>
      <c r="B108" s="4" t="inlineStr">
        <is>
          <t>4.2.21</t>
        </is>
      </c>
      <c r="C108" s="4" t="inlineStr">
        <is>
          <t>medical_student</t>
        </is>
      </c>
      <c r="D108" s="4" t="inlineStr">
        <is>
          <t>Ask about the foot and ankle, which are injured in the same events and are frequently missed.</t>
        </is>
      </c>
      <c r="E108" s="4" t="inlineStr"/>
      <c r="F108" s="4" t="inlineStr"/>
      <c r="G108" s="4" t="inlineStr"/>
    </row>
    <row r="109">
      <c r="A109" s="4" t="inlineStr">
        <is>
          <t>4.2.21-P5</t>
        </is>
      </c>
      <c r="B109" s="4" t="inlineStr">
        <is>
          <t>4.2.21</t>
        </is>
      </c>
      <c r="C109" s="4" t="inlineStr">
        <is>
          <t>medical_student</t>
        </is>
      </c>
      <c r="D109" s="4" t="inlineStr">
        <is>
          <t>Ask about numbness, tingling or weakness, and whether the knee was ever obviously out of shape.</t>
        </is>
      </c>
      <c r="E109" s="4" t="inlineStr"/>
      <c r="F109" s="4" t="inlineStr"/>
      <c r="G109" s="4" t="inlineStr"/>
    </row>
    <row r="110">
      <c r="A110" s="4" t="inlineStr">
        <is>
          <t>4.2.22-P1</t>
        </is>
      </c>
      <c r="B110" s="4" t="inlineStr">
        <is>
          <t>4.2.22</t>
        </is>
      </c>
      <c r="C110" s="4" t="inlineStr">
        <is>
          <t>medical_student</t>
        </is>
      </c>
      <c r="D110" s="4" t="inlineStr">
        <is>
          <t>Ask whether the kneecap came out of place, and whether they or anybody else saw it to the side.</t>
        </is>
      </c>
      <c r="E110" s="4" t="inlineStr"/>
      <c r="F110" s="4" t="inlineStr"/>
      <c r="G110" s="4" t="inlineStr"/>
    </row>
    <row r="111">
      <c r="A111" s="4" t="inlineStr">
        <is>
          <t>4.2.22-P2</t>
        </is>
      </c>
      <c r="B111" s="4" t="inlineStr">
        <is>
          <t>4.2.22</t>
        </is>
      </c>
      <c r="C111" s="4" t="inlineStr">
        <is>
          <t>medical_student</t>
        </is>
      </c>
      <c r="D111" s="4" t="inlineStr">
        <is>
          <t>Ask how it went back: spontaneously on straightening the leg, by the patient pushing it, or by somebody else.</t>
        </is>
      </c>
      <c r="E111" s="4" t="inlineStr"/>
      <c r="F111" s="4" t="inlineStr"/>
      <c r="G111" s="4" t="inlineStr"/>
    </row>
    <row r="112">
      <c r="A112" s="4" t="inlineStr">
        <is>
          <t>4.2.22-P3</t>
        </is>
      </c>
      <c r="B112" s="4" t="inlineStr">
        <is>
          <t>4.2.22</t>
        </is>
      </c>
      <c r="C112" s="4" t="inlineStr">
        <is>
          <t>medical_student</t>
        </is>
      </c>
      <c r="D112" s="4" t="inlineStr">
        <is>
          <t>Ask whether it has happened before, and whether the other knee has ever done it.</t>
        </is>
      </c>
      <c r="E112" s="4" t="inlineStr"/>
      <c r="F112" s="4" t="inlineStr"/>
      <c r="G112" s="4" t="inlineStr"/>
    </row>
    <row r="113">
      <c r="A113" s="4" t="inlineStr">
        <is>
          <t>4.2.22-P4</t>
        </is>
      </c>
      <c r="B113" s="4" t="inlineStr">
        <is>
          <t>4.2.22</t>
        </is>
      </c>
      <c r="C113" s="4" t="inlineStr">
        <is>
          <t>medical_student</t>
        </is>
      </c>
      <c r="D113" s="4" t="inlineStr">
        <is>
          <t>Ask about immediate swelling, which is usual after a first dislocation.</t>
        </is>
      </c>
      <c r="E113" s="4" t="inlineStr"/>
      <c r="F113" s="4" t="inlineStr"/>
      <c r="G113" s="4" t="inlineStr"/>
    </row>
    <row r="114">
      <c r="A114" s="4" t="inlineStr">
        <is>
          <t>4.2.22-P5</t>
        </is>
      </c>
      <c r="B114" s="4" t="inlineStr">
        <is>
          <t>4.2.22</t>
        </is>
      </c>
      <c r="C114" s="4" t="inlineStr">
        <is>
          <t>medical_student</t>
        </is>
      </c>
      <c r="D114" s="4" t="inlineStr">
        <is>
          <t>Ask about family history and about general flexibility, since both bear on why it happened.</t>
        </is>
      </c>
      <c r="E114" s="4" t="inlineStr"/>
      <c r="F114" s="4" t="inlineStr"/>
      <c r="G114" s="4" t="inlineStr"/>
    </row>
    <row r="115">
      <c r="A115" s="4" t="inlineStr">
        <is>
          <t>4.2.23-P1</t>
        </is>
      </c>
      <c r="B115" s="4" t="inlineStr">
        <is>
          <t>4.2.23</t>
        </is>
      </c>
      <c r="C115" s="4" t="inlineStr">
        <is>
          <t>medical_student</t>
        </is>
      </c>
      <c r="D115" s="4" t="inlineStr">
        <is>
          <t>Ask what level they play at, how many times a week, and whether they are paid.</t>
        </is>
      </c>
      <c r="E115" s="4" t="inlineStr"/>
      <c r="F115" s="4" t="inlineStr"/>
      <c r="G115" s="4" t="inlineStr"/>
    </row>
    <row r="116">
      <c r="A116" s="4" t="inlineStr">
        <is>
          <t>4.2.23-P2</t>
        </is>
      </c>
      <c r="B116" s="4" t="inlineStr">
        <is>
          <t>4.2.23</t>
        </is>
      </c>
      <c r="C116" s="4" t="inlineStr">
        <is>
          <t>medical_student</t>
        </is>
      </c>
      <c r="D116" s="4" t="inlineStr">
        <is>
          <t>Ask what position, since the demands differ.</t>
        </is>
      </c>
      <c r="E116" s="4" t="inlineStr"/>
      <c r="F116" s="4" t="inlineStr"/>
      <c r="G116" s="4" t="inlineStr"/>
    </row>
    <row r="117">
      <c r="A117" s="4" t="inlineStr">
        <is>
          <t>4.2.23-P3</t>
        </is>
      </c>
      <c r="B117" s="4" t="inlineStr">
        <is>
          <t>4.2.23</t>
        </is>
      </c>
      <c r="C117" s="4" t="inlineStr">
        <is>
          <t>medical_student</t>
        </is>
      </c>
      <c r="D117" s="4" t="inlineStr">
        <is>
          <t>Ask what surface: grass, artificial turf, or indoor, because the shoe and surface interaction affects the forces the knee sees.</t>
        </is>
      </c>
      <c r="E117" s="4" t="inlineStr"/>
      <c r="F117" s="4" t="inlineStr"/>
      <c r="G117" s="4" t="inlineStr"/>
    </row>
    <row r="118">
      <c r="A118" s="4" t="inlineStr">
        <is>
          <t>4.2.23-P4</t>
        </is>
      </c>
      <c r="B118" s="4" t="inlineStr">
        <is>
          <t>4.2.23</t>
        </is>
      </c>
      <c r="C118" s="4" t="inlineStr">
        <is>
          <t>medical_student</t>
        </is>
      </c>
      <c r="D118" s="4" t="inlineStr">
        <is>
          <t>Ask what boots and studs they use, which is a modifiable factor patients rarely mention.</t>
        </is>
      </c>
      <c r="E118" s="4" t="inlineStr"/>
      <c r="F118" s="4" t="inlineStr"/>
      <c r="G118" s="4" t="inlineStr"/>
    </row>
    <row r="119">
      <c r="A119" s="4" t="inlineStr">
        <is>
          <t>4.2.23-P5</t>
        </is>
      </c>
      <c r="B119" s="4" t="inlineStr">
        <is>
          <t>4.2.23</t>
        </is>
      </c>
      <c r="C119" s="4" t="inlineStr">
        <is>
          <t>medical_student</t>
        </is>
      </c>
      <c r="D119" s="4" t="inlineStr">
        <is>
          <t>Ask about the injury itself in the terms of the sport: turning, shooting, being tackled, or landing.</t>
        </is>
      </c>
      <c r="E119" s="4" t="inlineStr"/>
      <c r="F119" s="4" t="inlineStr"/>
      <c r="G119" s="4" t="inlineStr"/>
    </row>
    <row r="120">
      <c r="A120" s="4" t="inlineStr">
        <is>
          <t>4.2.23-P6</t>
        </is>
      </c>
      <c r="B120" s="4" t="inlineStr">
        <is>
          <t>4.2.23</t>
        </is>
      </c>
      <c r="C120" s="4" t="inlineStr">
        <is>
          <t>mrcs</t>
        </is>
      </c>
      <c r="D120" s="4" t="inlineStr">
        <is>
          <t>A footballer with a cruciate injury should be assessed deliberately for meniscal and chondral injury, because the mechanism produces them together and the meniscal injury is the one with a repair window.</t>
        </is>
      </c>
      <c r="E120" s="4" t="inlineStr"/>
      <c r="F120" s="4" t="inlineStr"/>
      <c r="G120" s="4" t="inlineStr"/>
    </row>
    <row r="121">
      <c r="A121" s="4" t="inlineStr">
        <is>
          <t>4.2.23-P7</t>
        </is>
      </c>
      <c r="B121" s="4" t="inlineStr">
        <is>
          <t>4.2.23</t>
        </is>
      </c>
      <c r="C121" s="4" t="inlineStr">
        <is>
          <t>frcs</t>
        </is>
      </c>
      <c r="D121" s="4" t="inlineStr">
        <is>
          <t>And a young player returning early to the same sport has a reinjury risk that should be discussed explicitly, since the contralateral knee is also at risk.</t>
        </is>
      </c>
      <c r="E121" s="4" t="inlineStr"/>
      <c r="F121" s="4" t="inlineStr"/>
      <c r="G121" s="4" t="inlineStr"/>
    </row>
    <row r="122">
      <c r="A122" s="4" t="inlineStr">
        <is>
          <t>4.2.23-P8</t>
        </is>
      </c>
      <c r="B122" s="4" t="inlineStr">
        <is>
          <t>4.2.23</t>
        </is>
      </c>
      <c r="C122" s="4" t="inlineStr">
        <is>
          <t>frcs</t>
        </is>
      </c>
      <c r="D122" s="4" t="inlineStr">
        <is>
          <t>- A club timetable is a real factor and not a clinical one, and should be named as such.</t>
        </is>
      </c>
      <c r="E122" s="4" t="inlineStr"/>
      <c r="F122" s="4" t="inlineStr"/>
      <c r="G122" s="4" t="inlineStr"/>
    </row>
    <row r="123">
      <c r="A123" s="4" t="inlineStr">
        <is>
          <t>4.2.23-P9</t>
        </is>
      </c>
      <c r="B123" s="4" t="inlineStr">
        <is>
          <t>4.2.23</t>
        </is>
      </c>
      <c r="C123" s="4" t="inlineStr">
        <is>
          <t>frcs</t>
        </is>
      </c>
      <c r="D123" s="4" t="inlineStr">
        <is>
          <t>- Early return carries a reinjury risk to both knees and should be discussed explicitly.</t>
        </is>
      </c>
      <c r="E123" s="4" t="inlineStr"/>
      <c r="F123" s="4" t="inlineStr"/>
      <c r="G123" s="4" t="inlineStr"/>
    </row>
    <row r="124">
      <c r="A124" s="4" t="inlineStr">
        <is>
          <t>4.2.24-P1</t>
        </is>
      </c>
      <c r="B124" s="4" t="inlineStr">
        <is>
          <t>4.2.24</t>
        </is>
      </c>
      <c r="C124" s="4" t="inlineStr">
        <is>
          <t>medical_student</t>
        </is>
      </c>
      <c r="D124" s="4" t="inlineStr">
        <is>
          <t>Ask what they do in the team: bowl, bat, field, or keep wicket, and how much of each.</t>
        </is>
      </c>
      <c r="E124" s="4" t="inlineStr"/>
      <c r="F124" s="4" t="inlineStr"/>
      <c r="G124" s="4" t="inlineStr"/>
    </row>
    <row r="125">
      <c r="A125" s="4" t="inlineStr">
        <is>
          <t>4.2.24-P2</t>
        </is>
      </c>
      <c r="B125" s="4" t="inlineStr">
        <is>
          <t>4.2.24</t>
        </is>
      </c>
      <c r="C125" s="4" t="inlineStr">
        <is>
          <t>medical_student</t>
        </is>
      </c>
      <c r="D125" s="4" t="inlineStr">
        <is>
          <t>Ask whether the pain is worse during the delivery stride, on landing, on turning for a run, or on diving.</t>
        </is>
      </c>
      <c r="E125" s="4" t="inlineStr"/>
      <c r="F125" s="4" t="inlineStr"/>
      <c r="G125" s="4" t="inlineStr"/>
    </row>
    <row r="126">
      <c r="A126" s="4" t="inlineStr">
        <is>
          <t>4.2.24-P3</t>
        </is>
      </c>
      <c r="B126" s="4" t="inlineStr">
        <is>
          <t>4.2.24</t>
        </is>
      </c>
      <c r="C126" s="4" t="inlineStr">
        <is>
          <t>medical_student</t>
        </is>
      </c>
      <c r="D126" s="4" t="inlineStr">
        <is>
          <t>Ask about the surface and the footwear, since spikes on a hard dry surface change the loading.</t>
        </is>
      </c>
      <c r="E126" s="4" t="inlineStr"/>
      <c r="F126" s="4" t="inlineStr"/>
      <c r="G126" s="4" t="inlineStr"/>
    </row>
    <row r="127">
      <c r="A127" s="4" t="inlineStr">
        <is>
          <t>4.2.24-P4</t>
        </is>
      </c>
      <c r="B127" s="4" t="inlineStr">
        <is>
          <t>4.2.24</t>
        </is>
      </c>
      <c r="C127" s="4" t="inlineStr">
        <is>
          <t>medical_student</t>
        </is>
      </c>
      <c r="D127" s="4" t="inlineStr">
        <is>
          <t>Ask about the back, hips and ankles, because bowling loads all of them and a knee symptom may be compensatory.</t>
        </is>
      </c>
      <c r="E127" s="4" t="inlineStr"/>
      <c r="F127" s="4" t="inlineStr"/>
      <c r="G127" s="4" t="inlineStr"/>
    </row>
    <row r="128">
      <c r="A128" s="4" t="inlineStr">
        <is>
          <t>4.2.25-P1</t>
        </is>
      </c>
      <c r="B128" s="4" t="inlineStr">
        <is>
          <t>4.2.25</t>
        </is>
      </c>
      <c r="C128" s="4" t="inlineStr">
        <is>
          <t>medical_student</t>
        </is>
      </c>
      <c r="D128" s="4" t="inlineStr">
        <is>
          <t>Ask the position and the level, and whether they are paid.</t>
        </is>
      </c>
      <c r="E128" s="4" t="inlineStr"/>
      <c r="F128" s="4" t="inlineStr"/>
      <c r="G128" s="4" t="inlineStr"/>
    </row>
    <row r="129">
      <c r="A129" s="4" t="inlineStr">
        <is>
          <t>4.2.25-P2</t>
        </is>
      </c>
      <c r="B129" s="4" t="inlineStr">
        <is>
          <t>4.2.25</t>
        </is>
      </c>
      <c r="C129" s="4" t="inlineStr">
        <is>
          <t>medical_student</t>
        </is>
      </c>
      <c r="D129" s="4" t="inlineStr">
        <is>
          <t>Ask what was happening: a tackle, a ruck, a maul, a scrum, or running in open play.</t>
        </is>
      </c>
      <c r="E129" s="4" t="inlineStr"/>
      <c r="F129" s="4" t="inlineStr"/>
      <c r="G129" s="4" t="inlineStr"/>
    </row>
    <row r="130">
      <c r="A130" s="4" t="inlineStr">
        <is>
          <t>4.2.25-P3</t>
        </is>
      </c>
      <c r="B130" s="4" t="inlineStr">
        <is>
          <t>4.2.25</t>
        </is>
      </c>
      <c r="C130" s="4" t="inlineStr">
        <is>
          <t>medical_student</t>
        </is>
      </c>
      <c r="D130" s="4" t="inlineStr">
        <is>
          <t>Ask whether anybody was on the leg, and where, because a player falling across a planted leg generates a very large valgus or varus force.</t>
        </is>
      </c>
      <c r="E130" s="4" t="inlineStr"/>
      <c r="F130" s="4" t="inlineStr"/>
      <c r="G130" s="4" t="inlineStr"/>
    </row>
    <row r="131">
      <c r="A131" s="4" t="inlineStr">
        <is>
          <t>4.2.25-P4</t>
        </is>
      </c>
      <c r="B131" s="4" t="inlineStr">
        <is>
          <t>4.2.25</t>
        </is>
      </c>
      <c r="C131" s="4" t="inlineStr">
        <is>
          <t>medical_student</t>
        </is>
      </c>
      <c r="D131" s="4" t="inlineStr">
        <is>
          <t>Ask whether the knee went out of shape and came back, which raises a dislocation.</t>
        </is>
      </c>
      <c r="E131" s="4" t="inlineStr"/>
      <c r="F131" s="4" t="inlineStr"/>
      <c r="G131" s="4" t="inlineStr"/>
    </row>
    <row r="132">
      <c r="A132" s="4" t="inlineStr">
        <is>
          <t>4.2.25-P5</t>
        </is>
      </c>
      <c r="B132" s="4" t="inlineStr">
        <is>
          <t>4.2.25</t>
        </is>
      </c>
      <c r="C132" s="4" t="inlineStr">
        <is>
          <t>medical_student</t>
        </is>
      </c>
      <c r="D132" s="4" t="inlineStr">
        <is>
          <t>Ask about numbness or weakness in the foot afterwards, since a peroneal symptom indicates a serious lateral side injury.</t>
        </is>
      </c>
      <c r="E132" s="4" t="inlineStr"/>
      <c r="F132" s="4" t="inlineStr"/>
      <c r="G132" s="4" t="inlineStr"/>
    </row>
    <row r="133">
      <c r="A133" s="4" t="inlineStr">
        <is>
          <t>4.2.25-P6</t>
        </is>
      </c>
      <c r="B133" s="4" t="inlineStr">
        <is>
          <t>4.2.25</t>
        </is>
      </c>
      <c r="C133" s="4" t="inlineStr">
        <is>
          <t>frcs</t>
        </is>
      </c>
      <c r="D133" s="4" t="inlineStr">
        <is>
          <t>A player intending to return to contact is accepting a reinjury risk that should be stated, and the history of their intended level is what makes that conversation concrete.</t>
        </is>
      </c>
      <c r="E133" s="4" t="inlineStr"/>
      <c r="F133" s="4" t="inlineStr"/>
      <c r="G133" s="4" t="inlineStr"/>
    </row>
    <row r="134">
      <c r="A134" s="4" t="inlineStr">
        <is>
          <t>4.2.25-P7</t>
        </is>
      </c>
      <c r="B134" s="4" t="inlineStr">
        <is>
          <t>4.2.25</t>
        </is>
      </c>
      <c r="C134" s="4" t="inlineStr">
        <is>
          <t>frcs</t>
        </is>
      </c>
      <c r="D134" s="4" t="inlineStr">
        <is>
          <t>And an academy or schoolboy player has a growth plate that may fail instead of the ligament, and the history of a contact injury in a skeletally immature player should prompt that assessment.</t>
        </is>
      </c>
      <c r="E134" s="4" t="inlineStr"/>
      <c r="F134" s="4" t="inlineStr"/>
      <c r="G134" s="4" t="inlineStr"/>
    </row>
    <row r="135">
      <c r="A135" s="4" t="inlineStr">
        <is>
          <t>4.2.25-P8</t>
        </is>
      </c>
      <c r="B135" s="4" t="inlineStr">
        <is>
          <t>4.2.25</t>
        </is>
      </c>
      <c r="C135" s="4" t="inlineStr">
        <is>
          <t>frcs</t>
        </is>
      </c>
      <c r="D135" s="4" t="inlineStr">
        <is>
          <t>A player returning to contact accepts a reinjury risk that should be stated explicitly.</t>
        </is>
      </c>
      <c r="E135" s="4" t="inlineStr"/>
      <c r="F135" s="4" t="inlineStr"/>
      <c r="G135" s="4" t="inlineStr"/>
    </row>
    <row r="136">
      <c r="A136" s="4" t="inlineStr">
        <is>
          <t>4.2.26-P1</t>
        </is>
      </c>
      <c r="B136" s="4" t="inlineStr">
        <is>
          <t>4.2.26</t>
        </is>
      </c>
      <c r="C136" s="4" t="inlineStr">
        <is>
          <t>medical_student</t>
        </is>
      </c>
      <c r="D136" s="4" t="inlineStr">
        <is>
          <t>Ask whether the bindings released, because a binding that did not release transmitted the whole force to the knee.</t>
        </is>
      </c>
      <c r="E136" s="4" t="inlineStr"/>
      <c r="F136" s="4" t="inlineStr"/>
      <c r="G136" s="4" t="inlineStr"/>
    </row>
    <row r="137">
      <c r="A137" s="4" t="inlineStr">
        <is>
          <t>4.2.26-P2</t>
        </is>
      </c>
      <c r="B137" s="4" t="inlineStr">
        <is>
          <t>4.2.26</t>
        </is>
      </c>
      <c r="C137" s="4" t="inlineStr">
        <is>
          <t>medical_student</t>
        </is>
      </c>
      <c r="D137" s="4" t="inlineStr">
        <is>
          <t>Ask about the fall: a slow twisting fall, a backward fall onto the tails of the skis, or a high speed fall.</t>
        </is>
      </c>
      <c r="E137" s="4" t="inlineStr"/>
      <c r="F137" s="4" t="inlineStr"/>
      <c r="G137" s="4" t="inlineStr"/>
    </row>
    <row r="138">
      <c r="A138" s="4" t="inlineStr">
        <is>
          <t>4.2.26-P3</t>
        </is>
      </c>
      <c r="B138" s="4" t="inlineStr">
        <is>
          <t>4.2.26</t>
        </is>
      </c>
      <c r="C138" s="4" t="inlineStr">
        <is>
          <t>medical_student</t>
        </is>
      </c>
      <c r="D138" s="4" t="inlineStr">
        <is>
          <t>Ask about ability and conditions, since a beginner falling slowly and an expert falling fast produce different injuries.</t>
        </is>
      </c>
      <c r="E138" s="4" t="inlineStr"/>
      <c r="F138" s="4" t="inlineStr"/>
      <c r="G138" s="4" t="inlineStr"/>
    </row>
    <row r="139">
      <c r="A139" s="4" t="inlineStr">
        <is>
          <t>4.2.26-P4</t>
        </is>
      </c>
      <c r="B139" s="4" t="inlineStr">
        <is>
          <t>4.2.26</t>
        </is>
      </c>
      <c r="C139" s="4" t="inlineStr">
        <is>
          <t>medical_student</t>
        </is>
      </c>
      <c r="D139" s="4" t="inlineStr">
        <is>
          <t>Ask whether they could ski down or needed to be taken off the mountain.</t>
        </is>
      </c>
      <c r="E139" s="4" t="inlineStr"/>
      <c r="F139" s="4" t="inlineStr"/>
      <c r="G139" s="4" t="inlineStr"/>
    </row>
    <row r="140">
      <c r="A140" s="4" t="inlineStr">
        <is>
          <t>4.2.26-P5</t>
        </is>
      </c>
      <c r="B140" s="4" t="inlineStr">
        <is>
          <t>4.2.26</t>
        </is>
      </c>
      <c r="C140" s="4" t="inlineStr">
        <is>
          <t>medical_student</t>
        </is>
      </c>
      <c r="D140" s="4" t="inlineStr">
        <is>
          <t>Ask about swelling timing as always.</t>
        </is>
      </c>
      <c r="E140" s="4" t="inlineStr"/>
      <c r="F140" s="4" t="inlineStr"/>
      <c r="G140" s="4" t="inlineStr"/>
    </row>
    <row r="141">
      <c r="A141" s="4" t="inlineStr">
        <is>
          <t>4.2.26-P6</t>
        </is>
      </c>
      <c r="B141" s="4" t="inlineStr">
        <is>
          <t>4.2.26</t>
        </is>
      </c>
      <c r="C141" s="4" t="inlineStr">
        <is>
          <t>frcs</t>
        </is>
      </c>
      <c r="D141" s="4" t="inlineStr">
        <is>
          <t>The timing of the ski season is a legitimate factor in elective planning and should be named as a preference rather than disguised as a clinical reason.</t>
        </is>
      </c>
      <c r="E141" s="4" t="inlineStr"/>
      <c r="F141" s="4" t="inlineStr"/>
      <c r="G141" s="4" t="inlineStr"/>
    </row>
    <row r="142">
      <c r="A142" s="4" t="inlineStr">
        <is>
          <t>4.2.27-P1</t>
        </is>
      </c>
      <c r="B142" s="4" t="inlineStr">
        <is>
          <t>4.2.27</t>
        </is>
      </c>
      <c r="C142" s="4" t="inlineStr">
        <is>
          <t>medical_student</t>
        </is>
      </c>
      <c r="D142" s="4" t="inlineStr">
        <is>
          <t>Ask weekly mileage now and three months ago, because the change matters more than the number.</t>
        </is>
      </c>
      <c r="E142" s="4" t="inlineStr"/>
      <c r="F142" s="4" t="inlineStr"/>
      <c r="G142" s="4" t="inlineStr"/>
    </row>
    <row r="143">
      <c r="A143" s="4" t="inlineStr">
        <is>
          <t>4.2.27-P2</t>
        </is>
      </c>
      <c r="B143" s="4" t="inlineStr">
        <is>
          <t>4.2.27</t>
        </is>
      </c>
      <c r="C143" s="4" t="inlineStr">
        <is>
          <t>medical_student</t>
        </is>
      </c>
      <c r="D143" s="4" t="inlineStr">
        <is>
          <t>Ask about surface, gradient, footwear age and any change in any of them.</t>
        </is>
      </c>
      <c r="E143" s="4" t="inlineStr"/>
      <c r="F143" s="4" t="inlineStr"/>
      <c r="G143" s="4" t="inlineStr"/>
    </row>
    <row r="144">
      <c r="A144" s="4" t="inlineStr">
        <is>
          <t>4.2.27-P3</t>
        </is>
      </c>
      <c r="B144" s="4" t="inlineStr">
        <is>
          <t>4.2.27</t>
        </is>
      </c>
      <c r="C144" s="4" t="inlineStr">
        <is>
          <t>medical_student</t>
        </is>
      </c>
      <c r="D144" s="4" t="inlineStr">
        <is>
          <t>Ask about pace and session type, since interval and hill work load differently from steady running.</t>
        </is>
      </c>
      <c r="E144" s="4" t="inlineStr"/>
      <c r="F144" s="4" t="inlineStr"/>
      <c r="G144" s="4" t="inlineStr"/>
    </row>
    <row r="145">
      <c r="A145" s="4" t="inlineStr">
        <is>
          <t>4.2.27-P4</t>
        </is>
      </c>
      <c r="B145" s="4" t="inlineStr">
        <is>
          <t>4.2.27</t>
        </is>
      </c>
      <c r="C145" s="4" t="inlineStr">
        <is>
          <t>medical_student</t>
        </is>
      </c>
      <c r="D145" s="4" t="inlineStr">
        <is>
          <t>Ask when in a run the pain comes on and whether it stops them, because pain that appears at a consistent distance behaves differently from pain present from the start.</t>
        </is>
      </c>
      <c r="E145" s="4" t="inlineStr"/>
      <c r="F145" s="4" t="inlineStr"/>
      <c r="G145" s="4" t="inlineStr"/>
    </row>
    <row r="146">
      <c r="A146" s="4" t="inlineStr">
        <is>
          <t>4.2.27-P5</t>
        </is>
      </c>
      <c r="B146" s="4" t="inlineStr">
        <is>
          <t>4.2.27</t>
        </is>
      </c>
      <c r="C146" s="4" t="inlineStr">
        <is>
          <t>medical_student</t>
        </is>
      </c>
      <c r="D146" s="4" t="inlineStr">
        <is>
          <t>Ask about the hip and the foot, because both change knee loading and both are modifiable.</t>
        </is>
      </c>
      <c r="E146" s="4" t="inlineStr"/>
      <c r="F146" s="4" t="inlineStr"/>
      <c r="G146" s="4" t="inlineStr"/>
    </row>
    <row r="147">
      <c r="A147" s="4" t="inlineStr">
        <is>
          <t>4.2.27-P6</t>
        </is>
      </c>
      <c r="B147" s="4" t="inlineStr">
        <is>
          <t>4.2.27</t>
        </is>
      </c>
      <c r="C147" s="4" t="inlineStr">
        <is>
          <t>mrcs</t>
        </is>
      </c>
      <c r="D147" s="4" t="inlineStr">
        <is>
          <t>The relationship between recreational running and degenerative change is not established, which 3.15.7 states plainly, and a runner should not be told their running caused their arthritis on this evidence.</t>
        </is>
      </c>
      <c r="E147" s="4" t="inlineStr"/>
      <c r="F147" s="4" t="inlineStr"/>
      <c r="G147" s="4" t="inlineStr"/>
    </row>
    <row r="148">
      <c r="A148" s="4" t="inlineStr">
        <is>
          <t>4.2.27-P7</t>
        </is>
      </c>
      <c r="B148" s="4" t="inlineStr">
        <is>
          <t>4.2.27</t>
        </is>
      </c>
      <c r="C148" s="4" t="inlineStr">
        <is>
          <t>frcs</t>
        </is>
      </c>
      <c r="D148" s="4" t="inlineStr">
        <is>
          <t>A runner with a genuine mechanical symptom is a different matter and should be assessed as any other patient with one.</t>
        </is>
      </c>
      <c r="E148" s="4" t="inlineStr"/>
      <c r="F148" s="4" t="inlineStr"/>
      <c r="G148" s="4" t="inlineStr"/>
    </row>
    <row r="149">
      <c r="A149" s="4" t="inlineStr">
        <is>
          <t>4.2.28-P1</t>
        </is>
      </c>
      <c r="B149" s="4" t="inlineStr">
        <is>
          <t>4.2.28</t>
        </is>
      </c>
      <c r="C149" s="4" t="inlineStr">
        <is>
          <t>medical_student</t>
        </is>
      </c>
      <c r="D149" s="4" t="inlineStr">
        <is>
          <t>Ask the level, the frequency and the surface: hard court, clay, grass or indoor.</t>
        </is>
      </c>
      <c r="E149" s="4" t="inlineStr"/>
      <c r="F149" s="4" t="inlineStr"/>
      <c r="G149" s="4" t="inlineStr"/>
    </row>
    <row r="150">
      <c r="A150" s="4" t="inlineStr">
        <is>
          <t>4.2.28-P2</t>
        </is>
      </c>
      <c r="B150" s="4" t="inlineStr">
        <is>
          <t>4.2.28</t>
        </is>
      </c>
      <c r="C150" s="4" t="inlineStr">
        <is>
          <t>medical_student</t>
        </is>
      </c>
      <c r="D150" s="4" t="inlineStr">
        <is>
          <t>Ask whether the problem began during a specific shot or point, or built up over weeks.</t>
        </is>
      </c>
      <c r="E150" s="4" t="inlineStr"/>
      <c r="F150" s="4" t="inlineStr"/>
      <c r="G150" s="4" t="inlineStr"/>
    </row>
    <row r="151">
      <c r="A151" s="4" t="inlineStr">
        <is>
          <t>4.2.28-P3</t>
        </is>
      </c>
      <c r="B151" s="4" t="inlineStr">
        <is>
          <t>4.2.28</t>
        </is>
      </c>
      <c r="C151" s="4" t="inlineStr">
        <is>
          <t>medical_student</t>
        </is>
      </c>
      <c r="D151" s="4" t="inlineStr">
        <is>
          <t>Ask about the serve, since the knee is loaded in deep flexion and then extended explosively.</t>
        </is>
      </c>
      <c r="E151" s="4" t="inlineStr"/>
      <c r="F151" s="4" t="inlineStr"/>
      <c r="G151" s="4" t="inlineStr"/>
    </row>
    <row r="152">
      <c r="A152" s="4" t="inlineStr">
        <is>
          <t>4.2.28-P4</t>
        </is>
      </c>
      <c r="B152" s="4" t="inlineStr">
        <is>
          <t>4.2.28</t>
        </is>
      </c>
      <c r="C152" s="4" t="inlineStr">
        <is>
          <t>medical_student</t>
        </is>
      </c>
      <c r="D152" s="4" t="inlineStr">
        <is>
          <t>Ask about lunging and sliding, because a slide on clay unloads the knee rotationally and a hard court does not.</t>
        </is>
      </c>
      <c r="E152" s="4" t="inlineStr"/>
      <c r="F152" s="4" t="inlineStr"/>
      <c r="G152" s="4" t="inlineStr"/>
    </row>
    <row r="153">
      <c r="A153" s="4" t="inlineStr">
        <is>
          <t>4.2.28-P5</t>
        </is>
      </c>
      <c r="B153" s="4" t="inlineStr">
        <is>
          <t>4.2.28</t>
        </is>
      </c>
      <c r="C153" s="4" t="inlineStr">
        <is>
          <t>medical_student</t>
        </is>
      </c>
      <c r="D153" s="4" t="inlineStr">
        <is>
          <t>Ask about footwear, which on a hard court is a genuine variable.</t>
        </is>
      </c>
      <c r="E153" s="4" t="inlineStr"/>
      <c r="F153" s="4" t="inlineStr"/>
      <c r="G153" s="4" t="inlineStr"/>
    </row>
    <row r="154">
      <c r="A154" s="4" t="inlineStr">
        <is>
          <t>4.2.29-P1</t>
        </is>
      </c>
      <c r="B154" s="4" t="inlineStr">
        <is>
          <t>4.2.29</t>
        </is>
      </c>
      <c r="C154" s="4" t="inlineStr">
        <is>
          <t>medical_student</t>
        </is>
      </c>
      <c r="D154" s="4" t="inlineStr">
        <is>
          <t>Ask whether the injury happened on landing, on a cut, or on contact.</t>
        </is>
      </c>
      <c r="E154" s="4" t="inlineStr"/>
      <c r="F154" s="4" t="inlineStr"/>
      <c r="G154" s="4" t="inlineStr"/>
    </row>
    <row r="155">
      <c r="A155" s="4" t="inlineStr">
        <is>
          <t>4.2.29-P2</t>
        </is>
      </c>
      <c r="B155" s="4" t="inlineStr">
        <is>
          <t>4.2.29</t>
        </is>
      </c>
      <c r="C155" s="4" t="inlineStr">
        <is>
          <t>medical_student</t>
        </is>
      </c>
      <c r="D155" s="4" t="inlineStr">
        <is>
          <t>Ask whether they landed on one leg or two, because single leg landing is the higher risk pattern.</t>
        </is>
      </c>
      <c r="E155" s="4" t="inlineStr"/>
      <c r="F155" s="4" t="inlineStr"/>
      <c r="G155" s="4" t="inlineStr"/>
    </row>
    <row r="156">
      <c r="A156" s="4" t="inlineStr">
        <is>
          <t>4.2.29-P3</t>
        </is>
      </c>
      <c r="B156" s="4" t="inlineStr">
        <is>
          <t>4.2.29</t>
        </is>
      </c>
      <c r="C156" s="4" t="inlineStr">
        <is>
          <t>medical_student</t>
        </is>
      </c>
      <c r="D156" s="4" t="inlineStr">
        <is>
          <t>Ask about jumping volume and whether it has recently increased, for the overuse presentations.</t>
        </is>
      </c>
      <c r="E156" s="4" t="inlineStr"/>
      <c r="F156" s="4" t="inlineStr"/>
      <c r="G156" s="4" t="inlineStr"/>
    </row>
    <row r="157">
      <c r="A157" s="4" t="inlineStr">
        <is>
          <t>4.2.29-P4</t>
        </is>
      </c>
      <c r="B157" s="4" t="inlineStr">
        <is>
          <t>4.2.29</t>
        </is>
      </c>
      <c r="C157" s="4" t="inlineStr">
        <is>
          <t>medical_student</t>
        </is>
      </c>
      <c r="D157" s="4" t="inlineStr">
        <is>
          <t>Ask about the floor and the footwear, and about how old the shoes are.</t>
        </is>
      </c>
      <c r="E157" s="4" t="inlineStr"/>
      <c r="F157" s="4" t="inlineStr"/>
      <c r="G157" s="4" t="inlineStr"/>
    </row>
    <row r="158">
      <c r="A158" s="4" t="inlineStr">
        <is>
          <t>4.2.29-P5</t>
        </is>
      </c>
      <c r="B158" s="4" t="inlineStr">
        <is>
          <t>4.2.29</t>
        </is>
      </c>
      <c r="C158" s="4" t="inlineStr">
        <is>
          <t>medical_student</t>
        </is>
      </c>
      <c r="D158" s="4" t="inlineStr">
        <is>
          <t>Ask about growth in an adolescent player, since a recent growth spurt changes both the differential and the loading.</t>
        </is>
      </c>
      <c r="E158" s="4" t="inlineStr"/>
      <c r="F158" s="4" t="inlineStr"/>
      <c r="G158" s="4" t="inlineStr"/>
    </row>
    <row r="159">
      <c r="A159" s="4" t="inlineStr">
        <is>
          <t>4.2.29-P6</t>
        </is>
      </c>
      <c r="B159" s="4" t="inlineStr">
        <is>
          <t>4.2.29</t>
        </is>
      </c>
      <c r="C159" s="4" t="inlineStr">
        <is>
          <t>frcs</t>
        </is>
      </c>
      <c r="D159" s="4" t="inlineStr">
        <is>
          <t>A young athlete returning to jumping and cutting carries a reinjury risk and a risk to the other knee, and both should be stated.</t>
        </is>
      </c>
      <c r="E159" s="4" t="inlineStr"/>
      <c r="F159" s="4" t="inlineStr"/>
      <c r="G159" s="4" t="inlineStr"/>
    </row>
    <row r="160">
      <c r="A160" s="4" t="inlineStr">
        <is>
          <t>4.2.29-P7</t>
        </is>
      </c>
      <c r="B160" s="4" t="inlineStr">
        <is>
          <t>4.2.29</t>
        </is>
      </c>
      <c r="C160" s="4" t="inlineStr">
        <is>
          <t>frcs</t>
        </is>
      </c>
      <c r="D160" s="4" t="inlineStr">
        <is>
          <t>A young athlete returning carries a risk to both knees, and both should be stated.</t>
        </is>
      </c>
      <c r="E160" s="4" t="inlineStr"/>
      <c r="F160" s="4" t="inlineStr"/>
      <c r="G160" s="4" t="inlineStr"/>
    </row>
    <row r="161">
      <c r="A161" s="4" t="inlineStr">
        <is>
          <t>4.2.30-P1</t>
        </is>
      </c>
      <c r="B161" s="4" t="inlineStr">
        <is>
          <t>4.2.30</t>
        </is>
      </c>
      <c r="C161" s="4" t="inlineStr">
        <is>
          <t>medical_student</t>
        </is>
      </c>
      <c r="D161" s="4" t="inlineStr">
        <is>
          <t>Ask what operations, on which knee, and in what order.</t>
        </is>
      </c>
      <c r="E161" s="4" t="inlineStr"/>
      <c r="F161" s="4" t="inlineStr"/>
      <c r="G161" s="4" t="inlineStr"/>
    </row>
    <row r="162">
      <c r="A162" s="4" t="inlineStr">
        <is>
          <t>4.2.30-P2</t>
        </is>
      </c>
      <c r="B162" s="4" t="inlineStr">
        <is>
          <t>4.2.30</t>
        </is>
      </c>
      <c r="C162" s="4" t="inlineStr">
        <is>
          <t>medical_student</t>
        </is>
      </c>
      <c r="D162" s="4" t="inlineStr">
        <is>
          <t>Ask when each one was, in years, and what each one was for.</t>
        </is>
      </c>
      <c r="E162" s="4" t="inlineStr"/>
      <c r="F162" s="4" t="inlineStr"/>
      <c r="G162" s="4" t="inlineStr"/>
    </row>
    <row r="163">
      <c r="A163" s="4" t="inlineStr">
        <is>
          <t>4.2.30-P3</t>
        </is>
      </c>
      <c r="B163" s="4" t="inlineStr">
        <is>
          <t>4.2.30</t>
        </is>
      </c>
      <c r="C163" s="4" t="inlineStr">
        <is>
          <t>medical_student</t>
        </is>
      </c>
      <c r="D163" s="4" t="inlineStr">
        <is>
          <t>Ask what happened afterwards: whether the symptom went, how long for, and whether something different came back.</t>
        </is>
      </c>
      <c r="E163" s="4" t="inlineStr"/>
      <c r="F163" s="4" t="inlineStr"/>
      <c r="G163" s="4" t="inlineStr"/>
    </row>
    <row r="164">
      <c r="A164" s="4" t="inlineStr">
        <is>
          <t>4.2.30-P4</t>
        </is>
      </c>
      <c r="B164" s="4" t="inlineStr">
        <is>
          <t>4.2.30</t>
        </is>
      </c>
      <c r="C164" s="4" t="inlineStr">
        <is>
          <t>medical_student</t>
        </is>
      </c>
      <c r="D164" s="4" t="inlineStr">
        <is>
          <t>Ask what they were told was found, accepting that this is their recollection of a conversation rather than an operation note.</t>
        </is>
      </c>
      <c r="E164" s="4" t="inlineStr"/>
      <c r="F164" s="4" t="inlineStr"/>
      <c r="G164" s="4" t="inlineStr"/>
    </row>
    <row r="165">
      <c r="A165" s="4" t="inlineStr">
        <is>
          <t>4.2.30-P5</t>
        </is>
      </c>
      <c r="B165" s="4" t="inlineStr">
        <is>
          <t>4.2.30</t>
        </is>
      </c>
      <c r="C165" s="4" t="inlineStr">
        <is>
          <t>medical_student</t>
        </is>
      </c>
      <c r="D165" s="4" t="inlineStr">
        <is>
          <t>Ask to see the scars and count them against the account, because the scars are the one part of the surgical history that cannot be misremembered.</t>
        </is>
      </c>
      <c r="E165" s="4" t="inlineStr"/>
      <c r="F165" s="4" t="inlineStr"/>
      <c r="G165" s="4" t="inlineStr"/>
    </row>
    <row r="166">
      <c r="A166" s="4" t="inlineStr">
        <is>
          <t>4.2.30-P6</t>
        </is>
      </c>
      <c r="B166" s="4" t="inlineStr">
        <is>
          <t>4.2.30</t>
        </is>
      </c>
      <c r="C166" s="4" t="inlineStr">
        <is>
          <t>mrcs</t>
        </is>
      </c>
      <c r="D166" s="4" t="inlineStr">
        <is>
          <t>The surgical history performs well for what to look for and badly for what was actually done, because patient recall of operative detail is poor and should not be relied upon.</t>
        </is>
      </c>
      <c r="E166" s="4" t="inlineStr"/>
      <c r="F166" s="4" t="inlineStr"/>
      <c r="G166" s="4" t="inlineStr"/>
    </row>
    <row r="167">
      <c r="A167" s="4" t="inlineStr">
        <is>
          <t>4.2.31-P1</t>
        </is>
      </c>
      <c r="B167" s="4" t="inlineStr">
        <is>
          <t>4.2.31</t>
        </is>
      </c>
      <c r="C167" s="4" t="inlineStr">
        <is>
          <t>medical_student</t>
        </is>
      </c>
      <c r="D167" s="4" t="inlineStr">
        <is>
          <t>Ask what was injected: a steroid, a local anaesthetic, hyaluronic acid, platelet rich plasma, or something they cannot name.</t>
        </is>
      </c>
      <c r="E167" s="4" t="inlineStr"/>
      <c r="F167" s="4" t="inlineStr"/>
      <c r="G167" s="4" t="inlineStr"/>
    </row>
    <row r="168">
      <c r="A168" s="4" t="inlineStr">
        <is>
          <t>4.2.31-P2</t>
        </is>
      </c>
      <c r="B168" s="4" t="inlineStr">
        <is>
          <t>4.2.31</t>
        </is>
      </c>
      <c r="C168" s="4" t="inlineStr">
        <is>
          <t>medical_student</t>
        </is>
      </c>
      <c r="D168" s="4" t="inlineStr">
        <is>
          <t>Ask where: into the joint, around a tendon, or into a bursa, since these are different tests with different meanings.</t>
        </is>
      </c>
      <c r="E168" s="4" t="inlineStr"/>
      <c r="F168" s="4" t="inlineStr"/>
      <c r="G168" s="4" t="inlineStr"/>
    </row>
    <row r="169">
      <c r="A169" s="4" t="inlineStr">
        <is>
          <t>4.2.31-P3</t>
        </is>
      </c>
      <c r="B169" s="4" t="inlineStr">
        <is>
          <t>4.2.31</t>
        </is>
      </c>
      <c r="C169" s="4" t="inlineStr">
        <is>
          <t>medical_student</t>
        </is>
      </c>
      <c r="D169" s="4" t="inlineStr">
        <is>
          <t>Ask how many, over what period, and when the most recent one was.</t>
        </is>
      </c>
      <c r="E169" s="4" t="inlineStr"/>
      <c r="F169" s="4" t="inlineStr"/>
      <c r="G169" s="4" t="inlineStr"/>
    </row>
    <row r="170">
      <c r="A170" s="4" t="inlineStr">
        <is>
          <t>4.2.31-P4</t>
        </is>
      </c>
      <c r="B170" s="4" t="inlineStr">
        <is>
          <t>4.2.31</t>
        </is>
      </c>
      <c r="C170" s="4" t="inlineStr">
        <is>
          <t>medical_student</t>
        </is>
      </c>
      <c r="D170" s="4" t="inlineStr">
        <is>
          <t>Ask what happened: immediate relief, delayed relief, no relief, or worse.</t>
        </is>
      </c>
      <c r="E170" s="4" t="inlineStr"/>
      <c r="F170" s="4" t="inlineStr"/>
      <c r="G170" s="4" t="inlineStr"/>
    </row>
    <row r="171">
      <c r="A171" s="4" t="inlineStr">
        <is>
          <t>4.2.31-P5</t>
        </is>
      </c>
      <c r="B171" s="4" t="inlineStr">
        <is>
          <t>4.2.31</t>
        </is>
      </c>
      <c r="C171" s="4" t="inlineStr">
        <is>
          <t>medical_student</t>
        </is>
      </c>
      <c r="D171" s="4" t="inlineStr">
        <is>
          <t>Ask specifically whether the knee became hot, swollen or more painful in the days afterwards, and whether they needed antibiotics or admission.</t>
        </is>
      </c>
      <c r="E171" s="4" t="inlineStr"/>
      <c r="F171" s="4" t="inlineStr"/>
      <c r="G171" s="4" t="inlineStr"/>
    </row>
    <row r="172">
      <c r="A172" s="4" t="inlineStr">
        <is>
          <t>4.2.31-P6</t>
        </is>
      </c>
      <c r="B172" s="4" t="inlineStr">
        <is>
          <t>4.2.31</t>
        </is>
      </c>
      <c r="C172" s="4" t="inlineStr">
        <is>
          <t>mrcs</t>
        </is>
      </c>
      <c r="D172" s="4" t="inlineStr">
        <is>
          <t>An injection into a joint that gave no relief at all should prompt review of whether the injection reached the joint, since a blind injection does not always.</t>
        </is>
      </c>
      <c r="E172" s="4" t="inlineStr"/>
      <c r="F172" s="4" t="inlineStr"/>
      <c r="G172" s="4" t="inlineStr"/>
    </row>
    <row r="173">
      <c r="A173" s="4" t="inlineStr">
        <is>
          <t>4.2.31-P7</t>
        </is>
      </c>
      <c r="B173" s="4" t="inlineStr">
        <is>
          <t>4.2.31</t>
        </is>
      </c>
      <c r="C173" s="4" t="inlineStr">
        <is>
          <t>mrcs</t>
        </is>
      </c>
      <c r="D173" s="4" t="inlineStr">
        <is>
          <t>- No relief at all should prompt review of whether the injection reached the joint.</t>
        </is>
      </c>
      <c r="E173" s="4" t="inlineStr"/>
      <c r="F173" s="4" t="inlineStr"/>
      <c r="G173" s="4" t="inlineStr"/>
    </row>
    <row r="174">
      <c r="A174" s="4" t="inlineStr">
        <is>
          <t>4.2.31-P8</t>
        </is>
      </c>
      <c r="B174" s="4" t="inlineStr">
        <is>
          <t>4.2.31</t>
        </is>
      </c>
      <c r="C174" s="4" t="inlineStr">
        <is>
          <t>frcs</t>
        </is>
      </c>
      <c r="D174" s="4" t="inlineStr">
        <is>
          <t>A patient whose pain has never responded to any injection, with modest imaging findings, should prompt a broader assessment rather than a mechanical operation.</t>
        </is>
      </c>
      <c r="E174" s="4" t="inlineStr"/>
      <c r="F174" s="4" t="inlineStr"/>
      <c r="G174" s="4" t="inlineStr"/>
    </row>
    <row r="175">
      <c r="A175" s="4" t="inlineStr">
        <is>
          <t>4.2.32-P1</t>
        </is>
      </c>
      <c r="B175" s="4" t="inlineStr">
        <is>
          <t>4.2.32</t>
        </is>
      </c>
      <c r="C175" s="4" t="inlineStr">
        <is>
          <t>medical_student</t>
        </is>
      </c>
      <c r="D175" s="4" t="inlineStr">
        <is>
          <t>Ask whether they have had physiotherapy, then ask how many sessions and over how long.</t>
        </is>
      </c>
      <c r="E175" s="4" t="inlineStr"/>
      <c r="F175" s="4" t="inlineStr"/>
      <c r="G175" s="4" t="inlineStr"/>
    </row>
    <row r="176">
      <c r="A176" s="4" t="inlineStr">
        <is>
          <t>4.2.32-P2</t>
        </is>
      </c>
      <c r="B176" s="4" t="inlineStr">
        <is>
          <t>4.2.32</t>
        </is>
      </c>
      <c r="C176" s="4" t="inlineStr">
        <is>
          <t>medical_student</t>
        </is>
      </c>
      <c r="D176" s="4" t="inlineStr">
        <is>
          <t>Ask what it involved: exercises, manual treatment, acupuncture, machines, or advice.</t>
        </is>
      </c>
      <c r="E176" s="4" t="inlineStr"/>
      <c r="F176" s="4" t="inlineStr"/>
      <c r="G176" s="4" t="inlineStr"/>
    </row>
    <row r="177">
      <c r="A177" s="4" t="inlineStr">
        <is>
          <t>4.2.32-P3</t>
        </is>
      </c>
      <c r="B177" s="4" t="inlineStr">
        <is>
          <t>4.2.32</t>
        </is>
      </c>
      <c r="C177" s="4" t="inlineStr">
        <is>
          <t>medical_student</t>
        </is>
      </c>
      <c r="D177" s="4" t="inlineStr">
        <is>
          <t>Ask whether they were given exercises to do at home, and then ask whether they did them, and how often.</t>
        </is>
      </c>
      <c r="E177" s="4" t="inlineStr"/>
      <c r="F177" s="4" t="inlineStr"/>
      <c r="G177" s="4" t="inlineStr"/>
    </row>
    <row r="178">
      <c r="A178" s="4" t="inlineStr">
        <is>
          <t>4.2.32-P4</t>
        </is>
      </c>
      <c r="B178" s="4" t="inlineStr">
        <is>
          <t>4.2.32</t>
        </is>
      </c>
      <c r="C178" s="4" t="inlineStr">
        <is>
          <t>medical_student</t>
        </is>
      </c>
      <c r="D178" s="4" t="inlineStr">
        <is>
          <t>Ask whether anything helped, anything made it worse, and why they stopped.</t>
        </is>
      </c>
      <c r="E178" s="4" t="inlineStr"/>
      <c r="F178" s="4" t="inlineStr"/>
      <c r="G178" s="4" t="inlineStr"/>
    </row>
    <row r="179">
      <c r="A179" s="4" t="inlineStr">
        <is>
          <t>4.2.32-P5</t>
        </is>
      </c>
      <c r="B179" s="4" t="inlineStr">
        <is>
          <t>4.2.32</t>
        </is>
      </c>
      <c r="C179" s="4" t="inlineStr">
        <is>
          <t>medical_student</t>
        </is>
      </c>
      <c r="D179" s="4" t="inlineStr">
        <is>
          <t>Ask whether they were discharged, stopped attending, or ran out of appointments, since these are different.</t>
        </is>
      </c>
      <c r="E179" s="4" t="inlineStr"/>
      <c r="F179" s="4" t="inlineStr"/>
      <c r="G179" s="4" t="inlineStr"/>
    </row>
    <row r="180">
      <c r="A180" s="4" t="inlineStr">
        <is>
          <t>4.2.32-P6</t>
        </is>
      </c>
      <c r="B180" s="4" t="inlineStr">
        <is>
          <t>4.2.32</t>
        </is>
      </c>
      <c r="C180" s="4" t="inlineStr">
        <is>
          <t>frcs</t>
        </is>
      </c>
      <c r="D180" s="4" t="inlineStr">
        <is>
          <t>Saying that the programme has to happen first, with a specific duration and a review date, is a clinical decision and should be recorded as one.</t>
        </is>
      </c>
      <c r="E180" s="4" t="inlineStr"/>
      <c r="F180" s="4" t="inlineStr"/>
      <c r="G180" s="4" t="inlineStr"/>
    </row>
    <row r="181">
      <c r="A181" s="4" t="inlineStr">
        <is>
          <t>4.2.33-P1</t>
        </is>
      </c>
      <c r="B181" s="4" t="inlineStr">
        <is>
          <t>4.2.33</t>
        </is>
      </c>
      <c r="C181" s="4" t="inlineStr">
        <is>
          <t>medical_student</t>
        </is>
      </c>
      <c r="D181" s="4" t="inlineStr">
        <is>
          <t>Ask what imaging they have had: radiographs, ultrasound, magnetic resonance, computed tomography, or a scan they cannot name.</t>
        </is>
      </c>
      <c r="E181" s="4" t="inlineStr"/>
      <c r="F181" s="4" t="inlineStr"/>
      <c r="G181" s="4" t="inlineStr"/>
    </row>
    <row r="182">
      <c r="A182" s="4" t="inlineStr">
        <is>
          <t>4.2.33-P2</t>
        </is>
      </c>
      <c r="B182" s="4" t="inlineStr">
        <is>
          <t>4.2.33</t>
        </is>
      </c>
      <c r="C182" s="4" t="inlineStr">
        <is>
          <t>medical_student</t>
        </is>
      </c>
      <c r="D182" s="4" t="inlineStr">
        <is>
          <t>Ask when, and whether it was before or after any treatment.</t>
        </is>
      </c>
      <c r="E182" s="4" t="inlineStr"/>
      <c r="F182" s="4" t="inlineStr"/>
      <c r="G182" s="4" t="inlineStr"/>
    </row>
    <row r="183">
      <c r="A183" s="4" t="inlineStr">
        <is>
          <t>4.2.33-P3</t>
        </is>
      </c>
      <c r="B183" s="4" t="inlineStr">
        <is>
          <t>4.2.33</t>
        </is>
      </c>
      <c r="C183" s="4" t="inlineStr">
        <is>
          <t>medical_student</t>
        </is>
      </c>
      <c r="D183" s="4" t="inlineStr">
        <is>
          <t>Ask whether the images are available or only the report, because a report is a interpretation and the images can be reviewed.</t>
        </is>
      </c>
      <c r="E183" s="4" t="inlineStr"/>
      <c r="F183" s="4" t="inlineStr"/>
      <c r="G183" s="4" t="inlineStr"/>
    </row>
    <row r="184">
      <c r="A184" s="4" t="inlineStr">
        <is>
          <t>4.2.33-P4</t>
        </is>
      </c>
      <c r="B184" s="4" t="inlineStr">
        <is>
          <t>4.2.33</t>
        </is>
      </c>
      <c r="C184" s="4" t="inlineStr">
        <is>
          <t>medical_student</t>
        </is>
      </c>
      <c r="D184" s="4" t="inlineStr">
        <is>
          <t>Ask what they were told, in their words, and listen for the phrase that has stuck.</t>
        </is>
      </c>
      <c r="E184" s="4" t="inlineStr"/>
      <c r="F184" s="4" t="inlineStr"/>
      <c r="G184" s="4" t="inlineStr"/>
    </row>
    <row r="185">
      <c r="A185" s="4" t="inlineStr">
        <is>
          <t>4.2.33-P5</t>
        </is>
      </c>
      <c r="B185" s="4" t="inlineStr">
        <is>
          <t>4.2.33</t>
        </is>
      </c>
      <c r="C185" s="4" t="inlineStr">
        <is>
          <t>medical_student</t>
        </is>
      </c>
      <c r="D185" s="4" t="inlineStr">
        <is>
          <t>Take the history before reading the report wherever possible, which is awkward and is the only way to get an uncontaminated account.</t>
        </is>
      </c>
      <c r="E185" s="4" t="inlineStr"/>
      <c r="F185" s="4" t="inlineStr"/>
      <c r="G185" s="4" t="inlineStr"/>
    </row>
    <row r="186">
      <c r="A186" s="4" t="inlineStr">
        <is>
          <t>4.2.33-P6</t>
        </is>
      </c>
      <c r="B186" s="4" t="inlineStr">
        <is>
          <t>4.2.33</t>
        </is>
      </c>
      <c r="C186" s="4" t="inlineStr">
        <is>
          <t>frcs</t>
        </is>
      </c>
      <c r="D186" s="4" t="inlineStr">
        <is>
          <t>At decision level the imaging history determines whether anything further is needed, which is a question that should be asked more often.</t>
        </is>
      </c>
      <c r="E186" s="4" t="inlineStr"/>
      <c r="F186" s="4" t="inlineStr"/>
      <c r="G186" s="4" t="inlineStr"/>
    </row>
    <row r="187">
      <c r="A187" s="4" t="inlineStr">
        <is>
          <t>4.2.33-P7</t>
        </is>
      </c>
      <c r="B187" s="4" t="inlineStr">
        <is>
          <t>4.2.33</t>
        </is>
      </c>
      <c r="C187" s="4" t="inlineStr">
        <is>
          <t>frcs</t>
        </is>
      </c>
      <c r="D187" s="4" t="inlineStr">
        <is>
          <t>Ask whether anything further is needed, which should be asked more often.</t>
        </is>
      </c>
      <c r="E187" s="4" t="inlineStr"/>
      <c r="F187" s="4" t="inlineStr"/>
      <c r="G187" s="4" t="inlineStr"/>
    </row>
    <row r="188">
      <c r="A188" s="4" t="inlineStr">
        <is>
          <t>4.2.34-P1</t>
        </is>
      </c>
      <c r="B188" s="4" t="inlineStr">
        <is>
          <t>4.2.34</t>
        </is>
      </c>
      <c r="C188" s="4" t="inlineStr">
        <is>
          <t>medical_student</t>
        </is>
      </c>
      <c r="D188" s="4" t="inlineStr">
        <is>
          <t>Ask what the programme was for and who supervised it.</t>
        </is>
      </c>
      <c r="E188" s="4" t="inlineStr"/>
      <c r="F188" s="4" t="inlineStr"/>
      <c r="G188" s="4" t="inlineStr"/>
    </row>
    <row r="189">
      <c r="A189" s="4" t="inlineStr">
        <is>
          <t>4.2.34-P2</t>
        </is>
      </c>
      <c r="B189" s="4" t="inlineStr">
        <is>
          <t>4.2.34</t>
        </is>
      </c>
      <c r="C189" s="4" t="inlineStr">
        <is>
          <t>medical_student</t>
        </is>
      </c>
      <c r="D189" s="4" t="inlineStr">
        <is>
          <t>Ask what they could do at the end: straighten the leg fully, do a single leg squat, hop, run, or return to sport.</t>
        </is>
      </c>
      <c r="E189" s="4" t="inlineStr"/>
      <c r="F189" s="4" t="inlineStr"/>
      <c r="G189" s="4" t="inlineStr"/>
    </row>
    <row r="190">
      <c r="A190" s="4" t="inlineStr">
        <is>
          <t>4.2.34-P3</t>
        </is>
      </c>
      <c r="B190" s="4" t="inlineStr">
        <is>
          <t>4.2.34</t>
        </is>
      </c>
      <c r="C190" s="4" t="inlineStr">
        <is>
          <t>medical_student</t>
        </is>
      </c>
      <c r="D190" s="4" t="inlineStr">
        <is>
          <t>Ask whether they were tested before returning, and what the tests were.</t>
        </is>
      </c>
      <c r="E190" s="4" t="inlineStr"/>
      <c r="F190" s="4" t="inlineStr"/>
      <c r="G190" s="4" t="inlineStr"/>
    </row>
    <row r="191">
      <c r="A191" s="4" t="inlineStr">
        <is>
          <t>4.2.34-P4</t>
        </is>
      </c>
      <c r="B191" s="4" t="inlineStr">
        <is>
          <t>4.2.34</t>
        </is>
      </c>
      <c r="C191" s="4" t="inlineStr">
        <is>
          <t>medical_student</t>
        </is>
      </c>
      <c r="D191" s="4" t="inlineStr">
        <is>
          <t>Ask whether they still do anything, and what.</t>
        </is>
      </c>
      <c r="E191" s="4" t="inlineStr"/>
      <c r="F191" s="4" t="inlineStr"/>
      <c r="G191" s="4" t="inlineStr"/>
    </row>
    <row r="192">
      <c r="A192" s="4" t="inlineStr">
        <is>
          <t>4.2.34-P5</t>
        </is>
      </c>
      <c r="B192" s="4" t="inlineStr">
        <is>
          <t>4.2.34</t>
        </is>
      </c>
      <c r="C192" s="4" t="inlineStr">
        <is>
          <t>medical_student</t>
        </is>
      </c>
      <c r="D192" s="4" t="inlineStr">
        <is>
          <t>Ask what stopped the progression, if it stopped: pain, swelling, confidence, access, or time.</t>
        </is>
      </c>
      <c r="E192" s="4" t="inlineStr"/>
      <c r="F192" s="4" t="inlineStr"/>
      <c r="G192" s="4" t="inlineStr"/>
    </row>
    <row r="193">
      <c r="A193" s="4" t="inlineStr">
        <is>
          <t>4.2.34-P6</t>
        </is>
      </c>
      <c r="B193" s="4" t="inlineStr">
        <is>
          <t>4.2.34</t>
        </is>
      </c>
      <c r="C193" s="4" t="inlineStr">
        <is>
          <t>frcs</t>
        </is>
      </c>
      <c r="D193" s="4" t="inlineStr">
        <is>
          <t>Stating the rehabilitation requirement explicitly, with milestones and a review, is a clinical decision and should be recorded as one.</t>
        </is>
      </c>
      <c r="E193" s="4" t="inlineStr"/>
      <c r="F193" s="4" t="inlineStr"/>
      <c r="G193" s="4" t="inlineStr"/>
    </row>
  </sheetData>
  <dataValidations count="1">
    <dataValidation sqref="E3:E193" showDropDown="0" showInputMessage="0" showErrorMessage="0" allowBlank="1" errorTitle="Not an allowed decision" error="Use one of: CONFIRMED, AMENDED, WITHDRAWN, NOT_CLINICAL" type="list">
      <formula1>"CONFIRMED,AMENDED,WITHDRAWN,NOT_CLINICAL"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4" customWidth="1" min="4" max="4"/>
    <col width="80" customWidth="1" min="5" max="5"/>
    <col width="16" customWidth="1" min="6" max="6"/>
    <col width="36" customWidth="1" min="7" max="7"/>
    <col width="36" customWidth="1" min="8" max="8"/>
  </cols>
  <sheetData>
    <row r="1">
      <c r="A1" s="5" t="inlineStr">
        <is>
          <t>Ref</t>
        </is>
      </c>
      <c r="B1" s="5" t="inlineStr">
        <is>
          <t>Page</t>
        </is>
      </c>
      <c r="C1" s="5" t="inlineStr">
        <is>
          <t>Tier</t>
        </is>
      </c>
      <c r="D1" s="5" t="inlineStr">
        <is>
          <t>Figure</t>
        </is>
      </c>
      <c r="E1" s="5" t="inlineStr">
        <is>
          <t>The sentence it supports</t>
        </is>
      </c>
      <c r="F1" s="5" t="inlineStr">
        <is>
          <t>Decision</t>
        </is>
      </c>
      <c r="G1" s="5" t="inlineStr">
        <is>
          <t>Source</t>
        </is>
      </c>
      <c r="H1" s="5" t="inlineStr">
        <is>
          <t>Note</t>
        </is>
      </c>
    </row>
    <row r="2">
      <c r="A2" s="7" t="inlineStr">
        <is>
          <t>EXAMPLE</t>
        </is>
      </c>
      <c r="B2" s="7" t="inlineStr">
        <is>
          <t>0.0.0</t>
        </is>
      </c>
      <c r="C2" s="7" t="inlineStr">
        <is>
          <t>mrcs</t>
        </is>
      </c>
      <c r="D2" s="7" t="inlineStr">
        <is>
          <t>20 to 30 degrees</t>
        </is>
      </c>
      <c r="E2" s="7" t="inlineStr">
        <is>
          <t>This row shows the expected format and is ignored when the pack is read back.</t>
        </is>
      </c>
      <c r="F2" s="7" t="inlineStr">
        <is>
          <t>VERIFIED</t>
        </is>
      </c>
      <c r="G2" s="7" t="inlineStr">
        <is>
          <t>Author, title, edition, chapter</t>
        </is>
      </c>
      <c r="H2" s="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26" customWidth="1" min="1" max="1"/>
    <col width="18" customWidth="1" min="2" max="2"/>
    <col width="18" customWidth="1" min="3" max="3"/>
  </cols>
  <sheetData>
    <row r="1">
      <c r="A1" s="5" t="inlineStr"/>
      <c r="B1" s="5" t="inlineStr">
        <is>
          <t>Recommendations</t>
        </is>
      </c>
      <c r="C1" s="5" t="inlineStr">
        <is>
          <t>Measurements</t>
        </is>
      </c>
    </row>
    <row r="2">
      <c r="A2" s="2" t="inlineStr">
        <is>
          <t>Rows to decide</t>
        </is>
      </c>
      <c r="B2" s="3">
        <f>191</f>
        <v/>
      </c>
      <c r="C2" s="3">
        <f>0</f>
        <v/>
      </c>
    </row>
    <row r="3">
      <c r="A3" s="2" t="inlineStr">
        <is>
          <t>Decided</t>
        </is>
      </c>
      <c r="B3" s="3">
        <f>COUNTIF(Recommendations!E3:E193,"&lt;&gt;")</f>
        <v/>
      </c>
      <c r="C3" s="3">
        <f>COUNTIF(Measurements!F3:F2,"&lt;&gt;")</f>
        <v/>
      </c>
    </row>
    <row r="4">
      <c r="A4" s="2" t="inlineStr">
        <is>
          <t>Still blank</t>
        </is>
      </c>
      <c r="B4" s="3">
        <f>B2-B3</f>
        <v/>
      </c>
      <c r="C4" s="3">
        <f>C2-C3</f>
        <v/>
      </c>
    </row>
    <row r="5">
      <c r="A5" s="2" t="inlineStr">
        <is>
          <t>CONFIRMED</t>
        </is>
      </c>
      <c r="B5" s="3">
        <f>COUNTIF(Recommendations!E3:E193,"CONFIRMED")</f>
        <v/>
      </c>
      <c r="C5" s="3" t="inlineStr"/>
    </row>
    <row r="6">
      <c r="A6" s="2" t="inlineStr">
        <is>
          <t>AMENDED</t>
        </is>
      </c>
      <c r="B6" s="3">
        <f>COUNTIF(Recommendations!E3:E193,"AMENDED")</f>
        <v/>
      </c>
      <c r="C6" s="3" t="inlineStr"/>
    </row>
    <row r="7">
      <c r="A7" s="2" t="inlineStr">
        <is>
          <t>WITHDRAWN</t>
        </is>
      </c>
      <c r="B7" s="3">
        <f>COUNTIF(Recommendations!E3:E193,"WITHDRAWN")</f>
        <v/>
      </c>
      <c r="C7" s="3" t="inlineStr"/>
    </row>
    <row r="8">
      <c r="A8" s="2" t="inlineStr">
        <is>
          <t>NOT_CLINICAL</t>
        </is>
      </c>
      <c r="B8" s="3">
        <f>COUNTIF(Recommendations!E3:E193,"NOT_CLINICAL")</f>
        <v/>
      </c>
      <c r="C8" s="3" t="inlineStr"/>
    </row>
    <row r="9">
      <c r="A9" s="2" t="inlineStr">
        <is>
          <t>VERIFIED</t>
        </is>
      </c>
      <c r="B9" s="3" t="inlineStr"/>
      <c r="C9" s="3">
        <f>COUNTIF(Measurements!F3:F2,"VERIFIED")</f>
        <v/>
      </c>
    </row>
    <row r="10">
      <c r="A10" s="2" t="inlineStr">
        <is>
          <t>CORRECTED</t>
        </is>
      </c>
      <c r="B10" s="3" t="inlineStr"/>
      <c r="C10" s="3">
        <f>COUNTIF(Measurements!F3:F2,"CORRECTED")</f>
        <v/>
      </c>
    </row>
    <row r="11">
      <c r="A11" s="2" t="inlineStr">
        <is>
          <t>REMOVED</t>
        </is>
      </c>
      <c r="B11" s="3" t="inlineStr"/>
      <c r="C11" s="3">
        <f>COUNTIF(Measurements!F3:F2,"REMOVED")</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2026-10-12T17:09:26Z</dcterms:created>
  <dcterms:modified xmlns:dcterms="http://purl.org/dc/terms/" xmlns:xsi="http://www.w3.org/2001/XMLSchema-instance" xsi:type="dcterms:W3CDTF">2026-10-12T17:09:27Z</dcterms:modified>
</cp:coreProperties>
</file>