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4.13 Lateral Knee Examination</t>
        </is>
      </c>
    </row>
    <row r="3">
      <c r="A3" s="2" t="inlineStr">
        <is>
          <t>Section</t>
        </is>
      </c>
      <c r="B3" s="3" t="inlineStr">
        <is>
          <t>4</t>
        </is>
      </c>
    </row>
    <row r="4">
      <c r="A4" s="2" t="inlineStr">
        <is>
          <t>Chapter</t>
        </is>
      </c>
      <c r="B4" s="3" t="inlineStr">
        <is>
          <t>4.13 Lateral Knee Examination</t>
        </is>
      </c>
    </row>
    <row r="5">
      <c r="A5" s="2" t="inlineStr">
        <is>
          <t>Pages</t>
        </is>
      </c>
      <c r="B5" s="3" t="n">
        <v>8</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12,551</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18</v>
      </c>
    </row>
    <row r="12">
      <c r="A12" s="2" t="inlineStr">
        <is>
          <t>Recommendations to sign</t>
        </is>
      </c>
      <c r="B12" s="3" t="n">
        <v>18</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4.13.1</t>
        </is>
      </c>
      <c r="B2" s="6" t="inlineStr">
        <is>
          <t>Varus Stress Test</t>
        </is>
      </c>
      <c r="C2" s="6" t="n">
        <v>4</v>
      </c>
      <c r="D2" s="6" t="n">
        <v>1612</v>
      </c>
      <c r="E2" s="6" t="inlineStr">
        <is>
          <t>examination/varus-stress-test.html</t>
        </is>
      </c>
    </row>
    <row r="3">
      <c r="A3" s="6" t="inlineStr">
        <is>
          <t>4.13.2</t>
        </is>
      </c>
      <c r="B3" s="6" t="inlineStr">
        <is>
          <t>LCL Assessment</t>
        </is>
      </c>
      <c r="C3" s="6" t="n">
        <v>4</v>
      </c>
      <c r="D3" s="6" t="n">
        <v>1534</v>
      </c>
      <c r="E3" s="6" t="inlineStr">
        <is>
          <t>examination/lcl-assessment.html</t>
        </is>
      </c>
    </row>
    <row r="4">
      <c r="A4" s="6" t="inlineStr">
        <is>
          <t>4.13.3</t>
        </is>
      </c>
      <c r="B4" s="6" t="inlineStr">
        <is>
          <t>Popliteus Assessment</t>
        </is>
      </c>
      <c r="C4" s="6" t="n">
        <v>4</v>
      </c>
      <c r="D4" s="6" t="n">
        <v>1615</v>
      </c>
      <c r="E4" s="6" t="inlineStr">
        <is>
          <t>examination/popliteus-assessment.html</t>
        </is>
      </c>
    </row>
    <row r="5">
      <c r="A5" s="6" t="inlineStr">
        <is>
          <t>4.13.4</t>
        </is>
      </c>
      <c r="B5" s="6" t="inlineStr">
        <is>
          <t>Posterolateral Corner Assessment</t>
        </is>
      </c>
      <c r="C5" s="6" t="n">
        <v>4</v>
      </c>
      <c r="D5" s="6" t="n">
        <v>1588</v>
      </c>
      <c r="E5" s="6" t="inlineStr">
        <is>
          <t>examination/posterolateral-corner-assessment.html</t>
        </is>
      </c>
    </row>
    <row r="6">
      <c r="A6" s="6" t="inlineStr">
        <is>
          <t>4.13.5</t>
        </is>
      </c>
      <c r="B6" s="6" t="inlineStr">
        <is>
          <t>Dial Test</t>
        </is>
      </c>
      <c r="C6" s="6" t="n">
        <v>4</v>
      </c>
      <c r="D6" s="6" t="n">
        <v>1555</v>
      </c>
      <c r="E6" s="6" t="inlineStr">
        <is>
          <t>examination/dial-test.html</t>
        </is>
      </c>
    </row>
    <row r="7">
      <c r="A7" s="6" t="inlineStr">
        <is>
          <t>4.13.6</t>
        </is>
      </c>
      <c r="B7" s="6" t="inlineStr">
        <is>
          <t>Reverse Pivot Shift</t>
        </is>
      </c>
      <c r="C7" s="6" t="n">
        <v>4</v>
      </c>
      <c r="D7" s="6" t="n">
        <v>1549</v>
      </c>
      <c r="E7" s="6" t="inlineStr">
        <is>
          <t>examination/reverse-pivot-shift-plc.html</t>
        </is>
      </c>
    </row>
    <row r="8">
      <c r="A8" s="6" t="inlineStr">
        <is>
          <t>4.13.7</t>
        </is>
      </c>
      <c r="B8" s="6" t="inlineStr">
        <is>
          <t>External Rotation Recurvatum Test</t>
        </is>
      </c>
      <c r="C8" s="6" t="n">
        <v>4</v>
      </c>
      <c r="D8" s="6" t="n">
        <v>1523</v>
      </c>
      <c r="E8" s="6" t="inlineStr">
        <is>
          <t>examination/external-rotation-recurvatum-test.html</t>
        </is>
      </c>
    </row>
    <row r="9">
      <c r="A9" s="6" t="inlineStr">
        <is>
          <t>4.13.8</t>
        </is>
      </c>
      <c r="B9" s="6" t="inlineStr">
        <is>
          <t>Combined PLC Injuries</t>
        </is>
      </c>
      <c r="C9" s="6" t="n">
        <v>4</v>
      </c>
      <c r="D9" s="6" t="n">
        <v>1575</v>
      </c>
      <c r="E9" s="6" t="inlineStr">
        <is>
          <t>examination/combined-plc-injuries.html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4.13.1</t>
        </is>
      </c>
      <c r="B2" s="4" t="inlineStr">
        <is>
          <t>Varus Stress Test</t>
        </is>
      </c>
      <c r="C2" s="4" t="inlineStr">
        <is>
          <t>The varus test is usually normal in the knees that get referred, which is why they arrive late.</t>
        </is>
      </c>
    </row>
    <row r="3">
      <c r="A3" s="4" t="inlineStr">
        <is>
          <t>4.13.1</t>
        </is>
      </c>
      <c r="B3" s="4" t="inlineStr">
        <is>
          <t>Varus Stress Test</t>
        </is>
      </c>
      <c r="C3" s="4" t="inlineStr">
        <is>
          <t>A stretched posterior cruciate graft with a normal varus test and an abnormal dial test is the classic case.</t>
        </is>
      </c>
    </row>
    <row r="4">
      <c r="A4" s="4" t="inlineStr">
        <is>
          <t>4.13.1</t>
        </is>
      </c>
      <c r="B4" s="4" t="inlineStr">
        <is>
          <t>Varus Stress Test</t>
        </is>
      </c>
      <c r="C4" s="4" t="inlineStr">
        <is>
          <t>A chronically varus knee with lateral laxity is an alignment problem first.</t>
        </is>
      </c>
    </row>
    <row r="5">
      <c r="A5" s="4" t="inlineStr">
        <is>
          <t>4.13.1</t>
        </is>
      </c>
      <c r="B5" s="4" t="inlineStr">
        <is>
          <t>Varus Stress Test</t>
        </is>
      </c>
      <c r="C5" s="4" t="inlineStr">
        <is>
          <t>A previous lateral reconstruction can hold varus firm while rotation stays abnormal.</t>
        </is>
      </c>
    </row>
    <row r="6">
      <c r="A6" s="4" t="inlineStr">
        <is>
          <t>4.13.1</t>
        </is>
      </c>
      <c r="B6" s="4" t="inlineStr">
        <is>
          <t>Varus Stress Test</t>
        </is>
      </c>
      <c r="C6" s="4" t="inlineStr">
        <is>
          <t>A partly recovered nerve palsy produces a varus thrust that is not ligamentous.</t>
        </is>
      </c>
    </row>
    <row r="7">
      <c r="A7" s="4" t="inlineStr">
        <is>
          <t>4.13.2</t>
        </is>
      </c>
      <c r="B7" s="4" t="inlineStr">
        <is>
          <t>LCL Assessment</t>
        </is>
      </c>
      <c r="C7" s="4" t="inlineStr">
        <is>
          <t>A reconstructed collateral with persistent rotational abnormality means the popliteus was not addressed.</t>
        </is>
      </c>
    </row>
    <row r="8">
      <c r="A8" s="4" t="inlineStr">
        <is>
          <t>4.13.2</t>
        </is>
      </c>
      <c r="B8" s="4" t="inlineStr">
        <is>
          <t>LCL Assessment</t>
        </is>
      </c>
      <c r="C8" s="4" t="inlineStr">
        <is>
          <t>A reconstruction in an uncorrected varus limb stretches, whatever the surgery.</t>
        </is>
      </c>
    </row>
    <row r="9">
      <c r="A9" s="4" t="inlineStr">
        <is>
          <t>4.13.2</t>
        </is>
      </c>
      <c r="B9" s="4" t="inlineStr">
        <is>
          <t>LCL Assessment</t>
        </is>
      </c>
      <c r="C9" s="4" t="inlineStr">
        <is>
          <t>Previous lateral extra-articular surgery makes an absent cord less informative.</t>
        </is>
      </c>
    </row>
    <row r="10">
      <c r="A10" s="4" t="inlineStr">
        <is>
          <t>4.13.2</t>
        </is>
      </c>
      <c r="B10" s="4" t="inlineStr">
        <is>
          <t>LCL Assessment</t>
        </is>
      </c>
      <c r="C10" s="4" t="inlineStr">
        <is>
          <t>A united but displaced avulsion gives a palpable, slack ligament, and the varus test is the one to believe.</t>
        </is>
      </c>
    </row>
    <row r="11">
      <c r="A11" s="4" t="inlineStr">
        <is>
          <t>4.13.2</t>
        </is>
      </c>
      <c r="B11" s="4" t="inlineStr">
        <is>
          <t>LCL Assessment</t>
        </is>
      </c>
      <c r="C11" s="4" t="inlineStr">
        <is>
          <t>A recorded absent cord is strong evidence of a complete injury at that time.</t>
        </is>
      </c>
    </row>
    <row r="12">
      <c r="A12" s="4" t="inlineStr">
        <is>
          <t>4.13.3</t>
        </is>
      </c>
      <c r="B12" s="4" t="inlineStr">
        <is>
          <t>Popliteus Assessment</t>
        </is>
      </c>
      <c r="C12" s="4" t="inlineStr">
        <is>
          <t>The popliteus is the structure that was left out, and the stretched graft is the consequence.</t>
        </is>
      </c>
    </row>
    <row r="13">
      <c r="A13" s="4" t="inlineStr">
        <is>
          <t>4.13.3</t>
        </is>
      </c>
      <c r="B13" s="4" t="inlineStr">
        <is>
          <t>Popliteus Assessment</t>
        </is>
      </c>
      <c r="C13" s="4" t="inlineStr">
        <is>
          <t>A persistent dial abnormality at thirty degrees after corner reconstruction means the popliteofibular part was not restored.</t>
        </is>
      </c>
    </row>
    <row r="14">
      <c r="A14" s="4" t="inlineStr">
        <is>
          <t>4.13.3</t>
        </is>
      </c>
      <c r="B14" s="4" t="inlineStr">
        <is>
          <t>Popliteus Assessment</t>
        </is>
      </c>
      <c r="C14" s="4" t="inlineStr">
        <is>
          <t>Over constraint on this side presents as lateral pain and lost internal rotation.</t>
        </is>
      </c>
    </row>
    <row r="15">
      <c r="A15" s="4" t="inlineStr">
        <is>
          <t>4.13.3</t>
        </is>
      </c>
      <c r="B15" s="4" t="inlineStr">
        <is>
          <t>Popliteus Assessment</t>
        </is>
      </c>
      <c r="C15" s="4" t="inlineStr">
        <is>
          <t>After a proximal tibial osteotomy the dial test needs a post-operative baseline.</t>
        </is>
      </c>
    </row>
    <row r="16">
      <c r="A16" s="4" t="inlineStr">
        <is>
          <t>4.13.3</t>
        </is>
      </c>
      <c r="B16" s="4" t="inlineStr">
        <is>
          <t>Popliteus Assessment</t>
        </is>
      </c>
      <c r="C16" s="4" t="inlineStr">
        <is>
          <t>A nerve palsy mimics a corner injury in gait and does not increase rotational laxity.</t>
        </is>
      </c>
    </row>
    <row r="17">
      <c r="A17" s="4" t="inlineStr">
        <is>
          <t>4.13.4</t>
        </is>
      </c>
      <c r="B17" s="4" t="inlineStr">
        <is>
          <t>Posterolateral Corner Assessment</t>
        </is>
      </c>
      <c r="C17" s="4" t="inlineStr">
        <is>
          <t>The corner explains most failed posterior cruciate surgery.</t>
        </is>
      </c>
    </row>
    <row r="18">
      <c r="A18" s="4" t="inlineStr">
        <is>
          <t>4.13.4</t>
        </is>
      </c>
      <c r="B18" s="4" t="inlineStr">
        <is>
          <t>Posterolateral Corner Assessment</t>
        </is>
      </c>
      <c r="C18" s="4" t="inlineStr">
        <is>
          <t>A stretched graft, a dial difference at both angles and a varus thrust are one diagnosis.</t>
        </is>
      </c>
    </row>
    <row r="19">
      <c r="A19" s="4" t="inlineStr">
        <is>
          <t>4.13.4</t>
        </is>
      </c>
      <c r="B19" s="4" t="inlineStr">
        <is>
          <t>Posterolateral Corner Assessment</t>
        </is>
      </c>
      <c r="C19" s="4" t="inlineStr">
        <is>
          <t>A residual difference at thirty degrees after reconstruction is incompleteness, not failure.</t>
        </is>
      </c>
    </row>
    <row r="20">
      <c r="A20" s="4" t="inlineStr">
        <is>
          <t>4.13.4</t>
        </is>
      </c>
      <c r="B20" s="4" t="inlineStr">
        <is>
          <t>Posterolateral Corner Assessment</t>
        </is>
      </c>
      <c r="C20" s="4" t="inlineStr">
        <is>
          <t>After an osteotomy the alignment correction is assessed before any ligament revision.</t>
        </is>
      </c>
    </row>
    <row r="21">
      <c r="A21" s="4" t="inlineStr">
        <is>
          <t>4.13.4</t>
        </is>
      </c>
      <c r="B21" s="4" t="inlineStr">
        <is>
          <t>Posterolateral Corner Assessment</t>
        </is>
      </c>
      <c r="C21" s="4" t="inlineStr">
        <is>
          <t>An unrecovered nerve palsy limits what any reconstruction can achieve and belongs in the consent.</t>
        </is>
      </c>
    </row>
    <row r="22">
      <c r="A22" s="4" t="inlineStr">
        <is>
          <t>4.13.5</t>
        </is>
      </c>
      <c r="B22" s="4" t="inlineStr">
        <is>
          <t>Dial Test</t>
        </is>
      </c>
      <c r="C22" s="4" t="inlineStr">
        <is>
          <t>The dial test is usually the test that was not done, and doing it answers most referral questions.</t>
        </is>
      </c>
    </row>
    <row r="23">
      <c r="A23" s="4" t="inlineStr">
        <is>
          <t>4.13.5</t>
        </is>
      </c>
      <c r="B23" s="4" t="inlineStr">
        <is>
          <t>Dial Test</t>
        </is>
      </c>
      <c r="C23" s="4" t="inlineStr">
        <is>
          <t>A stretched cruciate graft with a difference at both angles means the revision must address the corner.</t>
        </is>
      </c>
    </row>
    <row r="24">
      <c r="A24" s="4" t="inlineStr">
        <is>
          <t>4.13.5</t>
        </is>
      </c>
      <c r="B24" s="4" t="inlineStr">
        <is>
          <t>Dial Test</t>
        </is>
      </c>
      <c r="C24" s="4" t="inlineStr">
        <is>
          <t>A difference at thirty degrees only after corner reconstruction is an incomplete operation, not a new injury.</t>
        </is>
      </c>
    </row>
    <row r="25">
      <c r="A25" s="4" t="inlineStr">
        <is>
          <t>4.13.5</t>
        </is>
      </c>
      <c r="B25" s="4" t="inlineStr">
        <is>
          <t>Dial Test</t>
        </is>
      </c>
      <c r="C25" s="4" t="inlineStr">
        <is>
          <t>No dial difference with a rotational complaint points at the anterolateral structures.</t>
        </is>
      </c>
    </row>
    <row r="26">
      <c r="A26" s="4" t="inlineStr">
        <is>
          <t>4.13.5</t>
        </is>
      </c>
      <c r="B26" s="4" t="inlineStr">
        <is>
          <t>Dial Test</t>
        </is>
      </c>
      <c r="C26" s="4" t="inlineStr">
        <is>
          <t>After an osteotomy the other leg is no longer a valid comparison.</t>
        </is>
      </c>
    </row>
    <row r="27">
      <c r="A27" s="4" t="inlineStr">
        <is>
          <t>4.13.6</t>
        </is>
      </c>
      <c r="B27" s="4" t="inlineStr">
        <is>
          <t>Reverse Pivot Shift</t>
        </is>
      </c>
      <c r="C27" s="4" t="inlineStr">
        <is>
          <t>A fixed posterior subluxation cannot shift, so the most deficient knees read as reassuring.</t>
        </is>
      </c>
    </row>
    <row r="28">
      <c r="A28" s="4" t="inlineStr">
        <is>
          <t>4.13.6</t>
        </is>
      </c>
      <c r="B28" s="4" t="inlineStr">
        <is>
          <t>Reverse Pivot Shift</t>
        </is>
      </c>
      <c r="C28" s="4" t="inlineStr">
        <is>
          <t>A previous tenodesis removes the mechanism, so a negative result says nothing.</t>
        </is>
      </c>
    </row>
    <row r="29">
      <c r="A29" s="4" t="inlineStr">
        <is>
          <t>4.13.6</t>
        </is>
      </c>
      <c r="B29" s="4" t="inlineStr">
        <is>
          <t>Reverse Pivot Shift</t>
        </is>
      </c>
      <c r="C29" s="4" t="inlineStr">
        <is>
          <t>An over constrained corner reconstruction gives a negative test and a stiff lateral side.</t>
        </is>
      </c>
    </row>
    <row r="30">
      <c r="A30" s="4" t="inlineStr">
        <is>
          <t>4.13.6</t>
        </is>
      </c>
      <c r="B30" s="4" t="inlineStr">
        <is>
          <t>Reverse Pivot Shift</t>
        </is>
      </c>
      <c r="C30" s="4" t="inlineStr">
        <is>
          <t>In a hypermobile patient the test is positive bilaterally and contributes nothing.</t>
        </is>
      </c>
    </row>
    <row r="31">
      <c r="A31" s="4" t="inlineStr">
        <is>
          <t>4.13.6</t>
        </is>
      </c>
      <c r="B31" s="4" t="inlineStr">
        <is>
          <t>Reverse Pivot Shift</t>
        </is>
      </c>
      <c r="C31" s="4" t="inlineStr">
        <is>
          <t>The test is too unreliable to carry a medicolegal opinion, and the dial test is not.</t>
        </is>
      </c>
    </row>
    <row r="32">
      <c r="A32" s="4" t="inlineStr">
        <is>
          <t>4.13.7</t>
        </is>
      </c>
      <c r="B32" s="4" t="inlineStr">
        <is>
          <t>External Rotation Recurvatum Test</t>
        </is>
      </c>
      <c r="C32" s="4" t="inlineStr">
        <is>
          <t>A positive test after corner reconstruction means the reconstruction has stretched.</t>
        </is>
      </c>
    </row>
    <row r="33">
      <c r="A33" s="4" t="inlineStr">
        <is>
          <t>4.13.7</t>
        </is>
      </c>
      <c r="B33" s="4" t="inlineStr">
        <is>
          <t>External Rotation Recurvatum Test</t>
        </is>
      </c>
      <c r="C33" s="4" t="inlineStr">
        <is>
          <t>It is easier than the dial test to reproduce identically at successive visits.</t>
        </is>
      </c>
    </row>
    <row r="34">
      <c r="A34" s="4" t="inlineStr">
        <is>
          <t>4.13.7</t>
        </is>
      </c>
      <c r="B34" s="4" t="inlineStr">
        <is>
          <t>External Rotation Recurvatum Test</t>
        </is>
      </c>
      <c r="C34" s="4" t="inlineStr">
        <is>
          <t>A recurvatum that persists after reconstruction is usually an unaddressed bony problem.</t>
        </is>
      </c>
    </row>
    <row r="35">
      <c r="A35" s="4" t="inlineStr">
        <is>
          <t>4.13.7</t>
        </is>
      </c>
      <c r="B35" s="4" t="inlineStr">
        <is>
          <t>External Rotation Recurvatum Test</t>
        </is>
      </c>
      <c r="C35" s="4" t="inlineStr">
        <is>
          <t>Hyperextension from a previous osteotomy is abnormal for a reason unrelated to the corner.</t>
        </is>
      </c>
    </row>
    <row r="36">
      <c r="A36" s="4" t="inlineStr">
        <is>
          <t>4.13.7</t>
        </is>
      </c>
      <c r="B36" s="4" t="inlineStr">
        <is>
          <t>External Rotation Recurvatum Test</t>
        </is>
      </c>
      <c r="C36" s="4" t="inlineStr">
        <is>
          <t>A recorded positive test at the time of injury is useful evidence, because it is hard to produce in a normal knee.</t>
        </is>
      </c>
    </row>
    <row r="37">
      <c r="A37" s="4" t="inlineStr">
        <is>
          <t>4.13.8</t>
        </is>
      </c>
      <c r="B37" s="4" t="inlineStr">
        <is>
          <t>Combined PLC Injuries</t>
        </is>
      </c>
      <c r="C37" s="4" t="inlineStr">
        <is>
          <t>The examination's job in revision is to establish what was not treated.</t>
        </is>
      </c>
    </row>
    <row r="38">
      <c r="A38" s="4" t="inlineStr">
        <is>
          <t>4.13.8</t>
        </is>
      </c>
      <c r="B38" s="4" t="inlineStr">
        <is>
          <t>Combined PLC Injuries</t>
        </is>
      </c>
      <c r="C38" s="4" t="inlineStr">
        <is>
          <t>A stretched posterior cruciate graft with a difference at both angles is a pattern that was missed.</t>
        </is>
      </c>
    </row>
    <row r="39">
      <c r="A39" s="4" t="inlineStr">
        <is>
          <t>4.13.8</t>
        </is>
      </c>
      <c r="B39" s="4" t="inlineStr">
        <is>
          <t>Combined PLC Injuries</t>
        </is>
      </c>
      <c r="C39" s="4" t="inlineStr">
        <is>
          <t>A failed cruciate graft with a dial difference and a persisting pivot shift has an unaddressed corner.</t>
        </is>
      </c>
    </row>
    <row r="40">
      <c r="A40" s="4" t="inlineStr">
        <is>
          <t>4.13.8</t>
        </is>
      </c>
      <c r="B40" s="4" t="inlineStr">
        <is>
          <t>Combined PLC Injuries</t>
        </is>
      </c>
      <c r="C40" s="4" t="inlineStr">
        <is>
          <t>Two intact reconstructions with a varus thrust is an alignment problem, and the osteotomy is the operation.</t>
        </is>
      </c>
    </row>
    <row r="41">
      <c r="A41" s="4" t="inlineStr">
        <is>
          <t>4.13.8</t>
        </is>
      </c>
      <c r="B41" s="4" t="inlineStr">
        <is>
          <t>Combined PLC Injuries</t>
        </is>
      </c>
      <c r="C41" s="4" t="inlineStr">
        <is>
          <t>An unrecovered nerve palsy is often the main determinant of function in a multiply reconstructed knee.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4.13.1-P1</t>
        </is>
      </c>
      <c r="B3" s="4" t="inlineStr">
        <is>
          <t>4.13.1</t>
        </is>
      </c>
      <c r="C3" s="4" t="inlineStr">
        <is>
          <t>medical_student</t>
        </is>
      </c>
      <c r="D3" s="4" t="inlineStr">
        <is>
          <t>Record the opening and the endpoint, then repeat with the knee flexed to thirty degrees.</t>
        </is>
      </c>
      <c r="E3" s="4" t="inlineStr"/>
      <c r="F3" s="4" t="inlineStr"/>
      <c r="G3" s="4" t="inlineStr"/>
    </row>
    <row r="4">
      <c r="A4" s="4" t="inlineStr">
        <is>
          <t>4.13.1-P2</t>
        </is>
      </c>
      <c r="B4" s="4" t="inlineStr">
        <is>
          <t>4.13.1</t>
        </is>
      </c>
      <c r="C4" s="4" t="inlineStr">
        <is>
          <t>medical_student</t>
        </is>
      </c>
      <c r="D4" s="4" t="inlineStr">
        <is>
          <t>Compare both angles with the other knee, and control rotation of the limb, because an internally rotated leg opens laterally without any ligament being torn.</t>
        </is>
      </c>
      <c r="E4" s="4" t="inlineStr"/>
      <c r="F4" s="4" t="inlineStr"/>
      <c r="G4" s="4" t="inlineStr"/>
    </row>
    <row r="5">
      <c r="A5" s="4" t="inlineStr">
        <is>
          <t>4.13.1-P3</t>
        </is>
      </c>
      <c r="B5" s="4" t="inlineStr">
        <is>
          <t>4.13.1</t>
        </is>
      </c>
      <c r="C5" s="4" t="inlineStr">
        <is>
          <t>medical_student</t>
        </is>
      </c>
      <c r="D5" s="4" t="inlineStr">
        <is>
          <t>Any varus laxity should prompt a specific search for the posterolateral corner and for a common peroneal nerve injury, because both travel with it.</t>
        </is>
      </c>
      <c r="E5" s="4" t="inlineStr"/>
      <c r="F5" s="4" t="inlineStr"/>
      <c r="G5" s="4" t="inlineStr"/>
    </row>
    <row r="6">
      <c r="A6" s="4" t="inlineStr">
        <is>
          <t>4.13.2-P1</t>
        </is>
      </c>
      <c r="B6" s="4" t="inlineStr">
        <is>
          <t>4.13.2</t>
        </is>
      </c>
      <c r="C6" s="4" t="inlineStr">
        <is>
          <t>medical_student</t>
        </is>
      </c>
      <c r="D6" s="4" t="inlineStr">
        <is>
          <t>Place the leg in the figure of four position.</t>
        </is>
      </c>
      <c r="E6" s="4" t="inlineStr"/>
      <c r="F6" s="4" t="inlineStr"/>
      <c r="G6" s="4" t="inlineStr"/>
    </row>
    <row r="7">
      <c r="A7" s="4" t="inlineStr">
        <is>
          <t>4.13.2-P2</t>
        </is>
      </c>
      <c r="B7" s="4" t="inlineStr">
        <is>
          <t>4.13.2</t>
        </is>
      </c>
      <c r="C7" s="4" t="inlineStr">
        <is>
          <t>medical_student</t>
        </is>
      </c>
      <c r="D7" s="4" t="inlineStr">
        <is>
          <t>Follow it with a finger from the lateral femoral epicondyle down to the fibular head, noting tenderness and whether the cord is palpable along its length.</t>
        </is>
      </c>
      <c r="E7" s="4" t="inlineStr"/>
      <c r="F7" s="4" t="inlineStr"/>
      <c r="G7" s="4" t="inlineStr"/>
    </row>
    <row r="8">
      <c r="A8" s="4" t="inlineStr">
        <is>
          <t>4.13.2-P3</t>
        </is>
      </c>
      <c r="B8" s="4" t="inlineStr">
        <is>
          <t>4.13.2</t>
        </is>
      </c>
      <c r="C8" s="4" t="inlineStr">
        <is>
          <t>medical_student</t>
        </is>
      </c>
      <c r="D8" s="4" t="inlineStr">
        <is>
          <t>Compare with the other knee in the same position, because the prominence of the cord varies between people.</t>
        </is>
      </c>
      <c r="E8" s="4" t="inlineStr"/>
      <c r="F8" s="4" t="inlineStr"/>
      <c r="G8" s="4" t="inlineStr"/>
    </row>
    <row r="9">
      <c r="A9" s="4" t="inlineStr">
        <is>
          <t>4.13.2-P4</t>
        </is>
      </c>
      <c r="B9" s="4" t="inlineStr">
        <is>
          <t>4.13.2</t>
        </is>
      </c>
      <c r="C9" s="4" t="inlineStr">
        <is>
          <t>medical_student</t>
        </is>
      </c>
      <c r="D9" s="4" t="inlineStr">
        <is>
          <t>A disrupted ligament should prompt examination of the common peroneal nerve, which lies just behind the fibular neck.</t>
        </is>
      </c>
      <c r="E9" s="4" t="inlineStr"/>
      <c r="F9" s="4" t="inlineStr"/>
      <c r="G9" s="4" t="inlineStr"/>
    </row>
    <row r="10">
      <c r="A10" s="4" t="inlineStr">
        <is>
          <t>4.13.3-P1</t>
        </is>
      </c>
      <c r="B10" s="4" t="inlineStr">
        <is>
          <t>4.13.3</t>
        </is>
      </c>
      <c r="C10" s="4" t="inlineStr">
        <is>
          <t>medical_student</t>
        </is>
      </c>
      <c r="D10" s="4" t="inlineStr">
        <is>
          <t>Repeat at ninety degrees of flexion, because the difference between the two angles is what separates the corner from the posterior cruciate.</t>
        </is>
      </c>
      <c r="E10" s="4" t="inlineStr"/>
      <c r="F10" s="4" t="inlineStr"/>
      <c r="G10" s="4" t="inlineStr"/>
    </row>
    <row r="11">
      <c r="A11" s="4" t="inlineStr">
        <is>
          <t>4.13.3-P2</t>
        </is>
      </c>
      <c r="B11" s="4" t="inlineStr">
        <is>
          <t>4.13.3</t>
        </is>
      </c>
      <c r="C11" s="4" t="inlineStr">
        <is>
          <t>medical_student</t>
        </is>
      </c>
      <c r="D11" s="4" t="inlineStr">
        <is>
          <t>Examine the common peroneal nerve, because the corner and the nerve are injured together often enough that the examination is not optional.</t>
        </is>
      </c>
      <c r="E11" s="4" t="inlineStr"/>
      <c r="F11" s="4" t="inlineStr"/>
      <c r="G11" s="4" t="inlineStr"/>
    </row>
    <row r="12">
      <c r="A12" s="4" t="inlineStr">
        <is>
          <t>4.13.4-P1</t>
        </is>
      </c>
      <c r="B12" s="4" t="inlineStr">
        <is>
          <t>4.13.4</t>
        </is>
      </c>
      <c r="C12" s="4" t="inlineStr">
        <is>
          <t>medical_student</t>
        </is>
      </c>
      <c r="D12" s="4" t="inlineStr">
        <is>
          <t>Examine the common peroneal nerve first in any knee with a suspected corner injury, testing ankle dorsiflexion, great toe extension and sensation on the dorsum of the foot.</t>
        </is>
      </c>
      <c r="E12" s="4" t="inlineStr"/>
      <c r="F12" s="4" t="inlineStr"/>
      <c r="G12" s="4" t="inlineStr"/>
    </row>
    <row r="13">
      <c r="A13" s="4" t="inlineStr">
        <is>
          <t>4.13.5-P1</t>
        </is>
      </c>
      <c r="B13" s="4" t="inlineStr">
        <is>
          <t>4.13.5</t>
        </is>
      </c>
      <c r="C13" s="4" t="inlineStr">
        <is>
          <t>medical_student</t>
        </is>
      </c>
      <c r="D13" s="4" t="inlineStr">
        <is>
          <t>Repeat the whole thing with both knees flexed to ninety degrees, and record both results.</t>
        </is>
      </c>
      <c r="E13" s="4" t="inlineStr"/>
      <c r="F13" s="4" t="inlineStr"/>
      <c r="G13" s="4" t="inlineStr"/>
    </row>
    <row r="14">
      <c r="A14" s="4" t="inlineStr">
        <is>
          <t>4.13.5-P2</t>
        </is>
      </c>
      <c r="B14" s="4" t="inlineStr">
        <is>
          <t>4.13.5</t>
        </is>
      </c>
      <c r="C14" s="4" t="inlineStr">
        <is>
          <t>medical_student</t>
        </is>
      </c>
      <c r="D14" s="4" t="inlineStr">
        <is>
          <t>An increase at ninety degrees alone is unusual and should prompt a careful posterior cruciate examination rather than a corner diagnosis.</t>
        </is>
      </c>
      <c r="E14" s="4" t="inlineStr"/>
      <c r="F14" s="4" t="inlineStr"/>
      <c r="G14" s="4" t="inlineStr"/>
    </row>
    <row r="15">
      <c r="A15" s="4" t="inlineStr">
        <is>
          <t>4.13.5-P3</t>
        </is>
      </c>
      <c r="B15" s="4" t="inlineStr">
        <is>
          <t>4.13.5</t>
        </is>
      </c>
      <c r="C15" s="4" t="inlineStr">
        <is>
          <t>fellowship</t>
        </is>
      </c>
      <c r="D15" s="4" t="inlineStr">
        <is>
          <t>- A stretched cruciate graft with a difference at both angles means the revision must address the corner.</t>
        </is>
      </c>
      <c r="E15" s="4" t="inlineStr"/>
      <c r="F15" s="4" t="inlineStr"/>
      <c r="G15" s="4" t="inlineStr"/>
    </row>
    <row r="16">
      <c r="A16" s="4" t="inlineStr">
        <is>
          <t>4.13.6-P1</t>
        </is>
      </c>
      <c r="B16" s="4" t="inlineStr">
        <is>
          <t>4.13.6</t>
        </is>
      </c>
      <c r="C16" s="4" t="inlineStr">
        <is>
          <t>medical_student</t>
        </is>
      </c>
      <c r="D16" s="4" t="inlineStr">
        <is>
          <t>Compare with the other knee using the same hands and the same forces.</t>
        </is>
      </c>
      <c r="E16" s="4" t="inlineStr"/>
      <c r="F16" s="4" t="inlineStr"/>
      <c r="G16" s="4" t="inlineStr"/>
    </row>
    <row r="17">
      <c r="A17" s="4" t="inlineStr">
        <is>
          <t>4.13.6-P2</t>
        </is>
      </c>
      <c r="B17" s="4" t="inlineStr">
        <is>
          <t>4.13.6</t>
        </is>
      </c>
      <c r="C17" s="4" t="inlineStr">
        <is>
          <t>medical_student</t>
        </is>
      </c>
      <c r="D17" s="4" t="inlineStr">
        <is>
          <t>A positive result in a knee with a normal dial test should be distrusted, since the dial test is the more reliable reading of the same structures.</t>
        </is>
      </c>
      <c r="E17" s="4" t="inlineStr"/>
      <c r="F17" s="4" t="inlineStr"/>
      <c r="G17" s="4" t="inlineStr"/>
    </row>
    <row r="18">
      <c r="A18" s="4" t="inlineStr">
        <is>
          <t>4.13.6-P3</t>
        </is>
      </c>
      <c r="B18" s="4" t="inlineStr">
        <is>
          <t>4.13.6</t>
        </is>
      </c>
      <c r="C18" s="4" t="inlineStr">
        <is>
          <t>medical_student</t>
        </is>
      </c>
      <c r="D18" s="4" t="inlineStr">
        <is>
          <t>- A positive result with a normal dial test should be distrusted.</t>
        </is>
      </c>
      <c r="E18" s="4" t="inlineStr"/>
      <c r="F18" s="4" t="inlineStr"/>
      <c r="G18" s="4" t="inlineStr"/>
    </row>
    <row r="19">
      <c r="A19" s="4" t="inlineStr">
        <is>
          <t>4.13.7-P1</t>
        </is>
      </c>
      <c r="B19" s="4" t="inlineStr">
        <is>
          <t>4.13.7</t>
        </is>
      </c>
      <c r="C19" s="4" t="inlineStr">
        <is>
          <t>medical_student</t>
        </is>
      </c>
      <c r="D19" s="4" t="inlineStr">
        <is>
          <t>Compare the two sides in the same way, with the same grip and the same lift.</t>
        </is>
      </c>
      <c r="E19" s="4" t="inlineStr"/>
      <c r="F19" s="4" t="inlineStr"/>
      <c r="G19" s="4" t="inlineStr"/>
    </row>
    <row r="20">
      <c r="A20" s="4" t="inlineStr">
        <is>
          <t>4.13.8-P1</t>
        </is>
      </c>
      <c r="B20" s="4" t="inlineStr">
        <is>
          <t>4.13.8</t>
        </is>
      </c>
      <c r="C20" s="4" t="inlineStr">
        <is>
          <t>medical_student</t>
        </is>
      </c>
      <c r="D20" s="4" t="inlineStr">
        <is>
          <t>Examine the common peroneal nerve and the circulation first in any knee with corner signs, because a combined injury raises the possibility of a dislocation.</t>
        </is>
      </c>
      <c r="E20" s="4" t="inlineStr"/>
      <c r="F20" s="4" t="inlineStr"/>
      <c r="G20" s="4" t="inlineStr"/>
    </row>
  </sheetData>
  <dataValidations count="1">
    <dataValidation sqref="E3:E20"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4.13.1-F1</t>
        </is>
      </c>
      <c r="B3" s="4" t="inlineStr">
        <is>
          <t>4.13.1</t>
        </is>
      </c>
      <c r="C3" s="4" t="inlineStr">
        <is>
          <t>medical_student</t>
        </is>
      </c>
      <c r="D3" s="4" t="inlineStr">
        <is>
          <t>thirty degrees</t>
        </is>
      </c>
      <c r="E3" s="4" t="inlineStr">
        <is>
          <t>As on the medial side, the test is performed at thirty degrees and in full extension, because different structures share the restraint at the two angles.</t>
        </is>
      </c>
      <c r="F3" s="4" t="inlineStr"/>
      <c r="G3" s="4" t="inlineStr"/>
      <c r="H3" s="4" t="inlineStr"/>
    </row>
    <row r="4">
      <c r="A4" s="4" t="inlineStr">
        <is>
          <t>4.13.2-F1</t>
        </is>
      </c>
      <c r="B4" s="4" t="inlineStr">
        <is>
          <t>4.13.2</t>
        </is>
      </c>
      <c r="C4" s="4" t="inlineStr">
        <is>
          <t>medical_student</t>
        </is>
      </c>
      <c r="D4" s="4" t="inlineStr">
        <is>
          <t>thirty degrees</t>
        </is>
      </c>
      <c r="E4" s="4" t="inlineStr">
        <is>
          <t>Then perform varus stress at thirty degrees and in extension, with your fingers on the lateral joint line.</t>
        </is>
      </c>
      <c r="F4" s="4" t="inlineStr"/>
      <c r="G4" s="4" t="inlineStr"/>
      <c r="H4" s="4" t="inlineStr"/>
    </row>
    <row r="5">
      <c r="A5" s="4" t="inlineStr">
        <is>
          <t>4.13.3-F1</t>
        </is>
      </c>
      <c r="B5" s="4" t="inlineStr">
        <is>
          <t>4.13.3</t>
        </is>
      </c>
      <c r="C5" s="4" t="inlineStr">
        <is>
          <t>medical_student</t>
        </is>
      </c>
      <c r="D5" s="4" t="inlineStr">
        <is>
          <t>thirty degrees</t>
        </is>
      </c>
      <c r="E5" s="4" t="inlineStr">
        <is>
          <t>With the patient supine or prone, flex both knees to thirty degrees, rotate both feet externally together and compare the thigh foot angles.</t>
        </is>
      </c>
      <c r="F5" s="4" t="inlineStr"/>
      <c r="G5" s="4" t="inlineStr"/>
      <c r="H5" s="4" t="inlineStr"/>
    </row>
    <row r="6">
      <c r="A6" s="4" t="inlineStr">
        <is>
          <t>4.13.3-F2</t>
        </is>
      </c>
      <c r="B6" s="4" t="inlineStr">
        <is>
          <t>4.13.3</t>
        </is>
      </c>
      <c r="C6" s="4" t="inlineStr">
        <is>
          <t>medical_student</t>
        </is>
      </c>
      <c r="D6" s="4" t="inlineStr">
        <is>
          <t>ninety degrees</t>
        </is>
      </c>
      <c r="E6" s="4" t="inlineStr">
        <is>
          <t>Repeat at ninety degrees of flexion, because the difference between the two angles is what separates the corner from the posterior cruciate.</t>
        </is>
      </c>
      <c r="F6" s="4" t="inlineStr"/>
      <c r="G6" s="4" t="inlineStr"/>
      <c r="H6" s="4" t="inlineStr"/>
    </row>
    <row r="7">
      <c r="A7" s="4" t="inlineStr">
        <is>
          <t>4.13.3-F3</t>
        </is>
      </c>
      <c r="B7" s="4" t="inlineStr">
        <is>
          <t>4.13.3</t>
        </is>
      </c>
      <c r="C7" s="4" t="inlineStr">
        <is>
          <t>medical_student</t>
        </is>
      </c>
      <c r="D7" s="4" t="inlineStr">
        <is>
          <t>thirty and ninety degrees</t>
        </is>
      </c>
      <c r="E7" s="4" t="inlineStr">
        <is>
          <t>An increase at both thirty and ninety degrees indicates the corner and the posterior cruciate together.</t>
        </is>
      </c>
      <c r="F7" s="4" t="inlineStr"/>
      <c r="G7" s="4" t="inlineStr"/>
      <c r="H7" s="4" t="inlineStr"/>
    </row>
    <row r="8">
      <c r="A8" s="4" t="inlineStr">
        <is>
          <t>4.13.4-F1</t>
        </is>
      </c>
      <c r="B8" s="4" t="inlineStr">
        <is>
          <t>4.13.4</t>
        </is>
      </c>
      <c r="C8" s="4" t="inlineStr">
        <is>
          <t>medical_student</t>
        </is>
      </c>
      <c r="D8" s="4" t="inlineStr">
        <is>
          <t>ninety degrees</t>
        </is>
      </c>
      <c r="E8" s="4" t="inlineStr">
        <is>
          <t>Perform the dial test at thirty and at ninety degrees, with both legs together.</t>
        </is>
      </c>
      <c r="F8" s="4" t="inlineStr"/>
      <c r="G8" s="4" t="inlineStr"/>
      <c r="H8" s="4" t="inlineStr"/>
    </row>
    <row r="9">
      <c r="A9" s="4" t="inlineStr">
        <is>
          <t>4.13.4-F2</t>
        </is>
      </c>
      <c r="B9" s="4" t="inlineStr">
        <is>
          <t>4.13.4</t>
        </is>
      </c>
      <c r="C9" s="4" t="inlineStr">
        <is>
          <t>medical_student</t>
        </is>
      </c>
      <c r="D9" s="4" t="inlineStr">
        <is>
          <t>thirty degrees</t>
        </is>
      </c>
      <c r="E9" s="4" t="inlineStr">
        <is>
          <t>Perform varus stress at thirty degrees and in full extension, with your fingers on the lateral joint line.</t>
        </is>
      </c>
      <c r="F9" s="4" t="inlineStr"/>
      <c r="G9" s="4" t="inlineStr"/>
      <c r="H9" s="4" t="inlineStr"/>
    </row>
    <row r="10">
      <c r="A10" s="4" t="inlineStr">
        <is>
          <t>4.13.5-F1</t>
        </is>
      </c>
      <c r="B10" s="4" t="inlineStr">
        <is>
          <t>4.13.5</t>
        </is>
      </c>
      <c r="C10" s="4" t="inlineStr">
        <is>
          <t>medical_student</t>
        </is>
      </c>
      <c r="D10" s="4" t="inlineStr">
        <is>
          <t>thirty degrees</t>
        </is>
      </c>
      <c r="E10" s="4" t="inlineStr">
        <is>
          <t>At thirty degrees the posterolateral corner is the principal restraint to external rotation.</t>
        </is>
      </c>
      <c r="F10" s="4" t="inlineStr"/>
      <c r="G10" s="4" t="inlineStr"/>
      <c r="H10" s="4" t="inlineStr"/>
    </row>
    <row r="11">
      <c r="A11" s="4" t="inlineStr">
        <is>
          <t>4.13.5-F2</t>
        </is>
      </c>
      <c r="B11" s="4" t="inlineStr">
        <is>
          <t>4.13.5</t>
        </is>
      </c>
      <c r="C11" s="4" t="inlineStr">
        <is>
          <t>medical_student</t>
        </is>
      </c>
      <c r="D11" s="4" t="inlineStr">
        <is>
          <t>ninety degrees</t>
        </is>
      </c>
      <c r="E11" s="4" t="inlineStr">
        <is>
          <t>At ninety degrees the posterior cruciate takes a larger share.</t>
        </is>
      </c>
      <c r="F11" s="4" t="inlineStr"/>
      <c r="G11" s="4" t="inlineStr"/>
      <c r="H11" s="4" t="inlineStr"/>
    </row>
    <row r="12">
      <c r="A12" s="4" t="inlineStr">
        <is>
          <t>4.13.5-F3</t>
        </is>
      </c>
      <c r="B12" s="4" t="inlineStr">
        <is>
          <t>4.13.5</t>
        </is>
      </c>
      <c r="C12" s="4" t="inlineStr">
        <is>
          <t>medical_student</t>
        </is>
      </c>
      <c r="D12" s="4" t="inlineStr">
        <is>
          <t>ten degrees</t>
        </is>
      </c>
      <c r="E12" s="4" t="inlineStr">
        <is>
          <t>An increase in external rotation on the injured side of about ten degrees or more compared with the other knee is a positive test.</t>
        </is>
      </c>
      <c r="F12" s="4" t="inlineStr"/>
      <c r="G12" s="4" t="inlineStr"/>
      <c r="H12" s="4" t="inlineStr"/>
    </row>
    <row r="13">
      <c r="A13" s="4" t="inlineStr">
        <is>
          <t>4.13.5-F4</t>
        </is>
      </c>
      <c r="B13" s="4" t="inlineStr">
        <is>
          <t>4.13.5</t>
        </is>
      </c>
      <c r="C13" s="4" t="inlineStr">
        <is>
          <t>medical_student</t>
        </is>
      </c>
      <c r="D13" s="4" t="inlineStr">
        <is>
          <t>thirty and ninety degrees</t>
        </is>
      </c>
      <c r="E13" s="4" t="inlineStr">
        <is>
          <t>An increase at both thirty and ninety degrees indicates the corner and the posterior cruciate together, which is the combination that changes the operation.</t>
        </is>
      </c>
      <c r="F13" s="4" t="inlineStr"/>
      <c r="G13" s="4" t="inlineStr"/>
      <c r="H13" s="4" t="inlineStr"/>
    </row>
    <row r="14">
      <c r="A14" s="4" t="inlineStr">
        <is>
          <t>4.13.6-F1</t>
        </is>
      </c>
      <c r="B14" s="4" t="inlineStr">
        <is>
          <t>4.13.6</t>
        </is>
      </c>
      <c r="C14" s="4" t="inlineStr">
        <is>
          <t>medical_student</t>
        </is>
      </c>
      <c r="D14" s="4" t="inlineStr">
        <is>
          <t>seventy degrees</t>
        </is>
      </c>
      <c r="E14" s="4" t="inlineStr">
        <is>
          <t>Flex the knee to about seventy degrees with the patient relaxed, hold the foot, apply a valgus force and hold the tibia in external rotation.</t>
        </is>
      </c>
      <c r="F14" s="4" t="inlineStr"/>
      <c r="G14" s="4" t="inlineStr"/>
      <c r="H14" s="4" t="inlineStr"/>
    </row>
    <row r="15">
      <c r="A15" s="4" t="inlineStr">
        <is>
          <t>4.13.6-F2</t>
        </is>
      </c>
      <c r="B15" s="4" t="inlineStr">
        <is>
          <t>4.13.6</t>
        </is>
      </c>
      <c r="C15" s="4" t="inlineStr">
        <is>
          <t>medical_student</t>
        </is>
      </c>
      <c r="D15" s="4" t="inlineStr">
        <is>
          <t>twenty to thirty degrees</t>
        </is>
      </c>
      <c r="E15" s="4" t="inlineStr">
        <is>
          <t>Extend the knee slowly while keeping both forces applied, and feel for the lateral plateau reducing as the knee passes about twenty to thirty degrees.</t>
        </is>
      </c>
      <c r="F15" s="4" t="inlineStr"/>
      <c r="G15" s="4" t="inlineStr"/>
      <c r="H15" s="4" t="inlineStr"/>
    </row>
    <row r="16">
      <c r="A16" s="4" t="inlineStr">
        <is>
          <t>4.13.6-F3</t>
        </is>
      </c>
      <c r="B16" s="4" t="inlineStr">
        <is>
          <t>4.13.6</t>
        </is>
      </c>
      <c r="C16" s="4" t="inlineStr">
        <is>
          <t>medical_student</t>
        </is>
      </c>
      <c r="D16" s="4" t="inlineStr">
        <is>
          <t>thirty and ninety degrees</t>
        </is>
      </c>
      <c r="E16" s="4" t="inlineStr">
        <is>
          <t>Perform the dial test at thirty and ninety degrees in the same sitting, because that is the test the corner diagnosis will actually rest on.</t>
        </is>
      </c>
      <c r="F16" s="4" t="inlineStr"/>
      <c r="G16" s="4" t="inlineStr"/>
      <c r="H16" s="4" t="inlineStr"/>
    </row>
    <row r="17">
      <c r="A17" s="4" t="inlineStr">
        <is>
          <t>4.13.6-F4</t>
        </is>
      </c>
      <c r="B17" s="4" t="inlineStr">
        <is>
          <t>4.13.6</t>
        </is>
      </c>
      <c r="C17" s="4" t="inlineStr">
        <is>
          <t>mrcs</t>
        </is>
      </c>
      <c r="D17" s="4" t="inlineStr">
        <is>
          <t>thirty degrees</t>
        </is>
      </c>
      <c r="E17" s="4" t="inlineStr">
        <is>
          <t>A positive test with increased external rotation at thirty degrees only indicates the corner without the cruciate, and the dial test rather than this test is what establishes that.</t>
        </is>
      </c>
      <c r="F17" s="4" t="inlineStr"/>
      <c r="G17" s="4" t="inlineStr"/>
      <c r="H17" s="4" t="inlineStr"/>
    </row>
    <row r="18">
      <c r="A18" s="4" t="inlineStr">
        <is>
          <t>4.13.7-F1</t>
        </is>
      </c>
      <c r="B18" s="4" t="inlineStr">
        <is>
          <t>4.13.7</t>
        </is>
      </c>
      <c r="C18" s="4" t="inlineStr">
        <is>
          <t>mrcs</t>
        </is>
      </c>
      <c r="D18" s="4" t="inlineStr">
        <is>
          <t>thirty degrees</t>
        </is>
      </c>
      <c r="E18" s="4" t="inlineStr">
        <is>
          <t>A knee with a positive test and an increased dial difference at thirty degrees only has an isolated corner injury, and the dial test is what says so.</t>
        </is>
      </c>
      <c r="F18" s="4" t="inlineStr"/>
      <c r="G18" s="4" t="inlineStr"/>
      <c r="H18" s="4" t="inlineStr"/>
    </row>
    <row r="19">
      <c r="A19" s="4" t="inlineStr">
        <is>
          <t>4.13.8-F1</t>
        </is>
      </c>
      <c r="B19" s="4" t="inlineStr">
        <is>
          <t>4.13.8</t>
        </is>
      </c>
      <c r="C19" s="4" t="inlineStr">
        <is>
          <t>medical_student</t>
        </is>
      </c>
      <c r="D19" s="4" t="inlineStr">
        <is>
          <t>thirty and ninety degrees</t>
        </is>
      </c>
      <c r="E19" s="4" t="inlineStr">
        <is>
          <t>Perform the dial test at thirty and ninety degrees.</t>
        </is>
      </c>
      <c r="F19" s="4" t="inlineStr"/>
      <c r="G19" s="4" t="inlineStr"/>
      <c r="H19" s="4" t="inlineStr"/>
    </row>
    <row r="20">
      <c r="A20" s="4" t="inlineStr">
        <is>
          <t>4.13.8-F2</t>
        </is>
      </c>
      <c r="B20" s="4" t="inlineStr">
        <is>
          <t>4.13.8</t>
        </is>
      </c>
      <c r="C20" s="4" t="inlineStr">
        <is>
          <t>medical_student</t>
        </is>
      </c>
      <c r="D20" s="4" t="inlineStr">
        <is>
          <t>thirty degrees</t>
        </is>
      </c>
      <c r="E20" s="4" t="inlineStr">
        <is>
          <t>An increased dial difference at thirty degrees only, with normal cruciates, is an isolated corner injury.</t>
        </is>
      </c>
      <c r="F20" s="4" t="inlineStr"/>
      <c r="G20" s="4" t="inlineStr"/>
      <c r="H20" s="4" t="inlineStr"/>
    </row>
  </sheetData>
  <dataValidations count="1">
    <dataValidation sqref="F3:F20"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18</f>
        <v/>
      </c>
      <c r="C2" s="3">
        <f>18</f>
        <v/>
      </c>
    </row>
    <row r="3">
      <c r="A3" s="2" t="inlineStr">
        <is>
          <t>Decided</t>
        </is>
      </c>
      <c r="B3" s="3">
        <f>COUNTIF(Recommendations!E3:E20,"&lt;&gt;")</f>
        <v/>
      </c>
      <c r="C3" s="3">
        <f>COUNTIF(Measurements!F3:F20,"&lt;&gt;")</f>
        <v/>
      </c>
    </row>
    <row r="4">
      <c r="A4" s="2" t="inlineStr">
        <is>
          <t>Still blank</t>
        </is>
      </c>
      <c r="B4" s="3">
        <f>B2-B3</f>
        <v/>
      </c>
      <c r="C4" s="3">
        <f>C2-C3</f>
        <v/>
      </c>
    </row>
    <row r="5">
      <c r="A5" s="2" t="inlineStr">
        <is>
          <t>CONFIRMED</t>
        </is>
      </c>
      <c r="B5" s="3">
        <f>COUNTIF(Recommendations!E3:E20,"CONFIRMED")</f>
        <v/>
      </c>
      <c r="C5" s="3" t="inlineStr"/>
    </row>
    <row r="6">
      <c r="A6" s="2" t="inlineStr">
        <is>
          <t>AMENDED</t>
        </is>
      </c>
      <c r="B6" s="3">
        <f>COUNTIF(Recommendations!E3:E20,"AMENDED")</f>
        <v/>
      </c>
      <c r="C6" s="3" t="inlineStr"/>
    </row>
    <row r="7">
      <c r="A7" s="2" t="inlineStr">
        <is>
          <t>WITHDRAWN</t>
        </is>
      </c>
      <c r="B7" s="3">
        <f>COUNTIF(Recommendations!E3:E20,"WITHDRAWN")</f>
        <v/>
      </c>
      <c r="C7" s="3" t="inlineStr"/>
    </row>
    <row r="8">
      <c r="A8" s="2" t="inlineStr">
        <is>
          <t>NOT_CLINICAL</t>
        </is>
      </c>
      <c r="B8" s="3">
        <f>COUNTIF(Recommendations!E3:E20,"NOT_CLINICAL")</f>
        <v/>
      </c>
      <c r="C8" s="3" t="inlineStr"/>
    </row>
    <row r="9">
      <c r="A9" s="2" t="inlineStr">
        <is>
          <t>VERIFIED</t>
        </is>
      </c>
      <c r="B9" s="3" t="inlineStr"/>
      <c r="C9" s="3">
        <f>COUNTIF(Measurements!F3:F20,"VERIFIED")</f>
        <v/>
      </c>
    </row>
    <row r="10">
      <c r="A10" s="2" t="inlineStr">
        <is>
          <t>CORRECTED</t>
        </is>
      </c>
      <c r="B10" s="3" t="inlineStr"/>
      <c r="C10" s="3">
        <f>COUNTIF(Measurements!F3:F20,"CORRECTED")</f>
        <v/>
      </c>
    </row>
    <row r="11">
      <c r="A11" s="2" t="inlineStr">
        <is>
          <t>REMOVED</t>
        </is>
      </c>
      <c r="B11" s="3" t="inlineStr"/>
      <c r="C11" s="3">
        <f>COUNTIF(Measurements!F3:F20,"REMOVED")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2026-10-12T20:26:56Z</dcterms:created>
  <dcterms:modified xmlns:dcterms="http://purl.org/dc/terms/" xmlns:xsi="http://www.w3.org/2001/XMLSchema-instance" xsi:type="dcterms:W3CDTF">2026-10-12T20:26:56Z</dcterms:modified>
</cp:coreProperties>
</file>