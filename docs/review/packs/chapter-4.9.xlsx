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4.9 Meniscal Examination</t>
        </is>
      </c>
    </row>
    <row r="3">
      <c r="A3" s="2" t="inlineStr">
        <is>
          <t>Section</t>
        </is>
      </c>
      <c r="B3" s="3" t="inlineStr">
        <is>
          <t>4</t>
        </is>
      </c>
    </row>
    <row r="4">
      <c r="A4" s="2" t="inlineStr">
        <is>
          <t>Chapter</t>
        </is>
      </c>
      <c r="B4" s="3" t="inlineStr">
        <is>
          <t>4.9 Meniscal Examination</t>
        </is>
      </c>
    </row>
    <row r="5">
      <c r="A5" s="2" t="inlineStr">
        <is>
          <t>Pages</t>
        </is>
      </c>
      <c r="B5" s="3" t="n">
        <v>11</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13,886</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6</v>
      </c>
    </row>
    <row r="12">
      <c r="A12" s="2" t="inlineStr">
        <is>
          <t>Recommendations to sign</t>
        </is>
      </c>
      <c r="B12" s="3" t="n">
        <v>33</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4.9.1</t>
        </is>
      </c>
      <c r="B2" s="6" t="inlineStr">
        <is>
          <t>Clinical Presentation</t>
        </is>
      </c>
      <c r="C2" s="6" t="n">
        <v>4</v>
      </c>
      <c r="D2" s="6" t="n">
        <v>1369</v>
      </c>
      <c r="E2" s="6" t="inlineStr">
        <is>
          <t>examination/meniscal-clinical-presentation.html</t>
        </is>
      </c>
    </row>
    <row r="3">
      <c r="A3" s="6" t="inlineStr">
        <is>
          <t>4.9.2</t>
        </is>
      </c>
      <c r="B3" s="6" t="inlineStr">
        <is>
          <t>Joint Line Tenderness</t>
        </is>
      </c>
      <c r="C3" s="6" t="n">
        <v>4</v>
      </c>
      <c r="D3" s="6" t="n">
        <v>1196</v>
      </c>
      <c r="E3" s="6" t="inlineStr">
        <is>
          <t>examination/meniscal-joint-line-tenderness.html</t>
        </is>
      </c>
    </row>
    <row r="4">
      <c r="A4" s="6" t="inlineStr">
        <is>
          <t>4.9.3</t>
        </is>
      </c>
      <c r="B4" s="6" t="inlineStr">
        <is>
          <t>McMurray Test</t>
        </is>
      </c>
      <c r="C4" s="6" t="n">
        <v>4</v>
      </c>
      <c r="D4" s="6" t="n">
        <v>1238</v>
      </c>
      <c r="E4" s="6" t="inlineStr">
        <is>
          <t>examination/mcmurray-test.html</t>
        </is>
      </c>
    </row>
    <row r="5">
      <c r="A5" s="6" t="inlineStr">
        <is>
          <t>4.9.4</t>
        </is>
      </c>
      <c r="B5" s="6" t="inlineStr">
        <is>
          <t>Thessaly Test</t>
        </is>
      </c>
      <c r="C5" s="6" t="n">
        <v>4</v>
      </c>
      <c r="D5" s="6" t="n">
        <v>1253</v>
      </c>
      <c r="E5" s="6" t="inlineStr">
        <is>
          <t>examination/thessaly-test.html</t>
        </is>
      </c>
    </row>
    <row r="6">
      <c r="A6" s="6" t="inlineStr">
        <is>
          <t>4.9.5</t>
        </is>
      </c>
      <c r="B6" s="6" t="inlineStr">
        <is>
          <t>Apley Compression Test</t>
        </is>
      </c>
      <c r="C6" s="6" t="n">
        <v>4</v>
      </c>
      <c r="D6" s="6" t="n">
        <v>1170</v>
      </c>
      <c r="E6" s="6" t="inlineStr">
        <is>
          <t>examination/apley-compression-test.html</t>
        </is>
      </c>
    </row>
    <row r="7">
      <c r="A7" s="6" t="inlineStr">
        <is>
          <t>4.9.6</t>
        </is>
      </c>
      <c r="B7" s="6" t="inlineStr">
        <is>
          <t>Childress Squat Test</t>
        </is>
      </c>
      <c r="C7" s="6" t="n">
        <v>4</v>
      </c>
      <c r="D7" s="6" t="n">
        <v>1216</v>
      </c>
      <c r="E7" s="6" t="inlineStr">
        <is>
          <t>examination/childress-squat-test.html</t>
        </is>
      </c>
    </row>
    <row r="8">
      <c r="A8" s="6" t="inlineStr">
        <is>
          <t>4.9.7</t>
        </is>
      </c>
      <c r="B8" s="6" t="inlineStr">
        <is>
          <t>Ege Test</t>
        </is>
      </c>
      <c r="C8" s="6" t="n">
        <v>4</v>
      </c>
      <c r="D8" s="6" t="n">
        <v>1231</v>
      </c>
      <c r="E8" s="6" t="inlineStr">
        <is>
          <t>examination/ege-test.html</t>
        </is>
      </c>
    </row>
    <row r="9">
      <c r="A9" s="6" t="inlineStr">
        <is>
          <t>4.9.8</t>
        </is>
      </c>
      <c r="B9" s="6" t="inlineStr">
        <is>
          <t>Mechanical Locking</t>
        </is>
      </c>
      <c r="C9" s="6" t="n">
        <v>4</v>
      </c>
      <c r="D9" s="6" t="n">
        <v>1405</v>
      </c>
      <c r="E9" s="6" t="inlineStr">
        <is>
          <t>examination/confirming-a-mechanical-block.html</t>
        </is>
      </c>
    </row>
    <row r="10">
      <c r="A10" s="6" t="inlineStr">
        <is>
          <t>4.9.9</t>
        </is>
      </c>
      <c r="B10" s="6" t="inlineStr">
        <is>
          <t>Meniscal Root Tears</t>
        </is>
      </c>
      <c r="C10" s="6" t="n">
        <v>4</v>
      </c>
      <c r="D10" s="6" t="n">
        <v>1307</v>
      </c>
      <c r="E10" s="6" t="inlineStr">
        <is>
          <t>examination/meniscal-root-tears.html</t>
        </is>
      </c>
    </row>
    <row r="11">
      <c r="A11" s="6" t="inlineStr">
        <is>
          <t>4.9.10</t>
        </is>
      </c>
      <c r="B11" s="6" t="inlineStr">
        <is>
          <t>Meniscal Deficiency</t>
        </is>
      </c>
      <c r="C11" s="6" t="n">
        <v>4</v>
      </c>
      <c r="D11" s="6" t="n">
        <v>1198</v>
      </c>
      <c r="E11" s="6" t="inlineStr">
        <is>
          <t>examination/meniscal-deficiency.html</t>
        </is>
      </c>
    </row>
    <row r="12">
      <c r="A12" s="6" t="inlineStr">
        <is>
          <t>4.9.11</t>
        </is>
      </c>
      <c r="B12" s="6" t="inlineStr">
        <is>
          <t>Meniscal Examination in OA</t>
        </is>
      </c>
      <c r="C12" s="6" t="n">
        <v>4</v>
      </c>
      <c r="D12" s="6" t="n">
        <v>1303</v>
      </c>
      <c r="E12" s="6" t="inlineStr">
        <is>
          <t>examination/meniscal-examination-in-oa.html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4.9.1</t>
        </is>
      </c>
      <c r="B2" s="4" t="inlineStr">
        <is>
          <t>Clinical Presentation</t>
        </is>
      </c>
      <c r="C2" s="4" t="inlineStr">
        <is>
          <t>After resection the examination has to separate a new tear from altered mechanics.</t>
        </is>
      </c>
    </row>
    <row r="3">
      <c r="A3" s="4" t="inlineStr">
        <is>
          <t>4.9.1</t>
        </is>
      </c>
      <c r="B3" s="4" t="inlineStr">
        <is>
          <t>Clinical Presentation</t>
        </is>
      </c>
      <c r="C3" s="4" t="inlineStr">
        <is>
          <t>Joint line tenderness after resection is common, persistent and poorly specific.</t>
        </is>
      </c>
    </row>
    <row r="4">
      <c r="A4" s="4" t="inlineStr">
        <is>
          <t>4.9.1</t>
        </is>
      </c>
      <c r="B4" s="4" t="inlineStr">
        <is>
          <t>Clinical Presentation</t>
        </is>
      </c>
      <c r="C4" s="4" t="inlineStr">
        <is>
          <t>A mechanical block after a repair still stands alone as a finding.</t>
        </is>
      </c>
    </row>
    <row r="5">
      <c r="A5" s="4" t="inlineStr">
        <is>
          <t>4.9.1</t>
        </is>
      </c>
      <c r="B5" s="4" t="inlineStr">
        <is>
          <t>Clinical Presentation</t>
        </is>
      </c>
      <c r="C5" s="4" t="inlineStr">
        <is>
          <t>The examination is substantially less useful after meniscal surgery than before it.</t>
        </is>
      </c>
    </row>
    <row r="6">
      <c r="A6" s="4" t="inlineStr">
        <is>
          <t>4.9.2</t>
        </is>
      </c>
      <c r="B6" s="4" t="inlineStr">
        <is>
          <t>Joint Line Tenderness</t>
        </is>
      </c>
      <c r="C6" s="4" t="inlineStr">
        <is>
          <t>After resection, tenderness is frequent, persistent and non-discriminating.</t>
        </is>
      </c>
    </row>
    <row r="7">
      <c r="A7" s="4" t="inlineStr">
        <is>
          <t>4.9.2</t>
        </is>
      </c>
      <c r="B7" s="4" t="inlineStr">
        <is>
          <t>Joint Line Tenderness</t>
        </is>
      </c>
      <c r="C7" s="4" t="inlineStr">
        <is>
          <t>After a repair, tenderness at six weeks means little and at six months means more.</t>
        </is>
      </c>
    </row>
    <row r="8">
      <c r="A8" s="4" t="inlineStr">
        <is>
          <t>4.9.2</t>
        </is>
      </c>
      <c r="B8" s="4" t="inlineStr">
        <is>
          <t>Joint Line Tenderness</t>
        </is>
      </c>
      <c r="C8" s="4" t="inlineStr">
        <is>
          <t>Record where and when rather than whether, so the next examination can compare.</t>
        </is>
      </c>
    </row>
    <row r="9">
      <c r="A9" s="4" t="inlineStr">
        <is>
          <t>4.9.2</t>
        </is>
      </c>
      <c r="B9" s="4" t="inlineStr">
        <is>
          <t>Joint Line Tenderness</t>
        </is>
      </c>
      <c r="C9" s="4" t="inlineStr">
        <is>
          <t>In a transplant or scaffold, early tenderness is expected and late tenderness is a concern.</t>
        </is>
      </c>
    </row>
    <row r="10">
      <c r="A10" s="4" t="inlineStr">
        <is>
          <t>4.9.3</t>
        </is>
      </c>
      <c r="B10" s="4" t="inlineStr">
        <is>
          <t>McMurray Test</t>
        </is>
      </c>
      <c r="C10" s="4" t="inlineStr">
        <is>
          <t>After resection a negative test is expected and uninformative.</t>
        </is>
      </c>
    </row>
    <row r="11">
      <c r="A11" s="4" t="inlineStr">
        <is>
          <t>4.9.3</t>
        </is>
      </c>
      <c r="B11" s="4" t="inlineStr">
        <is>
          <t>McMurray Test</t>
        </is>
      </c>
      <c r="C11" s="4" t="inlineStr">
        <is>
          <t>A positive after resection may reflect altered mechanics rather than a new tear.</t>
        </is>
      </c>
    </row>
    <row r="12">
      <c r="A12" s="4" t="inlineStr">
        <is>
          <t>4.9.3</t>
        </is>
      </c>
      <c r="B12" s="4" t="inlineStr">
        <is>
          <t>McMurray Test</t>
        </is>
      </c>
      <c r="C12" s="4" t="inlineStr">
        <is>
          <t>After a repair the manoeuvre loads the repair, so performing it is a decision.</t>
        </is>
      </c>
    </row>
    <row r="13">
      <c r="A13" s="4" t="inlineStr">
        <is>
          <t>4.9.3</t>
        </is>
      </c>
      <c r="B13" s="4" t="inlineStr">
        <is>
          <t>McMurray Test</t>
        </is>
      </c>
      <c r="C13" s="4" t="inlineStr">
        <is>
          <t>The useful post-operative test is the search for a mechanical block.</t>
        </is>
      </c>
    </row>
    <row r="14">
      <c r="A14" s="4" t="inlineStr">
        <is>
          <t>4.9.4</t>
        </is>
      </c>
      <c r="B14" s="4" t="inlineStr">
        <is>
          <t>Thessaly Test</t>
        </is>
      </c>
      <c r="C14" s="4" t="inlineStr">
        <is>
          <t>The test retains value after surgery because it measures function rather than trapping a fragment.</t>
        </is>
      </c>
    </row>
    <row r="15">
      <c r="A15" s="4" t="inlineStr">
        <is>
          <t>4.9.4</t>
        </is>
      </c>
      <c r="B15" s="4" t="inlineStr">
        <is>
          <t>Thessaly Test</t>
        </is>
      </c>
      <c r="C15" s="4" t="inlineStr">
        <is>
          <t>Rotating under load without symptoms after resection is a functionally satisfactory knee.</t>
        </is>
      </c>
    </row>
    <row r="16">
      <c r="A16" s="4" t="inlineStr">
        <is>
          <t>4.9.4</t>
        </is>
      </c>
      <c r="B16" s="4" t="inlineStr">
        <is>
          <t>Thessaly Test</t>
        </is>
      </c>
      <c r="C16" s="4" t="inlineStr">
        <is>
          <t>A positive does not say whether it is a new tear, altered mechanics or cartilage.</t>
        </is>
      </c>
    </row>
    <row r="17">
      <c r="A17" s="4" t="inlineStr">
        <is>
          <t>4.9.4</t>
        </is>
      </c>
      <c r="B17" s="4" t="inlineStr">
        <is>
          <t>Thessaly Test</t>
        </is>
      </c>
      <c r="C17" s="4" t="inlineStr">
        <is>
          <t>Do not use it during the protected period after a repair.</t>
        </is>
      </c>
    </row>
    <row r="18">
      <c r="A18" s="4" t="inlineStr">
        <is>
          <t>4.9.4</t>
        </is>
      </c>
      <c r="B18" s="4" t="inlineStr">
        <is>
          <t>Thessaly Test</t>
        </is>
      </c>
      <c r="C18" s="4" t="inlineStr">
        <is>
          <t>At this level it is better treated as a functional measure than a diagnostic test.</t>
        </is>
      </c>
    </row>
    <row r="19">
      <c r="A19" s="4" t="inlineStr">
        <is>
          <t>4.9.5</t>
        </is>
      </c>
      <c r="B19" s="4" t="inlineStr">
        <is>
          <t>Apley Compression Test</t>
        </is>
      </c>
      <c r="C19" s="4" t="inlineStr">
        <is>
          <t>The structure the compression half was trapping may no longer be there.</t>
        </is>
      </c>
    </row>
    <row r="20">
      <c r="A20" s="4" t="inlineStr">
        <is>
          <t>4.9.5</t>
        </is>
      </c>
      <c r="B20" s="4" t="inlineStr">
        <is>
          <t>Apley Compression Test</t>
        </is>
      </c>
      <c r="C20" s="4" t="inlineStr">
        <is>
          <t>The distraction half retains value, since a symptomatic collateral after meniscal surgery is under-diagnosed.</t>
        </is>
      </c>
    </row>
    <row r="21">
      <c r="A21" s="4" t="inlineStr">
        <is>
          <t>4.9.5</t>
        </is>
      </c>
      <c r="B21" s="4" t="inlineStr">
        <is>
          <t>Apley Compression Test</t>
        </is>
      </c>
      <c r="C21" s="4" t="inlineStr">
        <is>
          <t>Persistent medial pain after resection may mean the original problem was never the meniscus.</t>
        </is>
      </c>
    </row>
    <row r="22">
      <c r="A22" s="4" t="inlineStr">
        <is>
          <t>4.9.5</t>
        </is>
      </c>
      <c r="B22" s="4" t="inlineStr">
        <is>
          <t>Apley Compression Test</t>
        </is>
      </c>
      <c r="C22" s="4" t="inlineStr">
        <is>
          <t>In a stiff knee the prone test reports the flexion rather than the meniscus.</t>
        </is>
      </c>
    </row>
    <row r="23">
      <c r="A23" s="4" t="inlineStr">
        <is>
          <t>4.9.6</t>
        </is>
      </c>
      <c r="B23" s="4" t="inlineStr">
        <is>
          <t>Childress Squat Test</t>
        </is>
      </c>
      <c r="C23" s="4" t="inlineStr">
        <is>
          <t>After surgery the squat is a functional measure rather than a provocative test.</t>
        </is>
      </c>
    </row>
    <row r="24">
      <c r="A24" s="4" t="inlineStr">
        <is>
          <t>4.9.6</t>
        </is>
      </c>
      <c r="B24" s="4" t="inlineStr">
        <is>
          <t>Childress Squat Test</t>
        </is>
      </c>
      <c r="C24" s="4" t="inlineStr">
        <is>
          <t>A regained full painless squat is a good functional result whatever the imaging shows.</t>
        </is>
      </c>
    </row>
    <row r="25">
      <c r="A25" s="4" t="inlineStr">
        <is>
          <t>4.9.6</t>
        </is>
      </c>
      <c r="B25" s="4" t="inlineStr">
        <is>
          <t>Childress Squat Test</t>
        </is>
      </c>
      <c r="C25" s="4" t="inlineStr">
        <is>
          <t>After a root repair deep flexion is restricted, so the test is a protocol decision.</t>
        </is>
      </c>
    </row>
    <row r="26">
      <c r="A26" s="4" t="inlineStr">
        <is>
          <t>4.9.6</t>
        </is>
      </c>
      <c r="B26" s="4" t="inlineStr">
        <is>
          <t>Childress Squat Test</t>
        </is>
      </c>
      <c r="C26" s="4" t="inlineStr">
        <is>
          <t>In the degenerate knee an inability to squat is near universal and contributes nothing diagnostically.</t>
        </is>
      </c>
    </row>
    <row r="27">
      <c r="A27" s="4" t="inlineStr">
        <is>
          <t>4.9.7</t>
        </is>
      </c>
      <c r="B27" s="4" t="inlineStr">
        <is>
          <t>Ege Test</t>
        </is>
      </c>
      <c r="C27" s="4" t="inlineStr">
        <is>
          <t>After surgery it is a functional measure rather than a provocative test.</t>
        </is>
      </c>
    </row>
    <row r="28">
      <c r="A28" s="4" t="inlineStr">
        <is>
          <t>4.9.7</t>
        </is>
      </c>
      <c r="B28" s="4" t="inlineStr">
        <is>
          <t>Ege Test</t>
        </is>
      </c>
      <c r="C28" s="4" t="inlineStr">
        <is>
          <t>A positive in the untouched direction points away from the operated compartment.</t>
        </is>
      </c>
    </row>
    <row r="29">
      <c r="A29" s="4" t="inlineStr">
        <is>
          <t>4.9.7</t>
        </is>
      </c>
      <c r="B29" s="4" t="inlineStr">
        <is>
          <t>Ege Test</t>
        </is>
      </c>
      <c r="C29" s="4" t="inlineStr">
        <is>
          <t>After a root repair or transplant the test is a protocol decision rather than a routine.</t>
        </is>
      </c>
    </row>
    <row r="30">
      <c r="A30" s="4" t="inlineStr">
        <is>
          <t>4.9.7</t>
        </is>
      </c>
      <c r="B30" s="4" t="inlineStr">
        <is>
          <t>Ege Test</t>
        </is>
      </c>
      <c r="C30" s="4" t="inlineStr">
        <is>
          <t>The provocative group was designed to detect tears; imaging now does that better.</t>
        </is>
      </c>
    </row>
    <row r="31">
      <c r="A31" s="4" t="inlineStr">
        <is>
          <t>4.9.7</t>
        </is>
      </c>
      <c r="B31" s="4" t="inlineStr">
        <is>
          <t>Ege Test</t>
        </is>
      </c>
      <c r="C31" s="4" t="inlineStr">
        <is>
          <t>What the examination contributes is attribution and function, which these tests were not designed for.</t>
        </is>
      </c>
    </row>
    <row r="32">
      <c r="A32" s="4" t="inlineStr">
        <is>
          <t>4.9.8</t>
        </is>
      </c>
      <c r="B32" s="4" t="inlineStr">
        <is>
          <t>Mechanical Locking</t>
        </is>
      </c>
      <c r="C32" s="4" t="inlineStr">
        <is>
          <t>A block after surgery has its own differential and the meniscus is not at the top of it.</t>
        </is>
      </c>
    </row>
    <row r="33">
      <c r="A33" s="4" t="inlineStr">
        <is>
          <t>4.9.8</t>
        </is>
      </c>
      <c r="B33" s="4" t="inlineStr">
        <is>
          <t>Mechanical Locking</t>
        </is>
      </c>
      <c r="C33" s="4" t="inlineStr">
        <is>
          <t>A cyclops lesion blocks near extension and is frequently recorded as stiffness.</t>
        </is>
      </c>
    </row>
    <row r="34">
      <c r="A34" s="4" t="inlineStr">
        <is>
          <t>4.9.8</t>
        </is>
      </c>
      <c r="B34" s="4" t="inlineStr">
        <is>
          <t>Mechanical Locking</t>
        </is>
      </c>
      <c r="C34" s="4" t="inlineStr">
        <is>
          <t>Whether the knee was ever straight after the operation separates a retained fragment from a contracture.</t>
        </is>
      </c>
    </row>
    <row r="35">
      <c r="A35" s="4" t="inlineStr">
        <is>
          <t>4.9.8</t>
        </is>
      </c>
      <c r="B35" s="4" t="inlineStr">
        <is>
          <t>Mechanical Locking</t>
        </is>
      </c>
      <c r="C35" s="4" t="inlineStr">
        <is>
          <t>After arthroplasty a block raises impingement, osteophyte, cement or component issues.</t>
        </is>
      </c>
    </row>
    <row r="36">
      <c r="A36" s="4" t="inlineStr">
        <is>
          <t>4.9.8</t>
        </is>
      </c>
      <c r="B36" s="4" t="inlineStr">
        <is>
          <t>Mechanical Locking</t>
        </is>
      </c>
      <c r="C36" s="4" t="inlineStr">
        <is>
          <t>The endpoint character is the main clinical discriminator between a block and arthrofibrosis.</t>
        </is>
      </c>
    </row>
    <row r="37">
      <c r="A37" s="4" t="inlineStr">
        <is>
          <t>4.9.9</t>
        </is>
      </c>
      <c r="B37" s="4" t="inlineStr">
        <is>
          <t>Meniscal Root Tears</t>
        </is>
      </c>
      <c r="C37" s="4" t="inlineStr">
        <is>
          <t>The common referral is a rapidly deteriorating knee labelled as arthritis.</t>
        </is>
      </c>
    </row>
    <row r="38">
      <c r="A38" s="4" t="inlineStr">
        <is>
          <t>4.9.9</t>
        </is>
      </c>
      <c r="B38" s="4" t="inlineStr">
        <is>
          <t>Meniscal Root Tears</t>
        </is>
      </c>
      <c r="C38" s="4" t="inlineStr">
        <is>
          <t>How quickly the knee changed is what identifies it.</t>
        </is>
      </c>
    </row>
    <row r="39">
      <c r="A39" s="4" t="inlineStr">
        <is>
          <t>4.9.9</t>
        </is>
      </c>
      <c r="B39" s="4" t="inlineStr">
        <is>
          <t>Meniscal Root Tears</t>
        </is>
      </c>
      <c r="C39" s="4" t="inlineStr">
        <is>
          <t>A failed repair looks like the original tear, and imaging usually separates them.</t>
        </is>
      </c>
    </row>
    <row r="40">
      <c r="A40" s="4" t="inlineStr">
        <is>
          <t>4.9.9</t>
        </is>
      </c>
      <c r="B40" s="4" t="inlineStr">
        <is>
          <t>Meniscal Root Tears</t>
        </is>
      </c>
      <c r="C40" s="4" t="inlineStr">
        <is>
          <t>A root repair in a knee that was not realigned is a recognised reason for failure.</t>
        </is>
      </c>
    </row>
    <row r="41">
      <c r="A41" s="4" t="inlineStr">
        <is>
          <t>4.9.9</t>
        </is>
      </c>
      <c r="B41" s="4" t="inlineStr">
        <is>
          <t>Meniscal Root Tears</t>
        </is>
      </c>
      <c r="C41" s="4" t="inlineStr">
        <is>
          <t>The examination raises the question here and almost never answers it.</t>
        </is>
      </c>
    </row>
    <row r="42">
      <c r="A42" s="4" t="inlineStr">
        <is>
          <t>4.9.10</t>
        </is>
      </c>
      <c r="B42" s="4" t="inlineStr">
        <is>
          <t>Meniscal Deficiency</t>
        </is>
      </c>
      <c r="C42" s="4" t="inlineStr">
        <is>
          <t>Deficiency is the predictable end state of the resection the chapter's tests lead to.</t>
        </is>
      </c>
    </row>
    <row r="43">
      <c r="A43" s="4" t="inlineStr">
        <is>
          <t>4.9.10</t>
        </is>
      </c>
      <c r="B43" s="4" t="inlineStr">
        <is>
          <t>Meniscal Deficiency</t>
        </is>
      </c>
      <c r="C43" s="4" t="inlineStr">
        <is>
          <t>The assessment is alignment, cartilage, symptom localisation and function.</t>
        </is>
      </c>
    </row>
    <row r="44">
      <c r="A44" s="4" t="inlineStr">
        <is>
          <t>4.9.10</t>
        </is>
      </c>
      <c r="B44" s="4" t="inlineStr">
        <is>
          <t>Meniscal Deficiency</t>
        </is>
      </c>
      <c r="C44" s="4" t="inlineStr">
        <is>
          <t>The provocative tests contribute nothing to this knee.</t>
        </is>
      </c>
    </row>
    <row r="45">
      <c r="A45" s="4" t="inlineStr">
        <is>
          <t>4.9.10</t>
        </is>
      </c>
      <c r="B45" s="4" t="inlineStr">
        <is>
          <t>Meniscal Deficiency</t>
        </is>
      </c>
      <c r="C45" s="4" t="inlineStr">
        <is>
          <t>The hardest judgement is timing, between too early to need anything and too late for anything but arthroplasty.</t>
        </is>
      </c>
    </row>
    <row r="46">
      <c r="A46" s="4" t="inlineStr">
        <is>
          <t>4.9.10</t>
        </is>
      </c>
      <c r="B46" s="4" t="inlineStr">
        <is>
          <t>Meniscal Deficiency</t>
        </is>
      </c>
      <c r="C46" s="4" t="inlineStr">
        <is>
          <t>The best examination of a deficient knee is the one that prevented it.</t>
        </is>
      </c>
    </row>
    <row r="47">
      <c r="A47" s="4" t="inlineStr">
        <is>
          <t>4.9.11</t>
        </is>
      </c>
      <c r="B47" s="4" t="inlineStr">
        <is>
          <t>Meniscal Examination in OA</t>
        </is>
      </c>
      <c r="C47" s="4" t="inlineStr">
        <is>
          <t>In this group saying no is the service, and the examination makes it defensible.</t>
        </is>
      </c>
    </row>
    <row r="48">
      <c r="A48" s="4" t="inlineStr">
        <is>
          <t>4.9.11</t>
        </is>
      </c>
      <c r="B48" s="4" t="inlineStr">
        <is>
          <t>Meniscal Examination in OA</t>
        </is>
      </c>
      <c r="C48" s="4" t="inlineStr">
        <is>
          <t>A recorded absence of a mechanical block is a reason rather than an opinion.</t>
        </is>
      </c>
    </row>
    <row r="49">
      <c r="A49" s="4" t="inlineStr">
        <is>
          <t>4.9.11</t>
        </is>
      </c>
      <c r="B49" s="4" t="inlineStr">
        <is>
          <t>Meniscal Examination in OA</t>
        </is>
      </c>
      <c r="C49" s="4" t="inlineStr">
        <is>
          <t>The patient who does need an operation is identified by the same examination.</t>
        </is>
      </c>
    </row>
    <row r="50">
      <c r="A50" s="4" t="inlineStr">
        <is>
          <t>4.9.11</t>
        </is>
      </c>
      <c r="B50" s="4" t="inlineStr">
        <is>
          <t>Meniscal Examination in OA</t>
        </is>
      </c>
      <c r="C50" s="4" t="inlineStr">
        <is>
          <t>Eleven pages of tests lead to one finding that acts alone and a combination better than any single test.</t>
        </is>
      </c>
    </row>
    <row r="51">
      <c r="A51" s="4" t="inlineStr">
        <is>
          <t>4.9.11</t>
        </is>
      </c>
      <c r="B51" s="4" t="inlineStr">
        <is>
          <t>Meniscal Examination in OA</t>
        </is>
      </c>
      <c r="C51" s="4" t="inlineStr">
        <is>
          <t>In the degenerate knee the whole group performs poorly, which is not how it is usually taught.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4.9.1-P1</t>
        </is>
      </c>
      <c r="B3" s="4" t="inlineStr">
        <is>
          <t>4.9.1</t>
        </is>
      </c>
      <c r="C3" s="4" t="inlineStr">
        <is>
          <t>medical_student</t>
        </is>
      </c>
      <c r="D3" s="4" t="inlineStr">
        <is>
          <t>Take the history before the examination, and take the mechanism, the swelling timing and the mechanical symptoms specifically.</t>
        </is>
      </c>
      <c r="E3" s="4" t="inlineStr"/>
      <c r="F3" s="4" t="inlineStr"/>
      <c r="G3" s="4" t="inlineStr"/>
    </row>
    <row r="4">
      <c r="A4" s="4" t="inlineStr">
        <is>
          <t>4.9.1-P2</t>
        </is>
      </c>
      <c r="B4" s="4" t="inlineStr">
        <is>
          <t>4.9.1</t>
        </is>
      </c>
      <c r="C4" s="4" t="inlineStr">
        <is>
          <t>medical_student</t>
        </is>
      </c>
      <c r="D4" s="4" t="inlineStr">
        <is>
          <t>Assess range and look for a loss of extension, which is the finding that changes the urgency.</t>
        </is>
      </c>
      <c r="E4" s="4" t="inlineStr"/>
      <c r="F4" s="4" t="inlineStr"/>
      <c r="G4" s="4" t="inlineStr"/>
    </row>
    <row r="5">
      <c r="A5" s="4" t="inlineStr">
        <is>
          <t>4.9.2-P1</t>
        </is>
      </c>
      <c r="B5" s="4" t="inlineStr">
        <is>
          <t>4.9.2</t>
        </is>
      </c>
      <c r="C5" s="4" t="inlineStr">
        <is>
          <t>medical_student</t>
        </is>
      </c>
      <c r="D5" s="4" t="inlineStr">
        <is>
          <t>Identify the line by palpating from the patellar tendon laterally and medially until the step between the femur and the tibia is felt.</t>
        </is>
      </c>
      <c r="E5" s="4" t="inlineStr"/>
      <c r="F5" s="4" t="inlineStr"/>
      <c r="G5" s="4" t="inlineStr"/>
    </row>
    <row r="6">
      <c r="A6" s="4" t="inlineStr">
        <is>
          <t>4.9.2-P2</t>
        </is>
      </c>
      <c r="B6" s="4" t="inlineStr">
        <is>
          <t>4.9.2</t>
        </is>
      </c>
      <c r="C6" s="4" t="inlineStr">
        <is>
          <t>medical_student</t>
        </is>
      </c>
      <c r="D6" s="4" t="inlineStr">
        <is>
          <t>Ask the patient to say when it is tender rather than watching their face, and ask them whether that is their pain, which is a different question from whether it hurts.</t>
        </is>
      </c>
      <c r="E6" s="4" t="inlineStr"/>
      <c r="F6" s="4" t="inlineStr"/>
      <c r="G6" s="4" t="inlineStr"/>
    </row>
    <row r="7">
      <c r="A7" s="4" t="inlineStr">
        <is>
          <t>4.9.3-P1</t>
        </is>
      </c>
      <c r="B7" s="4" t="inlineStr">
        <is>
          <t>4.9.3</t>
        </is>
      </c>
      <c r="C7" s="4" t="inlineStr">
        <is>
          <t>medical_student</t>
        </is>
      </c>
      <c r="D7" s="4" t="inlineStr">
        <is>
          <t>Repeat on the other knee for comparison, and expect the test to be uncomfortable, which is why it is performed late.</t>
        </is>
      </c>
      <c r="E7" s="4" t="inlineStr"/>
      <c r="F7" s="4" t="inlineStr"/>
      <c r="G7" s="4" t="inlineStr"/>
    </row>
    <row r="8">
      <c r="A8" s="4" t="inlineStr">
        <is>
          <t>4.9.3-P2</t>
        </is>
      </c>
      <c r="B8" s="4" t="inlineStr">
        <is>
          <t>4.9.3</t>
        </is>
      </c>
      <c r="C8" s="4" t="inlineStr">
        <is>
          <t>frcs</t>
        </is>
      </c>
      <c r="D8" s="4" t="inlineStr">
        <is>
          <t>At decision level the McMurray test contributes to a combination and should not be weighted alone.</t>
        </is>
      </c>
      <c r="E8" s="4" t="inlineStr"/>
      <c r="F8" s="4" t="inlineStr"/>
      <c r="G8" s="4" t="inlineStr"/>
    </row>
    <row r="9">
      <c r="A9" s="4" t="inlineStr">
        <is>
          <t>4.9.3-P3</t>
        </is>
      </c>
      <c r="B9" s="4" t="inlineStr">
        <is>
          <t>4.9.3</t>
        </is>
      </c>
      <c r="C9" s="4" t="inlineStr">
        <is>
          <t>frcs</t>
        </is>
      </c>
      <c r="D9" s="4" t="inlineStr">
        <is>
          <t>The test contributes to a combination and should not be weighted alone.</t>
        </is>
      </c>
      <c r="E9" s="4" t="inlineStr"/>
      <c r="F9" s="4" t="inlineStr"/>
      <c r="G9" s="4" t="inlineStr"/>
    </row>
    <row r="10">
      <c r="A10" s="4" t="inlineStr">
        <is>
          <t>4.9.4-P1</t>
        </is>
      </c>
      <c r="B10" s="4" t="inlineStr">
        <is>
          <t>4.9.4</t>
        </is>
      </c>
      <c r="C10" s="4" t="inlineStr">
        <is>
          <t>medical_student</t>
        </is>
      </c>
      <c r="D10" s="4" t="inlineStr">
        <is>
          <t>Ask the patient to stand and support themselves by holding your hands or a stable surface.</t>
        </is>
      </c>
      <c r="E10" s="4" t="inlineStr"/>
      <c r="F10" s="4" t="inlineStr"/>
      <c r="G10" s="4" t="inlineStr"/>
    </row>
    <row r="11">
      <c r="A11" s="4" t="inlineStr">
        <is>
          <t>4.9.4-P2</t>
        </is>
      </c>
      <c r="B11" s="4" t="inlineStr">
        <is>
          <t>4.9.4</t>
        </is>
      </c>
      <c r="C11" s="4" t="inlineStr">
        <is>
          <t>medical_student</t>
        </is>
      </c>
      <c r="D11" s="4" t="inlineStr">
        <is>
          <t>Do not perform it in a knee that cannot bear weight or that is acutely locked.</t>
        </is>
      </c>
      <c r="E11" s="4" t="inlineStr"/>
      <c r="F11" s="4" t="inlineStr"/>
      <c r="G11" s="4" t="inlineStr"/>
    </row>
    <row r="12">
      <c r="A12" s="4" t="inlineStr">
        <is>
          <t>4.9.4-P3</t>
        </is>
      </c>
      <c r="B12" s="4" t="inlineStr">
        <is>
          <t>4.9.4</t>
        </is>
      </c>
      <c r="C12" s="4" t="inlineStr">
        <is>
          <t>mrcs</t>
        </is>
      </c>
      <c r="D12" s="4" t="inlineStr">
        <is>
          <t>Say that the test is performed at a stated flexion angle, because the angle changes which part of the meniscus is loaded, and that the angle should be recorded.</t>
        </is>
      </c>
      <c r="E12" s="4" t="inlineStr"/>
      <c r="F12" s="4" t="inlineStr"/>
      <c r="G12" s="4" t="inlineStr"/>
    </row>
    <row r="13">
      <c r="A13" s="4" t="inlineStr">
        <is>
          <t>4.9.4-P4</t>
        </is>
      </c>
      <c r="B13" s="4" t="inlineStr">
        <is>
          <t>4.9.4</t>
        </is>
      </c>
      <c r="C13" s="4" t="inlineStr">
        <is>
          <t>fellowship</t>
        </is>
      </c>
      <c r="D13" s="4" t="inlineStr">
        <is>
          <t>After a repair the test loads the repair and should not be used during the protected period.</t>
        </is>
      </c>
      <c r="E13" s="4" t="inlineStr"/>
      <c r="F13" s="4" t="inlineStr"/>
      <c r="G13" s="4" t="inlineStr"/>
    </row>
    <row r="14">
      <c r="A14" s="4" t="inlineStr">
        <is>
          <t>4.9.5-P1</t>
        </is>
      </c>
      <c r="B14" s="4" t="inlineStr">
        <is>
          <t>4.9.5</t>
        </is>
      </c>
      <c r="C14" s="4" t="inlineStr">
        <is>
          <t>medical_student</t>
        </is>
      </c>
      <c r="D14" s="4" t="inlineStr">
        <is>
          <t>Place the patient prone with the knee flexed to about ninety degrees.</t>
        </is>
      </c>
      <c r="E14" s="4" t="inlineStr"/>
      <c r="F14" s="4" t="inlineStr"/>
      <c r="G14" s="4" t="inlineStr"/>
    </row>
    <row r="15">
      <c r="A15" s="4" t="inlineStr">
        <is>
          <t>4.9.5-P2</t>
        </is>
      </c>
      <c r="B15" s="4" t="inlineStr">
        <is>
          <t>4.9.5</t>
        </is>
      </c>
      <c r="C15" s="4" t="inlineStr">
        <is>
          <t>medical_student</t>
        </is>
      </c>
      <c r="D15" s="4" t="inlineStr">
        <is>
          <t>Compare the two, and ask the patient which reproduced their pain.</t>
        </is>
      </c>
      <c r="E15" s="4" t="inlineStr"/>
      <c r="F15" s="4" t="inlineStr"/>
      <c r="G15" s="4" t="inlineStr"/>
    </row>
    <row r="16">
      <c r="A16" s="4" t="inlineStr">
        <is>
          <t>4.9.6-P1</t>
        </is>
      </c>
      <c r="B16" s="4" t="inlineStr">
        <is>
          <t>4.9.6</t>
        </is>
      </c>
      <c r="C16" s="4" t="inlineStr">
        <is>
          <t>medical_student</t>
        </is>
      </c>
      <c r="D16" s="4" t="inlineStr">
        <is>
          <t>Ask the patient to squat down as far as they comfortably can, with support available.</t>
        </is>
      </c>
      <c r="E16" s="4" t="inlineStr"/>
      <c r="F16" s="4" t="inlineStr"/>
      <c r="G16" s="4" t="inlineStr"/>
    </row>
    <row r="17">
      <c r="A17" s="4" t="inlineStr">
        <is>
          <t>4.9.6-P2</t>
        </is>
      </c>
      <c r="B17" s="4" t="inlineStr">
        <is>
          <t>4.9.6</t>
        </is>
      </c>
      <c r="C17" s="4" t="inlineStr">
        <is>
          <t>medical_student</t>
        </is>
      </c>
      <c r="D17" s="4" t="inlineStr">
        <is>
          <t>Ask them to hold the position and then to rock or waddle forwards a short distance in the squat.</t>
        </is>
      </c>
      <c r="E17" s="4" t="inlineStr"/>
      <c r="F17" s="4" t="inlineStr"/>
      <c r="G17" s="4" t="inlineStr"/>
    </row>
    <row r="18">
      <c r="A18" s="4" t="inlineStr">
        <is>
          <t>4.9.6-P3</t>
        </is>
      </c>
      <c r="B18" s="4" t="inlineStr">
        <is>
          <t>4.9.6</t>
        </is>
      </c>
      <c r="C18" s="4" t="inlineStr">
        <is>
          <t>medical_student</t>
        </is>
      </c>
      <c r="D18" s="4" t="inlineStr">
        <is>
          <t>Do not persist if the patient cannot squat safely, and record the inability rather than forcing it.</t>
        </is>
      </c>
      <c r="E18" s="4" t="inlineStr"/>
      <c r="F18" s="4" t="inlineStr"/>
      <c r="G18" s="4" t="inlineStr"/>
    </row>
    <row r="19">
      <c r="A19" s="4" t="inlineStr">
        <is>
          <t>4.9.7-P1</t>
        </is>
      </c>
      <c r="B19" s="4" t="inlineStr">
        <is>
          <t>4.9.7</t>
        </is>
      </c>
      <c r="C19" s="4" t="inlineStr">
        <is>
          <t>medical_student</t>
        </is>
      </c>
      <c r="D19" s="4" t="inlineStr">
        <is>
          <t>Ask the patient to stand with the feet about shoulder width apart and then to turn both feet outwards, conventionally to around forty-five degrees.</t>
        </is>
      </c>
      <c r="E19" s="4" t="inlineStr"/>
      <c r="F19" s="4" t="inlineStr"/>
      <c r="G19" s="4" t="inlineStr"/>
    </row>
    <row r="20">
      <c r="A20" s="4" t="inlineStr">
        <is>
          <t>4.9.7-P2</t>
        </is>
      </c>
      <c r="B20" s="4" t="inlineStr">
        <is>
          <t>4.9.7</t>
        </is>
      </c>
      <c r="C20" s="4" t="inlineStr">
        <is>
          <t>medical_student</t>
        </is>
      </c>
      <c r="D20" s="4" t="inlineStr">
        <is>
          <t>Ask them to squat slowly and then to stand up slowly, noting any pain, click or catch and where it occurs.</t>
        </is>
      </c>
      <c r="E20" s="4" t="inlineStr"/>
      <c r="F20" s="4" t="inlineStr"/>
      <c r="G20" s="4" t="inlineStr"/>
    </row>
    <row r="21">
      <c r="A21" s="4" t="inlineStr">
        <is>
          <t>4.9.7-P3</t>
        </is>
      </c>
      <c r="B21" s="4" t="inlineStr">
        <is>
          <t>4.9.7</t>
        </is>
      </c>
      <c r="C21" s="4" t="inlineStr">
        <is>
          <t>medical_student</t>
        </is>
      </c>
      <c r="D21" s="4" t="inlineStr">
        <is>
          <t>Repeat with the feet turned inwards.</t>
        </is>
      </c>
      <c r="E21" s="4" t="inlineStr"/>
      <c r="F21" s="4" t="inlineStr"/>
      <c r="G21" s="4" t="inlineStr"/>
    </row>
    <row r="22">
      <c r="A22" s="4" t="inlineStr">
        <is>
          <t>4.9.7-P4</t>
        </is>
      </c>
      <c r="B22" s="4" t="inlineStr">
        <is>
          <t>4.9.7</t>
        </is>
      </c>
      <c r="C22" s="4" t="inlineStr">
        <is>
          <t>medical_student</t>
        </is>
      </c>
      <c r="D22" s="4" t="inlineStr">
        <is>
          <t>Compare the two directions and ask which reproduced their pain.</t>
        </is>
      </c>
      <c r="E22" s="4" t="inlineStr"/>
      <c r="F22" s="4" t="inlineStr"/>
      <c r="G22" s="4" t="inlineStr"/>
    </row>
    <row r="23">
      <c r="A23" s="4" t="inlineStr">
        <is>
          <t>4.9.8-P1</t>
        </is>
      </c>
      <c r="B23" s="4" t="inlineStr">
        <is>
          <t>4.9.8</t>
        </is>
      </c>
      <c r="C23" s="4" t="inlineStr">
        <is>
          <t>medical_student</t>
        </is>
      </c>
      <c r="D23" s="4" t="inlineStr">
        <is>
          <t>Ask the patient to straighten the knee fully themselves, and compare with the other side.</t>
        </is>
      </c>
      <c r="E23" s="4" t="inlineStr"/>
      <c r="F23" s="4" t="inlineStr"/>
      <c r="G23" s="4" t="inlineStr"/>
    </row>
    <row r="24">
      <c r="A24" s="4" t="inlineStr">
        <is>
          <t>4.9.8-P2</t>
        </is>
      </c>
      <c r="B24" s="4" t="inlineStr">
        <is>
          <t>4.9.8</t>
        </is>
      </c>
      <c r="C24" s="4" t="inlineStr">
        <is>
          <t>medical_student</t>
        </is>
      </c>
      <c r="D24" s="4" t="inlineStr">
        <is>
          <t>Measure and record the loss of extension in degrees, and record the endpoint character beside it.</t>
        </is>
      </c>
      <c r="E24" s="4" t="inlineStr"/>
      <c r="F24" s="4" t="inlineStr"/>
      <c r="G24" s="4" t="inlineStr"/>
    </row>
    <row r="25">
      <c r="A25" s="4" t="inlineStr">
        <is>
          <t>4.9.9-P1</t>
        </is>
      </c>
      <c r="B25" s="4" t="inlineStr">
        <is>
          <t>4.9.9</t>
        </is>
      </c>
      <c r="C25" s="4" t="inlineStr">
        <is>
          <t>medical_student</t>
        </is>
      </c>
      <c r="D25" s="4" t="inlineStr">
        <is>
          <t>Ask about pain in deep flexion and on rising from a squat, which is when the posterior horn is loaded.</t>
        </is>
      </c>
      <c r="E25" s="4" t="inlineStr"/>
      <c r="F25" s="4" t="inlineStr"/>
      <c r="G25" s="4" t="inlineStr"/>
    </row>
    <row r="26">
      <c r="A26" s="4" t="inlineStr">
        <is>
          <t>4.9.9-P2</t>
        </is>
      </c>
      <c r="B26" s="4" t="inlineStr">
        <is>
          <t>4.9.9</t>
        </is>
      </c>
      <c r="C26" s="4" t="inlineStr">
        <is>
          <t>medical_student</t>
        </is>
      </c>
      <c r="D26" s="4" t="inlineStr">
        <is>
          <t>Assess for an effusion and for a loss of extension, which are both less common than with a body tear.</t>
        </is>
      </c>
      <c r="E26" s="4" t="inlineStr"/>
      <c r="F26" s="4" t="inlineStr"/>
      <c r="G26" s="4" t="inlineStr"/>
    </row>
    <row r="27">
      <c r="A27" s="4" t="inlineStr">
        <is>
          <t>4.9.9-P3</t>
        </is>
      </c>
      <c r="B27" s="4" t="inlineStr">
        <is>
          <t>4.9.9</t>
        </is>
      </c>
      <c r="C27" s="4" t="inlineStr">
        <is>
          <t>medical_student</t>
        </is>
      </c>
      <c r="D27" s="4" t="inlineStr">
        <is>
          <t>Take the mechanism history carefully: a deep squat, a forced flexion, or in older patients no injury at all.</t>
        </is>
      </c>
      <c r="E27" s="4" t="inlineStr"/>
      <c r="F27" s="4" t="inlineStr"/>
      <c r="G27" s="4" t="inlineStr"/>
    </row>
    <row r="28">
      <c r="A28" s="4" t="inlineStr">
        <is>
          <t>4.9.9-P4</t>
        </is>
      </c>
      <c r="B28" s="4" t="inlineStr">
        <is>
          <t>4.9.9</t>
        </is>
      </c>
      <c r="C28" s="4" t="inlineStr">
        <is>
          <t>frcs</t>
        </is>
      </c>
      <c r="D28" s="4" t="inlineStr">
        <is>
          <t>A new varus with recent medial pain should prompt urgent imaging rather than a course of physiotherapy.</t>
        </is>
      </c>
      <c r="E28" s="4" t="inlineStr"/>
      <c r="F28" s="4" t="inlineStr"/>
      <c r="G28" s="4" t="inlineStr"/>
    </row>
    <row r="29">
      <c r="A29" s="4" t="inlineStr">
        <is>
          <t>4.9.10-P1</t>
        </is>
      </c>
      <c r="B29" s="4" t="inlineStr">
        <is>
          <t>4.9.10</t>
        </is>
      </c>
      <c r="C29" s="4" t="inlineStr">
        <is>
          <t>medical_student</t>
        </is>
      </c>
      <c r="D29" s="4" t="inlineStr">
        <is>
          <t>Take the surgical history first: what was resected, how much, and when.</t>
        </is>
      </c>
      <c r="E29" s="4" t="inlineStr"/>
      <c r="F29" s="4" t="inlineStr"/>
      <c r="G29" s="4" t="inlineStr"/>
    </row>
    <row r="30">
      <c r="A30" s="4" t="inlineStr">
        <is>
          <t>4.9.10-P2</t>
        </is>
      </c>
      <c r="B30" s="4" t="inlineStr">
        <is>
          <t>4.9.10</t>
        </is>
      </c>
      <c r="C30" s="4" t="inlineStr">
        <is>
          <t>medical_student</t>
        </is>
      </c>
      <c r="D30" s="4" t="inlineStr">
        <is>
          <t>Count and site the arthroscopy portals, which indicate the compartment and sometimes the number of procedures.</t>
        </is>
      </c>
      <c r="E30" s="4" t="inlineStr"/>
      <c r="F30" s="4" t="inlineStr"/>
      <c r="G30" s="4" t="inlineStr"/>
    </row>
    <row r="31">
      <c r="A31" s="4" t="inlineStr">
        <is>
          <t>4.9.10-P3</t>
        </is>
      </c>
      <c r="B31" s="4" t="inlineStr">
        <is>
          <t>4.9.10</t>
        </is>
      </c>
      <c r="C31" s="4" t="inlineStr">
        <is>
          <t>medical_student</t>
        </is>
      </c>
      <c r="D31" s="4" t="inlineStr">
        <is>
          <t>Assess standing alignment, because a deficient compartment collapses over years and the change is the main objective finding.</t>
        </is>
      </c>
      <c r="E31" s="4" t="inlineStr"/>
      <c r="F31" s="4" t="inlineStr"/>
      <c r="G31" s="4" t="inlineStr"/>
    </row>
    <row r="32">
      <c r="A32" s="4" t="inlineStr">
        <is>
          <t>4.9.10-P4</t>
        </is>
      </c>
      <c r="B32" s="4" t="inlineStr">
        <is>
          <t>4.9.10</t>
        </is>
      </c>
      <c r="C32" s="4" t="inlineStr">
        <is>
          <t>medical_student</t>
        </is>
      </c>
      <c r="D32" s="4" t="inlineStr">
        <is>
          <t>Assess for an effusion and ask whether it follows activity.</t>
        </is>
      </c>
      <c r="E32" s="4" t="inlineStr"/>
      <c r="F32" s="4" t="inlineStr"/>
      <c r="G32" s="4" t="inlineStr"/>
    </row>
    <row r="33">
      <c r="A33" s="4" t="inlineStr">
        <is>
          <t>4.9.11-P1</t>
        </is>
      </c>
      <c r="B33" s="4" t="inlineStr">
        <is>
          <t>4.9.11</t>
        </is>
      </c>
      <c r="C33" s="4" t="inlineStr">
        <is>
          <t>medical_student</t>
        </is>
      </c>
      <c r="D33" s="4" t="inlineStr">
        <is>
          <t>Take the history for a mechanical symptom specifically, and distinguish a true block from a catch and from pain.</t>
        </is>
      </c>
      <c r="E33" s="4" t="inlineStr"/>
      <c r="F33" s="4" t="inlineStr"/>
      <c r="G33" s="4" t="inlineStr"/>
    </row>
    <row r="34">
      <c r="A34" s="4" t="inlineStr">
        <is>
          <t>4.9.11-P2</t>
        </is>
      </c>
      <c r="B34" s="4" t="inlineStr">
        <is>
          <t>4.9.11</t>
        </is>
      </c>
      <c r="C34" s="4" t="inlineStr">
        <is>
          <t>medical_student</t>
        </is>
      </c>
      <c r="D34" s="4" t="inlineStr">
        <is>
          <t>Examine for a mechanical block as the priority, because that is the finding that would change management.</t>
        </is>
      </c>
      <c r="E34" s="4" t="inlineStr"/>
      <c r="F34" s="4" t="inlineStr"/>
      <c r="G34" s="4" t="inlineStr"/>
    </row>
    <row r="35">
      <c r="A35" s="4" t="inlineStr">
        <is>
          <t>4.9.11-P3</t>
        </is>
      </c>
      <c r="B35" s="4" t="inlineStr">
        <is>
          <t>4.9.11</t>
        </is>
      </c>
      <c r="C35" s="4" t="inlineStr">
        <is>
          <t>medical_student</t>
        </is>
      </c>
      <c r="D35" s="4" t="inlineStr">
        <is>
          <t>Assess alignment and range, which describe the degenerative knee and are both recordable and comparable.</t>
        </is>
      </c>
      <c r="E35" s="4" t="inlineStr"/>
      <c r="F35" s="4" t="inlineStr"/>
      <c r="G35" s="4" t="inlineStr"/>
    </row>
  </sheetData>
  <dataValidations count="1">
    <dataValidation sqref="E3:E35"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4.9.1-F1</t>
        </is>
      </c>
      <c r="B3" s="4" t="inlineStr">
        <is>
          <t>4.9.1</t>
        </is>
      </c>
      <c r="C3" s="4" t="inlineStr">
        <is>
          <t>medical_student</t>
        </is>
      </c>
      <c r="D3" s="4" t="inlineStr">
        <is>
          <t>ninety degrees</t>
        </is>
      </c>
      <c r="E3" s="4" t="inlineStr">
        <is>
          <t>Palpate the joint lines with the knee flexed to about ninety degrees, which opens the line and makes it accessible.</t>
        </is>
      </c>
      <c r="F3" s="4" t="inlineStr"/>
      <c r="G3" s="4" t="inlineStr"/>
      <c r="H3" s="4" t="inlineStr"/>
    </row>
    <row r="4">
      <c r="A4" s="4" t="inlineStr">
        <is>
          <t>4.9.2-F1</t>
        </is>
      </c>
      <c r="B4" s="4" t="inlineStr">
        <is>
          <t>4.9.2</t>
        </is>
      </c>
      <c r="C4" s="4" t="inlineStr">
        <is>
          <t>medical_student</t>
        </is>
      </c>
      <c r="D4" s="4" t="inlineStr">
        <is>
          <t>ninety degrees</t>
        </is>
      </c>
      <c r="E4" s="4" t="inlineStr">
        <is>
          <t>Flex the knee to about ninety degrees with the patient supine, which opens the joint line and brings it under the finger.</t>
        </is>
      </c>
      <c r="F4" s="4" t="inlineStr"/>
      <c r="G4" s="4" t="inlineStr"/>
      <c r="H4" s="4" t="inlineStr"/>
    </row>
    <row r="5">
      <c r="A5" s="4" t="inlineStr">
        <is>
          <t>4.9.4-F1</t>
        </is>
      </c>
      <c r="B5" s="4" t="inlineStr">
        <is>
          <t>4.9.4</t>
        </is>
      </c>
      <c r="C5" s="4" t="inlineStr">
        <is>
          <t>medical_student</t>
        </is>
      </c>
      <c r="D5" s="4" t="inlineStr">
        <is>
          <t>twenty degrees</t>
        </is>
      </c>
      <c r="E5" s="4" t="inlineStr">
        <is>
          <t>Have them stand on the affected leg with the knee flexed, conventionally at about twenty degrees, and then rotate the body and the knee internally and externally three times.</t>
        </is>
      </c>
      <c r="F5" s="4" t="inlineStr"/>
      <c r="G5" s="4" t="inlineStr"/>
      <c r="H5" s="4" t="inlineStr"/>
    </row>
    <row r="6">
      <c r="A6" s="4" t="inlineStr">
        <is>
          <t>4.9.5-F1</t>
        </is>
      </c>
      <c r="B6" s="4" t="inlineStr">
        <is>
          <t>4.9.5</t>
        </is>
      </c>
      <c r="C6" s="4" t="inlineStr">
        <is>
          <t>medical_student</t>
        </is>
      </c>
      <c r="D6" s="4" t="inlineStr">
        <is>
          <t>ninety degrees</t>
        </is>
      </c>
      <c r="E6" s="4" t="inlineStr">
        <is>
          <t>Place the patient prone with the knee flexed to about ninety degrees.</t>
        </is>
      </c>
      <c r="F6" s="4" t="inlineStr"/>
      <c r="G6" s="4" t="inlineStr"/>
      <c r="H6" s="4" t="inlineStr"/>
    </row>
    <row r="7">
      <c r="A7" s="4" t="inlineStr">
        <is>
          <t>4.9.7-F1</t>
        </is>
      </c>
      <c r="B7" s="4" t="inlineStr">
        <is>
          <t>4.9.7</t>
        </is>
      </c>
      <c r="C7" s="4" t="inlineStr">
        <is>
          <t>medical_student</t>
        </is>
      </c>
      <c r="D7" s="4" t="inlineStr">
        <is>
          <t>forty-five degrees</t>
        </is>
      </c>
      <c r="E7" s="4" t="inlineStr">
        <is>
          <t>Ask the patient to stand with the feet about shoulder width apart and then to turn both feet outwards, conventionally to around forty-five degrees.</t>
        </is>
      </c>
      <c r="F7" s="4" t="inlineStr"/>
      <c r="G7" s="4" t="inlineStr"/>
      <c r="H7" s="4" t="inlineStr"/>
    </row>
    <row r="8">
      <c r="A8" s="4" t="inlineStr">
        <is>
          <t>4.9.8-F1</t>
        </is>
      </c>
      <c r="B8" s="4" t="inlineStr">
        <is>
          <t>4.9.8</t>
        </is>
      </c>
      <c r="C8" s="4" t="inlineStr">
        <is>
          <t>frcs</t>
        </is>
      </c>
      <c r="D8" s="4" t="inlineStr">
        <is>
          <t>ten degree</t>
        </is>
      </c>
      <c r="E8" s="4" t="inlineStr">
        <is>
          <t>The third is failing to compare with the other side in a hyperextending patient, where a ten degree loss relative to their own normal is a real block that reads as full extension on its own.</t>
        </is>
      </c>
      <c r="F8" s="4" t="inlineStr"/>
      <c r="G8" s="4" t="inlineStr"/>
      <c r="H8" s="4" t="inlineStr"/>
    </row>
  </sheetData>
  <dataValidations count="1">
    <dataValidation sqref="F3:F8"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33</f>
        <v/>
      </c>
      <c r="C2" s="3">
        <f>6</f>
        <v/>
      </c>
    </row>
    <row r="3">
      <c r="A3" s="2" t="inlineStr">
        <is>
          <t>Decided</t>
        </is>
      </c>
      <c r="B3" s="3">
        <f>COUNTIF(Recommendations!E3:E35,"&lt;&gt;")</f>
        <v/>
      </c>
      <c r="C3" s="3">
        <f>COUNTIF(Measurements!F3:F8,"&lt;&gt;")</f>
        <v/>
      </c>
    </row>
    <row r="4">
      <c r="A4" s="2" t="inlineStr">
        <is>
          <t>Still blank</t>
        </is>
      </c>
      <c r="B4" s="3">
        <f>B2-B3</f>
        <v/>
      </c>
      <c r="C4" s="3">
        <f>C2-C3</f>
        <v/>
      </c>
    </row>
    <row r="5">
      <c r="A5" s="2" t="inlineStr">
        <is>
          <t>CONFIRMED</t>
        </is>
      </c>
      <c r="B5" s="3">
        <f>COUNTIF(Recommendations!E3:E35,"CONFIRMED")</f>
        <v/>
      </c>
      <c r="C5" s="3" t="inlineStr"/>
    </row>
    <row r="6">
      <c r="A6" s="2" t="inlineStr">
        <is>
          <t>AMENDED</t>
        </is>
      </c>
      <c r="B6" s="3">
        <f>COUNTIF(Recommendations!E3:E35,"AMENDED")</f>
        <v/>
      </c>
      <c r="C6" s="3" t="inlineStr"/>
    </row>
    <row r="7">
      <c r="A7" s="2" t="inlineStr">
        <is>
          <t>WITHDRAWN</t>
        </is>
      </c>
      <c r="B7" s="3">
        <f>COUNTIF(Recommendations!E3:E35,"WITHDRAWN")</f>
        <v/>
      </c>
      <c r="C7" s="3" t="inlineStr"/>
    </row>
    <row r="8">
      <c r="A8" s="2" t="inlineStr">
        <is>
          <t>NOT_CLINICAL</t>
        </is>
      </c>
      <c r="B8" s="3">
        <f>COUNTIF(Recommendations!E3:E35,"NOT_CLINICAL")</f>
        <v/>
      </c>
      <c r="C8" s="3" t="inlineStr"/>
    </row>
    <row r="9">
      <c r="A9" s="2" t="inlineStr">
        <is>
          <t>VERIFIED</t>
        </is>
      </c>
      <c r="B9" s="3" t="inlineStr"/>
      <c r="C9" s="3">
        <f>COUNTIF(Measurements!F3:F8,"VERIFIED")</f>
        <v/>
      </c>
    </row>
    <row r="10">
      <c r="A10" s="2" t="inlineStr">
        <is>
          <t>CORRECTED</t>
        </is>
      </c>
      <c r="B10" s="3" t="inlineStr"/>
      <c r="C10" s="3">
        <f>COUNTIF(Measurements!F3:F8,"CORRECTED")</f>
        <v/>
      </c>
    </row>
    <row r="11">
      <c r="A11" s="2" t="inlineStr">
        <is>
          <t>REMOVED</t>
        </is>
      </c>
      <c r="B11" s="3" t="inlineStr"/>
      <c r="C11" s="3">
        <f>COUNTIF(Measurements!F3:F8,"REMOVED")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2026-10-12T17:30:08Z</dcterms:created>
  <dcterms:modified xmlns:dcterms="http://purl.org/dc/terms/" xmlns:xsi="http://www.w3.org/2001/XMLSchema-instance" xsi:type="dcterms:W3CDTF">2026-10-12T17:30:08Z</dcterms:modified>
</cp:coreProperties>
</file>