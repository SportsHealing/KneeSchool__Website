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3.7 ACL Biomechanics</t>
        </is>
      </c>
    </row>
    <row r="3">
      <c r="A3" s="2" t="inlineStr">
        <is>
          <t>Section</t>
        </is>
      </c>
      <c r="B3" s="3" t="inlineStr">
        <is>
          <t>3</t>
        </is>
      </c>
    </row>
    <row r="4">
      <c r="A4" s="2" t="inlineStr">
        <is>
          <t>Chapter</t>
        </is>
      </c>
      <c r="B4" s="3" t="inlineStr">
        <is>
          <t>3.7 ACL Biomechanics</t>
        </is>
      </c>
    </row>
    <row r="5">
      <c r="A5" s="2" t="inlineStr">
        <is>
          <t>Pages</t>
        </is>
      </c>
      <c r="B5" s="3" t="n">
        <v>20</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23,062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18</v>
      </c>
    </row>
    <row r="12">
      <c r="A12" s="2" t="inlineStr">
        <is>
          <t>Recommendations to sign</t>
        </is>
      </c>
      <c r="B12" s="3" t="n">
        <v>152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3.7.1</t>
        </is>
      </c>
      <c r="B2" s="6" t="inlineStr">
        <is>
          <t>Functions of the ACL</t>
        </is>
      </c>
      <c r="C2" s="6" t="n">
        <v>3</v>
      </c>
      <c r="D2" s="6" t="n">
        <v>1190</v>
      </c>
      <c r="E2" s="6" t="inlineStr">
        <is>
          <t>biomechanics/functions-of-the-acl.html</t>
        </is>
      </c>
    </row>
    <row r="3">
      <c r="A3" s="6" t="inlineStr">
        <is>
          <t>3.7.2</t>
        </is>
      </c>
      <c r="B3" s="6" t="inlineStr">
        <is>
          <t>Primary Restraints</t>
        </is>
      </c>
      <c r="C3" s="6" t="n">
        <v>3</v>
      </c>
      <c r="D3" s="6" t="n">
        <v>1183</v>
      </c>
      <c r="E3" s="6" t="inlineStr">
        <is>
          <t>biomechanics/acl-primary-restraints.html</t>
        </is>
      </c>
    </row>
    <row r="4">
      <c r="A4" s="6" t="inlineStr">
        <is>
          <t>3.7.3</t>
        </is>
      </c>
      <c r="B4" s="6" t="inlineStr">
        <is>
          <t>Secondary Restraints</t>
        </is>
      </c>
      <c r="C4" s="6" t="n">
        <v>3</v>
      </c>
      <c r="D4" s="6" t="n">
        <v>1109</v>
      </c>
      <c r="E4" s="6" t="inlineStr">
        <is>
          <t>biomechanics/acl-secondary-restraints.html</t>
        </is>
      </c>
    </row>
    <row r="5">
      <c r="A5" s="6" t="inlineStr">
        <is>
          <t>3.7.4</t>
        </is>
      </c>
      <c r="B5" s="6" t="inlineStr">
        <is>
          <t>Bundle Function</t>
        </is>
      </c>
      <c r="C5" s="6" t="n">
        <v>3</v>
      </c>
      <c r="D5" s="6" t="n">
        <v>1106</v>
      </c>
      <c r="E5" s="6" t="inlineStr">
        <is>
          <t>biomechanics/acl-bundle-function.html</t>
        </is>
      </c>
    </row>
    <row r="6">
      <c r="A6" s="6" t="inlineStr">
        <is>
          <t>3.7.5</t>
        </is>
      </c>
      <c r="B6" s="6" t="inlineStr">
        <is>
          <t>AM Bundle Function</t>
        </is>
      </c>
      <c r="C6" s="6" t="n">
        <v>3</v>
      </c>
      <c r="D6" s="6" t="n">
        <v>1071</v>
      </c>
      <c r="E6" s="6" t="inlineStr">
        <is>
          <t>biomechanics/acl-am-bundle-function.html</t>
        </is>
      </c>
    </row>
    <row r="7">
      <c r="A7" s="6" t="inlineStr">
        <is>
          <t>3.7.6</t>
        </is>
      </c>
      <c r="B7" s="6" t="inlineStr">
        <is>
          <t>PL Bundle Function</t>
        </is>
      </c>
      <c r="C7" s="6" t="n">
        <v>3</v>
      </c>
      <c r="D7" s="6" t="n">
        <v>1106</v>
      </c>
      <c r="E7" s="6" t="inlineStr">
        <is>
          <t>biomechanics/acl-pl-bundle-function.html</t>
        </is>
      </c>
    </row>
    <row r="8">
      <c r="A8" s="6" t="inlineStr">
        <is>
          <t>3.7.7</t>
        </is>
      </c>
      <c r="B8" s="6" t="inlineStr">
        <is>
          <t>Rotational Stability</t>
        </is>
      </c>
      <c r="C8" s="6" t="n">
        <v>3</v>
      </c>
      <c r="D8" s="6" t="n">
        <v>1074</v>
      </c>
      <c r="E8" s="6" t="inlineStr">
        <is>
          <t>biomechanics/acl-rotational-stability.html</t>
        </is>
      </c>
    </row>
    <row r="9">
      <c r="A9" s="6" t="inlineStr">
        <is>
          <t>3.7.8</t>
        </is>
      </c>
      <c r="B9" s="6" t="inlineStr">
        <is>
          <t>Anterior Stability</t>
        </is>
      </c>
      <c r="C9" s="6" t="n">
        <v>3</v>
      </c>
      <c r="D9" s="6" t="n">
        <v>1080</v>
      </c>
      <c r="E9" s="6" t="inlineStr">
        <is>
          <t>biomechanics/acl-anterior-stability.html</t>
        </is>
      </c>
    </row>
    <row r="10">
      <c r="A10" s="6" t="inlineStr">
        <is>
          <t>3.7.9</t>
        </is>
      </c>
      <c r="B10" s="6" t="inlineStr">
        <is>
          <t>Pivot Shift Mechanics</t>
        </is>
      </c>
      <c r="C10" s="6" t="n">
        <v>3</v>
      </c>
      <c r="D10" s="6" t="n">
        <v>1092</v>
      </c>
      <c r="E10" s="6" t="inlineStr">
        <is>
          <t>biomechanics/pivot-shift-mechanics.html</t>
        </is>
      </c>
    </row>
    <row r="11">
      <c r="A11" s="6" t="inlineStr">
        <is>
          <t>3.7.10</t>
        </is>
      </c>
      <c r="B11" s="6" t="inlineStr">
        <is>
          <t>ACL Strain During Activity</t>
        </is>
      </c>
      <c r="C11" s="6" t="n">
        <v>3</v>
      </c>
      <c r="D11" s="6" t="n">
        <v>1058</v>
      </c>
      <c r="E11" s="6" t="inlineStr">
        <is>
          <t>biomechanics/acl-strain-during-activity.html</t>
        </is>
      </c>
    </row>
    <row r="12">
      <c r="A12" s="6" t="inlineStr">
        <is>
          <t>3.7.11</t>
        </is>
      </c>
      <c r="B12" s="6" t="inlineStr">
        <is>
          <t>ACL Loading During Running</t>
        </is>
      </c>
      <c r="C12" s="6" t="n">
        <v>3</v>
      </c>
      <c r="D12" s="6" t="n">
        <v>1041</v>
      </c>
      <c r="E12" s="6" t="inlineStr">
        <is>
          <t>biomechanics/acl-loading-during-running.html</t>
        </is>
      </c>
    </row>
    <row r="13">
      <c r="A13" s="6" t="inlineStr">
        <is>
          <t>3.7.12</t>
        </is>
      </c>
      <c r="B13" s="6" t="inlineStr">
        <is>
          <t>ACL Loading During Landing</t>
        </is>
      </c>
      <c r="C13" s="6" t="n">
        <v>3</v>
      </c>
      <c r="D13" s="6" t="n">
        <v>1066</v>
      </c>
      <c r="E13" s="6" t="inlineStr">
        <is>
          <t>biomechanics/acl-loading-during-landing.html</t>
        </is>
      </c>
    </row>
    <row r="14">
      <c r="A14" s="6" t="inlineStr">
        <is>
          <t>3.7.13</t>
        </is>
      </c>
      <c r="B14" s="6" t="inlineStr">
        <is>
          <t>ACL Loading During Cutting</t>
        </is>
      </c>
      <c r="C14" s="6" t="n">
        <v>3</v>
      </c>
      <c r="D14" s="6" t="n">
        <v>1063</v>
      </c>
      <c r="E14" s="6" t="inlineStr">
        <is>
          <t>biomechanics/acl-loading-during-cutting.html</t>
        </is>
      </c>
    </row>
    <row r="15">
      <c r="A15" s="6" t="inlineStr">
        <is>
          <t>3.7.14</t>
        </is>
      </c>
      <c r="B15" s="6" t="inlineStr">
        <is>
          <t>ACL Injury Mechanisms</t>
        </is>
      </c>
      <c r="C15" s="6" t="n">
        <v>3</v>
      </c>
      <c r="D15" s="6" t="n">
        <v>1088</v>
      </c>
      <c r="E15" s="6" t="inlineStr">
        <is>
          <t>biomechanics/acl-injury-mechanisms.html</t>
        </is>
      </c>
    </row>
    <row r="16">
      <c r="A16" s="6" t="inlineStr">
        <is>
          <t>3.7.15</t>
        </is>
      </c>
      <c r="B16" s="6" t="inlineStr">
        <is>
          <t>Female ACL Biomechanics</t>
        </is>
      </c>
      <c r="C16" s="6" t="n">
        <v>3</v>
      </c>
      <c r="D16" s="6" t="n">
        <v>1042</v>
      </c>
      <c r="E16" s="6" t="inlineStr">
        <is>
          <t>biomechanics/female-acl-biomechanics.html</t>
        </is>
      </c>
    </row>
    <row r="17">
      <c r="A17" s="6" t="inlineStr">
        <is>
          <t>3.7.16</t>
        </is>
      </c>
      <c r="B17" s="6" t="inlineStr">
        <is>
          <t>Graft Biomechanics</t>
        </is>
      </c>
      <c r="C17" s="6" t="n">
        <v>4</v>
      </c>
      <c r="D17" s="6" t="n">
        <v>1362</v>
      </c>
      <c r="E17" s="6" t="inlineStr">
        <is>
          <t>biomechanics/acl-graft-biomechanics.html</t>
        </is>
      </c>
    </row>
    <row r="18">
      <c r="A18" s="6" t="inlineStr">
        <is>
          <t>3.7.17</t>
        </is>
      </c>
      <c r="B18" s="6" t="inlineStr">
        <is>
          <t>Hamstring Graft Biomechanics</t>
        </is>
      </c>
      <c r="C18" s="6" t="n">
        <v>4</v>
      </c>
      <c r="D18" s="6" t="n">
        <v>1343</v>
      </c>
      <c r="E18" s="6" t="inlineStr">
        <is>
          <t>biomechanics/hamstring-graft-biomechanics.html</t>
        </is>
      </c>
    </row>
    <row r="19">
      <c r="A19" s="6" t="inlineStr">
        <is>
          <t>3.7.18</t>
        </is>
      </c>
      <c r="B19" s="6" t="inlineStr">
        <is>
          <t>Patellar Tendon Graft Biomechanics</t>
        </is>
      </c>
      <c r="C19" s="6" t="n">
        <v>4</v>
      </c>
      <c r="D19" s="6" t="n">
        <v>1349</v>
      </c>
      <c r="E19" s="6" t="inlineStr">
        <is>
          <t>biomechanics/patellar-tendon-graft-biomechanics.html</t>
        </is>
      </c>
    </row>
    <row r="20">
      <c r="A20" s="6" t="inlineStr">
        <is>
          <t>3.7.19</t>
        </is>
      </c>
      <c r="B20" s="6" t="inlineStr">
        <is>
          <t>Quadriceps Tendon Graft Biomechanics</t>
        </is>
      </c>
      <c r="C20" s="6" t="n">
        <v>4</v>
      </c>
      <c r="D20" s="6" t="n">
        <v>1329</v>
      </c>
      <c r="E20" s="6" t="inlineStr">
        <is>
          <t>biomechanics/quadriceps-tendon-graft-biomechanics.html</t>
        </is>
      </c>
    </row>
    <row r="21">
      <c r="A21" s="6" t="inlineStr">
        <is>
          <t>3.7.20</t>
        </is>
      </c>
      <c r="B21" s="6" t="inlineStr">
        <is>
          <t>ACL Reconstruction Biomechanics</t>
        </is>
      </c>
      <c r="C21" s="6" t="n">
        <v>4</v>
      </c>
      <c r="D21" s="6" t="n">
        <v>1310</v>
      </c>
      <c r="E21" s="6" t="inlineStr">
        <is>
          <t>biomechanics/acl-reconstruction-biomechanics.html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3.7.1</t>
        </is>
      </c>
      <c r="B2" s="4" t="inlineStr">
        <is>
          <t>Functions of the ACL</t>
        </is>
      </c>
      <c r="C2" s="4" t="inlineStr">
        <is>
          <t>The four functions are unequally restorable by a graft.</t>
        </is>
      </c>
    </row>
    <row r="3">
      <c r="A3" s="4" t="inlineStr">
        <is>
          <t>3.7.1</t>
        </is>
      </c>
      <c r="B3" s="4" t="inlineStr">
        <is>
          <t>Functions of the ACL</t>
        </is>
      </c>
      <c r="C3" s="4" t="inlineStr">
        <is>
          <t>Anterior restraint restores well, rotation partly, guidance less, sensation hardly at all.</t>
        </is>
      </c>
    </row>
    <row r="4">
      <c r="A4" s="4" t="inlineStr">
        <is>
          <t>3.7.1</t>
        </is>
      </c>
      <c r="B4" s="4" t="inlineStr">
        <is>
          <t>Functions of the ACL</t>
        </is>
      </c>
      <c r="C4" s="4" t="inlineStr">
        <is>
          <t>A stable knee that does not feel normal is the predictable disappointment.</t>
        </is>
      </c>
    </row>
    <row r="5">
      <c r="A5" s="4" t="inlineStr">
        <is>
          <t>3.7.1</t>
        </is>
      </c>
      <c r="B5" s="4" t="inlineStr">
        <is>
          <t>Functions of the ACL</t>
        </is>
      </c>
      <c r="C5" s="4" t="inlineStr">
        <is>
          <t>Muscle has to cover the functions a graft does not restore.</t>
        </is>
      </c>
    </row>
    <row r="6">
      <c r="A6" s="4" t="inlineStr">
        <is>
          <t>3.7.1</t>
        </is>
      </c>
      <c r="B6" s="4" t="inlineStr">
        <is>
          <t>Functions of the ACL</t>
        </is>
      </c>
      <c r="C6" s="4" t="inlineStr">
        <is>
          <t>No instrument captures whether the knee feels normal.</t>
        </is>
      </c>
    </row>
    <row r="7">
      <c r="A7" s="4" t="inlineStr">
        <is>
          <t>3.7.2</t>
        </is>
      </c>
      <c r="B7" s="4" t="inlineStr">
        <is>
          <t>Primary Restraints</t>
        </is>
      </c>
      <c r="C7" s="4" t="inlineStr">
        <is>
          <t>Replacing a primary restraint and augmenting a secondary are different operations.</t>
        </is>
      </c>
    </row>
    <row r="8">
      <c r="A8" s="4" t="inlineStr">
        <is>
          <t>3.7.2</t>
        </is>
      </c>
      <c r="B8" s="4" t="inlineStr">
        <is>
          <t>Primary Restraints</t>
        </is>
      </c>
      <c r="C8" s="4" t="inlineStr">
        <is>
          <t>The anterolateral augmentation debate is a question about the rotational share.</t>
        </is>
      </c>
    </row>
    <row r="9">
      <c r="A9" s="4" t="inlineStr">
        <is>
          <t>3.7.2</t>
        </is>
      </c>
      <c r="B9" s="4" t="inlineStr">
        <is>
          <t>Primary Restraints</t>
        </is>
      </c>
      <c r="C9" s="4" t="inlineStr">
        <is>
          <t>A well placed single bundle graft restores translation near normal and rotation less so.</t>
        </is>
      </c>
    </row>
    <row r="10">
      <c r="A10" s="4" t="inlineStr">
        <is>
          <t>3.7.2</t>
        </is>
      </c>
      <c r="B10" s="4" t="inlineStr">
        <is>
          <t>Primary Restraints</t>
        </is>
      </c>
      <c r="C10" s="4" t="inlineStr">
        <is>
          <t>Slope sets the load the restored restraint meets.</t>
        </is>
      </c>
    </row>
    <row r="11">
      <c r="A11" s="4" t="inlineStr">
        <is>
          <t>3.7.2</t>
        </is>
      </c>
      <c r="B11" s="4" t="inlineStr">
        <is>
          <t>Primary Restraints</t>
        </is>
      </c>
      <c r="C11" s="4" t="inlineStr">
        <is>
          <t>Every construct argument inherits the sectioning order limitation.</t>
        </is>
      </c>
    </row>
    <row r="12">
      <c r="A12" s="4" t="inlineStr">
        <is>
          <t>3.7.3</t>
        </is>
      </c>
      <c r="B12" s="4" t="inlineStr">
        <is>
          <t>Secondary Restraints</t>
        </is>
      </c>
      <c r="C12" s="4" t="inlineStr">
        <is>
          <t>Unaddressed secondary restraint injury is the commonest non technical reason for underperformance.</t>
        </is>
      </c>
    </row>
    <row r="13">
      <c r="A13" s="4" t="inlineStr">
        <is>
          <t>3.7.3</t>
        </is>
      </c>
      <c r="B13" s="4" t="inlineStr">
        <is>
          <t>Secondary Restraints</t>
        </is>
      </c>
      <c r="C13" s="4" t="inlineStr">
        <is>
          <t>Ramp lesions and lateral posterior horn tears are the two most often missed.</t>
        </is>
      </c>
    </row>
    <row r="14">
      <c r="A14" s="4" t="inlineStr">
        <is>
          <t>3.7.3</t>
        </is>
      </c>
      <c r="B14" s="4" t="inlineStr">
        <is>
          <t>Secondary Restraints</t>
        </is>
      </c>
      <c r="C14" s="4" t="inlineStr">
        <is>
          <t>They are sought rather than noticed.</t>
        </is>
      </c>
    </row>
    <row r="15">
      <c r="A15" s="4" t="inlineStr">
        <is>
          <t>3.7.3</t>
        </is>
      </c>
      <c r="B15" s="4" t="inlineStr">
        <is>
          <t>Secondary Restraints</t>
        </is>
      </c>
      <c r="C15" s="4" t="inlineStr">
        <is>
          <t>Slope has become a modifiable secondary contributor.</t>
        </is>
      </c>
    </row>
    <row r="16">
      <c r="A16" s="4" t="inlineStr">
        <is>
          <t>3.7.3</t>
        </is>
      </c>
      <c r="B16" s="4" t="inlineStr">
        <is>
          <t>Secondary Restraints</t>
        </is>
      </c>
      <c r="C16" s="4" t="inlineStr">
        <is>
          <t>Revision series are the evidence that secondaries were missed the first time.</t>
        </is>
      </c>
    </row>
    <row r="17">
      <c r="A17" s="4" t="inlineStr">
        <is>
          <t>3.7.4</t>
        </is>
      </c>
      <c r="B17" s="4" t="inlineStr">
        <is>
          <t>Bundle Function</t>
        </is>
      </c>
      <c r="C17" s="4" t="inlineStr">
        <is>
          <t>The bundle model is the mechanical content of the tunnel position debate.</t>
        </is>
      </c>
    </row>
    <row r="18">
      <c r="A18" s="4" t="inlineStr">
        <is>
          <t>3.7.4</t>
        </is>
      </c>
      <c r="B18" s="4" t="inlineStr">
        <is>
          <t>Bundle Function</t>
        </is>
      </c>
      <c r="C18" s="4" t="inlineStr">
        <is>
          <t>Double bundle restores rotation better in cadavers without a consistent clinical advantage.</t>
        </is>
      </c>
    </row>
    <row r="19">
      <c r="A19" s="4" t="inlineStr">
        <is>
          <t>3.7.4</t>
        </is>
      </c>
      <c r="B19" s="4" t="inlineStr">
        <is>
          <t>Bundle Function</t>
        </is>
      </c>
      <c r="C19" s="4" t="inlineStr">
        <is>
          <t>Anatomic single bundle in the footprint centre is the common resolution.</t>
        </is>
      </c>
    </row>
    <row r="20">
      <c r="A20" s="4" t="inlineStr">
        <is>
          <t>3.7.4</t>
        </is>
      </c>
      <c r="B20" s="4" t="inlineStr">
        <is>
          <t>Bundle Function</t>
        </is>
      </c>
      <c r="C20" s="4" t="inlineStr">
        <is>
          <t>Graft diameter determines how much of the footprint is spanned.</t>
        </is>
      </c>
    </row>
    <row r="21">
      <c r="A21" s="4" t="inlineStr">
        <is>
          <t>3.7.4</t>
        </is>
      </c>
      <c r="B21" s="4" t="inlineStr">
        <is>
          <t>Bundle Function</t>
        </is>
      </c>
      <c r="C21" s="4" t="inlineStr">
        <is>
          <t>The cadaveric and clinical results disagree, which is the honest position.</t>
        </is>
      </c>
    </row>
    <row r="22">
      <c r="A22" s="4" t="inlineStr">
        <is>
          <t>3.7.5</t>
        </is>
      </c>
      <c r="B22" s="4" t="inlineStr">
        <is>
          <t>AM Bundle Function</t>
        </is>
      </c>
      <c r="C22" s="4" t="inlineStr">
        <is>
          <t>A single bundle reconstruction most nearly reproduces this bundle's behaviour.</t>
        </is>
      </c>
    </row>
    <row r="23">
      <c r="A23" s="4" t="inlineStr">
        <is>
          <t>3.7.5</t>
        </is>
      </c>
      <c r="B23" s="4" t="inlineStr">
        <is>
          <t>AM Bundle Function</t>
        </is>
      </c>
      <c r="C23" s="4" t="inlineStr">
        <is>
          <t>That restores the translation clinical testing samples and can leave rotational symptoms.</t>
        </is>
      </c>
    </row>
    <row r="24">
      <c r="A24" s="4" t="inlineStr">
        <is>
          <t>3.7.5</t>
        </is>
      </c>
      <c r="B24" s="4" t="inlineStr">
        <is>
          <t>AM Bundle Function</t>
        </is>
      </c>
      <c r="C24" s="4" t="inlineStr">
        <is>
          <t>A transtibial tunnel tends to land more anteromedially than an anatomic one.</t>
        </is>
      </c>
    </row>
    <row r="25">
      <c r="A25" s="4" t="inlineStr">
        <is>
          <t>3.7.5</t>
        </is>
      </c>
      <c r="B25" s="4" t="inlineStr">
        <is>
          <t>AM Bundle Function</t>
        </is>
      </c>
      <c r="C25" s="4" t="inlineStr">
        <is>
          <t>Postoperative computed tomography identifies a non anatomic position.</t>
        </is>
      </c>
    </row>
    <row r="26">
      <c r="A26" s="4" t="inlineStr">
        <is>
          <t>3.7.5</t>
        </is>
      </c>
      <c r="B26" s="4" t="inlineStr">
        <is>
          <t>AM Bundle Function</t>
        </is>
      </c>
      <c r="C26" s="4" t="inlineStr">
        <is>
          <t>A normal arthrometer reading is evidence about this bundle only.</t>
        </is>
      </c>
    </row>
    <row r="27">
      <c r="A27" s="4" t="inlineStr">
        <is>
          <t>3.7.6</t>
        </is>
      </c>
      <c r="B27" s="4" t="inlineStr">
        <is>
          <t>PL Bundle Function</t>
        </is>
      </c>
      <c r="C27" s="4" t="inlineStr">
        <is>
          <t>This is the half a reconstruction most often fails to restore.</t>
        </is>
      </c>
    </row>
    <row r="28">
      <c r="A28" s="4" t="inlineStr">
        <is>
          <t>3.7.6</t>
        </is>
      </c>
      <c r="B28" s="4" t="inlineStr">
        <is>
          <t>PL Bundle Function</t>
        </is>
      </c>
      <c r="C28" s="4" t="inlineStr">
        <is>
          <t>Residual rotational laxity is the expected sign of it.</t>
        </is>
      </c>
    </row>
    <row r="29">
      <c r="A29" s="4" t="inlineStr">
        <is>
          <t>3.7.6</t>
        </is>
      </c>
      <c r="B29" s="4" t="inlineStr">
        <is>
          <t>PL Bundle Function</t>
        </is>
      </c>
      <c r="C29" s="4" t="inlineStr">
        <is>
          <t>A lower, more posterior femoral tunnel reproduces this bundle's territory better.</t>
        </is>
      </c>
    </row>
    <row r="30">
      <c r="A30" s="4" t="inlineStr">
        <is>
          <t>3.7.6</t>
        </is>
      </c>
      <c r="B30" s="4" t="inlineStr">
        <is>
          <t>PL Bundle Function</t>
        </is>
      </c>
      <c r="C30" s="4" t="inlineStr">
        <is>
          <t>Robotic testing in rotation at low flexion distinguishes constructs here.</t>
        </is>
      </c>
    </row>
    <row r="31">
      <c r="A31" s="4" t="inlineStr">
        <is>
          <t>3.7.6</t>
        </is>
      </c>
      <c r="B31" s="4" t="inlineStr">
        <is>
          <t>PL Bundle Function</t>
        </is>
      </c>
      <c r="C31" s="4" t="inlineStr">
        <is>
          <t>Slope raises the demand on near extension rotational control.</t>
        </is>
      </c>
    </row>
    <row r="32">
      <c r="A32" s="4" t="inlineStr">
        <is>
          <t>3.7.7</t>
        </is>
      </c>
      <c r="B32" s="4" t="inlineStr">
        <is>
          <t>Rotational Stability</t>
        </is>
      </c>
      <c r="C32" s="4" t="inlineStr">
        <is>
          <t>Rotational control decides satisfaction in a pivoting athlete and is measured least well.</t>
        </is>
      </c>
    </row>
    <row r="33">
      <c r="A33" s="4" t="inlineStr">
        <is>
          <t>3.7.7</t>
        </is>
      </c>
      <c r="B33" s="4" t="inlineStr">
        <is>
          <t>Rotational Stability</t>
        </is>
      </c>
      <c r="C33" s="4" t="inlineStr">
        <is>
          <t>The augmentation literature moved on cadaveric and registry evidence, not a clinical measure.</t>
        </is>
      </c>
    </row>
    <row r="34">
      <c r="A34" s="4" t="inlineStr">
        <is>
          <t>3.7.7</t>
        </is>
      </c>
      <c r="B34" s="4" t="inlineStr">
        <is>
          <t>Rotational Stability</t>
        </is>
      </c>
      <c r="C34" s="4" t="inlineStr">
        <is>
          <t>The indications are defined by rotational demand rather than translation.</t>
        </is>
      </c>
    </row>
    <row r="35">
      <c r="A35" s="4" t="inlineStr">
        <is>
          <t>3.7.7</t>
        </is>
      </c>
      <c r="B35" s="4" t="inlineStr">
        <is>
          <t>Rotational Stability</t>
        </is>
      </c>
      <c r="C35" s="4" t="inlineStr">
        <is>
          <t>Lateral posterior horn repair has a rotational rationale.</t>
        </is>
      </c>
    </row>
    <row r="36">
      <c r="A36" s="4" t="inlineStr">
        <is>
          <t>3.7.7</t>
        </is>
      </c>
      <c r="B36" s="4" t="inlineStr">
        <is>
          <t>Rotational Stability</t>
        </is>
      </c>
      <c r="C36" s="4" t="inlineStr">
        <is>
          <t>Judge the construct by reinjury and return to sport.</t>
        </is>
      </c>
    </row>
    <row r="37">
      <c r="A37" s="4" t="inlineStr">
        <is>
          <t>3.7.8</t>
        </is>
      </c>
      <c r="B37" s="4" t="inlineStr">
        <is>
          <t>Anterior Stability</t>
        </is>
      </c>
      <c r="C37" s="4" t="inlineStr">
        <is>
          <t>Restored anterior translation is necessary and insufficient.</t>
        </is>
      </c>
    </row>
    <row r="38">
      <c r="A38" s="4" t="inlineStr">
        <is>
          <t>3.7.8</t>
        </is>
      </c>
      <c r="B38" s="4" t="inlineStr">
        <is>
          <t>Anterior Stability</t>
        </is>
      </c>
      <c r="C38" s="4" t="inlineStr">
        <is>
          <t>A normal reading with an unstable knee is the apportionment argument in clinical form.</t>
        </is>
      </c>
    </row>
    <row r="39">
      <c r="A39" s="4" t="inlineStr">
        <is>
          <t>3.7.8</t>
        </is>
      </c>
      <c r="B39" s="4" t="inlineStr">
        <is>
          <t>Anterior Stability</t>
        </is>
      </c>
      <c r="C39" s="4" t="inlineStr">
        <is>
          <t>Instrumented laxity correlates weakly with patient reported outcome.</t>
        </is>
      </c>
    </row>
    <row r="40">
      <c r="A40" s="4" t="inlineStr">
        <is>
          <t>3.7.8</t>
        </is>
      </c>
      <c r="B40" s="4" t="inlineStr">
        <is>
          <t>Anterior Stability</t>
        </is>
      </c>
      <c r="C40" s="4" t="inlineStr">
        <is>
          <t>Serial measurement is more informative than a single reading.</t>
        </is>
      </c>
    </row>
    <row r="41">
      <c r="A41" s="4" t="inlineStr">
        <is>
          <t>3.7.8</t>
        </is>
      </c>
      <c r="B41" s="4" t="inlineStr">
        <is>
          <t>Anterior Stability</t>
        </is>
      </c>
      <c r="C41" s="4" t="inlineStr">
        <is>
          <t>Progressive laxity without a new injury prompts a slope measurement.</t>
        </is>
      </c>
    </row>
    <row r="42">
      <c r="A42" s="4" t="inlineStr">
        <is>
          <t>3.7.9</t>
        </is>
      </c>
      <c r="B42" s="4" t="inlineStr">
        <is>
          <t>Pivot Shift Mechanics</t>
        </is>
      </c>
      <c r="C42" s="4" t="inlineStr">
        <is>
          <t>The pivot shift corresponds to what the patient reports and is measured worst.</t>
        </is>
      </c>
    </row>
    <row r="43">
      <c r="A43" s="4" t="inlineStr">
        <is>
          <t>3.7.9</t>
        </is>
      </c>
      <c r="B43" s="4" t="inlineStr">
        <is>
          <t>Pivot Shift Mechanics</t>
        </is>
      </c>
      <c r="C43" s="4" t="inlineStr">
        <is>
          <t>Construct comparisons rest on reinjury rates because the sign has no threshold.</t>
        </is>
      </c>
    </row>
    <row r="44">
      <c r="A44" s="4" t="inlineStr">
        <is>
          <t>3.7.9</t>
        </is>
      </c>
      <c r="B44" s="4" t="inlineStr">
        <is>
          <t>Pivot Shift Mechanics</t>
        </is>
      </c>
      <c r="C44" s="4" t="inlineStr">
        <is>
          <t>A residual pivot shift is associated with poorer outcome and graft failure.</t>
        </is>
      </c>
    </row>
    <row r="45">
      <c r="A45" s="4" t="inlineStr">
        <is>
          <t>3.7.9</t>
        </is>
      </c>
      <c r="B45" s="4" t="inlineStr">
        <is>
          <t>Pivot Shift Mechanics</t>
        </is>
      </c>
      <c r="C45" s="4" t="inlineStr">
        <is>
          <t>Check it under anaesthetic after fixation.</t>
        </is>
      </c>
    </row>
    <row r="46">
      <c r="A46" s="4" t="inlineStr">
        <is>
          <t>3.7.9</t>
        </is>
      </c>
      <c r="B46" s="4" t="inlineStr">
        <is>
          <t>Pivot Shift Mechanics</t>
        </is>
      </c>
      <c r="C46" s="4" t="inlineStr">
        <is>
          <t>Slope and lateral meniscal pathology are part of abolishing it.</t>
        </is>
      </c>
    </row>
    <row r="47">
      <c r="A47" s="4" t="inlineStr">
        <is>
          <t>3.7.10</t>
        </is>
      </c>
      <c r="B47" s="4" t="inlineStr">
        <is>
          <t>ACL Strain During Activity</t>
        </is>
      </c>
      <c r="C47" s="4" t="inlineStr">
        <is>
          <t>The strain data is the basis of rehabilitation protocols, which have outrun it.</t>
        </is>
      </c>
    </row>
    <row r="48">
      <c r="A48" s="4" t="inlineStr">
        <is>
          <t>3.7.10</t>
        </is>
      </c>
      <c r="B48" s="4" t="inlineStr">
        <is>
          <t>ACL Strain During Activity</t>
        </is>
      </c>
      <c r="C48" s="4" t="inlineStr">
        <is>
          <t>Graft protection matters most in the first months, while remodelling.</t>
        </is>
      </c>
    </row>
    <row r="49">
      <c r="A49" s="4" t="inlineStr">
        <is>
          <t>3.7.10</t>
        </is>
      </c>
      <c r="B49" s="4" t="inlineStr">
        <is>
          <t>ACL Strain During Activity</t>
        </is>
      </c>
      <c r="C49" s="4" t="inlineStr">
        <is>
          <t>Protocols have moved towards earlier loading on outcome evidence, not new strain data.</t>
        </is>
      </c>
    </row>
    <row r="50">
      <c r="A50" s="4" t="inlineStr">
        <is>
          <t>3.7.10</t>
        </is>
      </c>
      <c r="B50" s="4" t="inlineStr">
        <is>
          <t>ACL Strain During Activity</t>
        </is>
      </c>
      <c r="C50" s="4" t="inlineStr">
        <is>
          <t>No measurement of graft strain in a patient exists.</t>
        </is>
      </c>
    </row>
    <row r="51">
      <c r="A51" s="4" t="inlineStr">
        <is>
          <t>3.7.10</t>
        </is>
      </c>
      <c r="B51" s="4" t="inlineStr">
        <is>
          <t>ACL Strain During Activity</t>
        </is>
      </c>
      <c r="C51" s="4" t="inlineStr">
        <is>
          <t>Every protocol argument crosses that gap.</t>
        </is>
      </c>
    </row>
    <row r="52">
      <c r="A52" s="4" t="inlineStr">
        <is>
          <t>3.7.11</t>
        </is>
      </c>
      <c r="B52" s="4" t="inlineStr">
        <is>
          <t>ACL Loading During Running</t>
        </is>
      </c>
      <c r="C52" s="4" t="inlineStr">
        <is>
          <t>Running is the benchmark the other activities are read against.</t>
        </is>
      </c>
    </row>
    <row r="53">
      <c r="A53" s="4" t="inlineStr">
        <is>
          <t>3.7.11</t>
        </is>
      </c>
      <c r="B53" s="4" t="inlineStr">
        <is>
          <t>ACL Loading During Running</t>
        </is>
      </c>
      <c r="C53" s="4" t="inlineStr">
        <is>
          <t>The graft, not the activity, is the limiting variable in the first months.</t>
        </is>
      </c>
    </row>
    <row r="54">
      <c r="A54" s="4" t="inlineStr">
        <is>
          <t>3.7.11</t>
        </is>
      </c>
      <c r="B54" s="4" t="inlineStr">
        <is>
          <t>ACL Loading During Running</t>
        </is>
      </c>
      <c r="C54" s="4" t="inlineStr">
        <is>
          <t>The criteria rather than the interval carry the argument.</t>
        </is>
      </c>
    </row>
    <row r="55">
      <c r="A55" s="4" t="inlineStr">
        <is>
          <t>3.7.11</t>
        </is>
      </c>
      <c r="B55" s="4" t="inlineStr">
        <is>
          <t>ACL Loading During Running</t>
        </is>
      </c>
      <c r="C55" s="4" t="inlineStr">
        <is>
          <t>Concurrent meniscal repair delays loading for its own reasons.</t>
        </is>
      </c>
    </row>
    <row r="56">
      <c r="A56" s="4" t="inlineStr">
        <is>
          <t>3.7.11</t>
        </is>
      </c>
      <c r="B56" s="4" t="inlineStr">
        <is>
          <t>ACL Loading During Running</t>
        </is>
      </c>
      <c r="C56" s="4" t="inlineStr">
        <is>
          <t>No measurement of graft load in a running patient exists.</t>
        </is>
      </c>
    </row>
    <row r="57">
      <c r="A57" s="4" t="inlineStr">
        <is>
          <t>3.7.12</t>
        </is>
      </c>
      <c r="B57" s="4" t="inlineStr">
        <is>
          <t>ACL Loading During Landing</t>
        </is>
      </c>
      <c r="C57" s="4" t="inlineStr">
        <is>
          <t>Landing mechanics are modifiable risk with modest individual predictive value.</t>
        </is>
      </c>
    </row>
    <row r="58">
      <c r="A58" s="4" t="inlineStr">
        <is>
          <t>3.7.12</t>
        </is>
      </c>
      <c r="B58" s="4" t="inlineStr">
        <is>
          <t>ACL Loading During Landing</t>
        </is>
      </c>
      <c r="C58" s="4" t="inlineStr">
        <is>
          <t>Programmes reduce population rates; screening does not identify the individual.</t>
        </is>
      </c>
    </row>
    <row r="59">
      <c r="A59" s="4" t="inlineStr">
        <is>
          <t>3.7.12</t>
        </is>
      </c>
      <c r="B59" s="4" t="inlineStr">
        <is>
          <t>ACL Loading During Landing</t>
        </is>
      </c>
      <c r="C59" s="4" t="inlineStr">
        <is>
          <t>Those two statements are often conflated.</t>
        </is>
      </c>
    </row>
    <row r="60">
      <c r="A60" s="4" t="inlineStr">
        <is>
          <t>3.7.12</t>
        </is>
      </c>
      <c r="B60" s="4" t="inlineStr">
        <is>
          <t>ACL Loading During Landing</t>
        </is>
      </c>
      <c r="C60" s="4" t="inlineStr">
        <is>
          <t>Landing asymmetry persists after reconstruction with normal laxity.</t>
        </is>
      </c>
    </row>
    <row r="61">
      <c r="A61" s="4" t="inlineStr">
        <is>
          <t>3.7.12</t>
        </is>
      </c>
      <c r="B61" s="4" t="inlineStr">
        <is>
          <t>ACL Loading During Landing</t>
        </is>
      </c>
      <c r="C61" s="4" t="inlineStr">
        <is>
          <t>The graft does not address this loading risk.</t>
        </is>
      </c>
    </row>
    <row r="62">
      <c r="A62" s="4" t="inlineStr">
        <is>
          <t>3.7.13</t>
        </is>
      </c>
      <c r="B62" s="4" t="inlineStr">
        <is>
          <t>ACL Loading During Cutting</t>
        </is>
      </c>
      <c r="C62" s="4" t="inlineStr">
        <is>
          <t>Cutting defines the reconstruction's job.</t>
        </is>
      </c>
    </row>
    <row r="63">
      <c r="A63" s="4" t="inlineStr">
        <is>
          <t>3.7.13</t>
        </is>
      </c>
      <c r="B63" s="4" t="inlineStr">
        <is>
          <t>ACL Loading During Cutting</t>
        </is>
      </c>
      <c r="C63" s="4" t="inlineStr">
        <is>
          <t>A construct adequate for running is not necessarily adequate here.</t>
        </is>
      </c>
    </row>
    <row r="64">
      <c r="A64" s="4" t="inlineStr">
        <is>
          <t>3.7.13</t>
        </is>
      </c>
      <c r="B64" s="4" t="inlineStr">
        <is>
          <t>ACL Loading During Cutting</t>
        </is>
      </c>
      <c r="C64" s="4" t="inlineStr">
        <is>
          <t>This is the activity the registry reinjury data is largely about.</t>
        </is>
      </c>
    </row>
    <row r="65">
      <c r="A65" s="4" t="inlineStr">
        <is>
          <t>3.7.13</t>
        </is>
      </c>
      <c r="B65" s="4" t="inlineStr">
        <is>
          <t>ACL Loading During Cutting</t>
        </is>
      </c>
      <c r="C65" s="4" t="inlineStr">
        <is>
          <t>Increased posterior tibial slope is a graft failure risk in pivoting athletes.</t>
        </is>
      </c>
    </row>
    <row r="66">
      <c r="A66" s="4" t="inlineStr">
        <is>
          <t>3.7.13</t>
        </is>
      </c>
      <c r="B66" s="4" t="inlineStr">
        <is>
          <t>ACL Loading During Cutting</t>
        </is>
      </c>
      <c r="C66" s="4" t="inlineStr">
        <is>
          <t>No assessment reproduces an unanticipated sporting cut.</t>
        </is>
      </c>
    </row>
    <row r="67">
      <c r="A67" s="4" t="inlineStr">
        <is>
          <t>3.7.14</t>
        </is>
      </c>
      <c r="B67" s="4" t="inlineStr">
        <is>
          <t>ACL Injury Mechanisms</t>
        </is>
      </c>
      <c r="C67" s="4" t="inlineStr">
        <is>
          <t>The mechanism is settled in outline and unsettled in detail.</t>
        </is>
      </c>
    </row>
    <row r="68">
      <c r="A68" s="4" t="inlineStr">
        <is>
          <t>3.7.14</t>
        </is>
      </c>
      <c r="B68" s="4" t="inlineStr">
        <is>
          <t>ACL Injury Mechanisms</t>
        </is>
      </c>
      <c r="C68" s="4" t="inlineStr">
        <is>
          <t>Multi component programmes hedge across the candidate mechanisms.</t>
        </is>
      </c>
    </row>
    <row r="69">
      <c r="A69" s="4" t="inlineStr">
        <is>
          <t>3.7.14</t>
        </is>
      </c>
      <c r="B69" s="4" t="inlineStr">
        <is>
          <t>ACL Injury Mechanisms</t>
        </is>
      </c>
      <c r="C69" s="4" t="inlineStr">
        <is>
          <t>Slope and lateral plateau morphology are now partly modifiable.</t>
        </is>
      </c>
    </row>
    <row r="70">
      <c r="A70" s="4" t="inlineStr">
        <is>
          <t>3.7.14</t>
        </is>
      </c>
      <c r="B70" s="4" t="inlineStr">
        <is>
          <t>ACL Injury Mechanisms</t>
        </is>
      </c>
      <c r="C70" s="4" t="inlineStr">
        <is>
          <t>Previous injury is the strongest single risk factor for another.</t>
        </is>
      </c>
    </row>
    <row r="71">
      <c r="A71" s="4" t="inlineStr">
        <is>
          <t>3.7.14</t>
        </is>
      </c>
      <c r="B71" s="4" t="inlineStr">
        <is>
          <t>ACL Injury Mechanisms</t>
        </is>
      </c>
      <c r="C71" s="4" t="inlineStr">
        <is>
          <t>No measurement predicts an individual injury.</t>
        </is>
      </c>
    </row>
    <row r="72">
      <c r="A72" s="4" t="inlineStr">
        <is>
          <t>3.7.15</t>
        </is>
      </c>
      <c r="B72" s="4" t="inlineStr">
        <is>
          <t>Female ACL Biomechanics</t>
        </is>
      </c>
      <c r="C72" s="4" t="inlineStr">
        <is>
          <t>The rate difference is established; the mechanism is partly explained.</t>
        </is>
      </c>
    </row>
    <row r="73">
      <c r="A73" s="4" t="inlineStr">
        <is>
          <t>3.7.15</t>
        </is>
      </c>
      <c r="B73" s="4" t="inlineStr">
        <is>
          <t>Female ACL Biomechanics</t>
        </is>
      </c>
      <c r="C73" s="4" t="inlineStr">
        <is>
          <t>It is a basis for prevention rather than for prognosis.</t>
        </is>
      </c>
    </row>
    <row r="74">
      <c r="A74" s="4" t="inlineStr">
        <is>
          <t>3.7.15</t>
        </is>
      </c>
      <c r="B74" s="4" t="inlineStr">
        <is>
          <t>Female ACL Biomechanics</t>
        </is>
      </c>
      <c r="C74" s="4" t="inlineStr">
        <is>
          <t>Registry data reports higher graft failure and contralateral injury in young female athletes.</t>
        </is>
      </c>
    </row>
    <row r="75">
      <c r="A75" s="4" t="inlineStr">
        <is>
          <t>3.7.15</t>
        </is>
      </c>
      <c r="B75" s="4" t="inlineStr">
        <is>
          <t>Female ACL Biomechanics</t>
        </is>
      </c>
      <c r="C75" s="4" t="inlineStr">
        <is>
          <t>Previous injury outweighs sex as a risk factor.</t>
        </is>
      </c>
    </row>
    <row r="76">
      <c r="A76" s="4" t="inlineStr">
        <is>
          <t>3.7.15</t>
        </is>
      </c>
      <c r="B76" s="4" t="inlineStr">
        <is>
          <t>Female ACL Biomechanics</t>
        </is>
      </c>
      <c r="C76" s="4" t="inlineStr">
        <is>
          <t>No measurement predicts which individual athlete will reinjure.</t>
        </is>
      </c>
    </row>
    <row r="77">
      <c r="A77" s="4" t="inlineStr">
        <is>
          <t>3.7.16</t>
        </is>
      </c>
      <c r="B77" s="4" t="inlineStr">
        <is>
          <t>Graft Biomechanics</t>
        </is>
      </c>
      <c r="C77" s="4" t="inlineStr">
        <is>
          <t>Revision and the unusual case push the choice away from the primary algorithm.</t>
        </is>
      </c>
    </row>
    <row r="78">
      <c r="A78" s="4" t="inlineStr">
        <is>
          <t>3.7.16</t>
        </is>
      </c>
      <c r="B78" s="4" t="inlineStr">
        <is>
          <t>Graft Biomechanics</t>
        </is>
      </c>
      <c r="C78" s="4" t="inlineStr">
        <is>
          <t>Allograft is accepted more readily in revision and multiligament reconstruction.</t>
        </is>
      </c>
    </row>
    <row r="79">
      <c r="A79" s="4" t="inlineStr">
        <is>
          <t>3.7.16</t>
        </is>
      </c>
      <c r="B79" s="4" t="inlineStr">
        <is>
          <t>Graft Biomechanics</t>
        </is>
      </c>
      <c r="C79" s="4" t="inlineStr">
        <is>
          <t>Tunnel condition determines what fixation is possible.</t>
        </is>
      </c>
    </row>
    <row r="80">
      <c r="A80" s="4" t="inlineStr">
        <is>
          <t>3.7.16</t>
        </is>
      </c>
      <c r="B80" s="4" t="inlineStr">
        <is>
          <t>Graft Biomechanics</t>
        </is>
      </c>
      <c r="C80" s="4" t="inlineStr">
        <is>
          <t>Fixation is the early limit on the construct.</t>
        </is>
      </c>
    </row>
    <row r="81">
      <c r="A81" s="4" t="inlineStr">
        <is>
          <t>3.7.16</t>
        </is>
      </c>
      <c r="B81" s="4" t="inlineStr">
        <is>
          <t>Graft Biomechanics</t>
        </is>
      </c>
      <c r="C81" s="4" t="inlineStr">
        <is>
          <t>Construct testing in compromised bone is sparse.</t>
        </is>
      </c>
    </row>
    <row r="82">
      <c r="A82" s="4" t="inlineStr">
        <is>
          <t>3.7.17</t>
        </is>
      </c>
      <c r="B82" s="4" t="inlineStr">
        <is>
          <t>Hamstring Graft Biomechanics</t>
        </is>
      </c>
      <c r="C82" s="4" t="inlineStr">
        <is>
          <t>Regenerated tendon is unreliable graft material.</t>
        </is>
      </c>
    </row>
    <row r="83">
      <c r="A83" s="4" t="inlineStr">
        <is>
          <t>3.7.17</t>
        </is>
      </c>
      <c r="B83" s="4" t="inlineStr">
        <is>
          <t>Hamstring Graft Biomechanics</t>
        </is>
      </c>
      <c r="C83" s="4" t="inlineStr">
        <is>
          <t>Where diameter cannot be achieved, each option is a stated mechanical compromise.</t>
        </is>
      </c>
    </row>
    <row r="84">
      <c r="A84" s="4" t="inlineStr">
        <is>
          <t>3.7.17</t>
        </is>
      </c>
      <c r="B84" s="4" t="inlineStr">
        <is>
          <t>Hamstring Graft Biomechanics</t>
        </is>
      </c>
      <c r="C84" s="4" t="inlineStr">
        <is>
          <t>Tunnel widening determines whether single stage revision is possible.</t>
        </is>
      </c>
    </row>
    <row r="85">
      <c r="A85" s="4" t="inlineStr">
        <is>
          <t>3.7.17</t>
        </is>
      </c>
      <c r="B85" s="4" t="inlineStr">
        <is>
          <t>Hamstring Graft Biomechanics</t>
        </is>
      </c>
      <c r="C85" s="4" t="inlineStr">
        <is>
          <t>No measurement establishes a regenerated tendon's mechanical adequacy.</t>
        </is>
      </c>
    </row>
    <row r="86">
      <c r="A86" s="4" t="inlineStr">
        <is>
          <t>3.7.17</t>
        </is>
      </c>
      <c r="B86" s="4" t="inlineStr">
        <is>
          <t>Hamstring Graft Biomechanics</t>
        </is>
      </c>
      <c r="C86" s="4" t="inlineStr">
        <is>
          <t>Plan the graft source before theatre in any revision.</t>
        </is>
      </c>
    </row>
    <row r="87">
      <c r="A87" s="4" t="inlineStr">
        <is>
          <t>3.7.18</t>
        </is>
      </c>
      <c r="B87" s="4" t="inlineStr">
        <is>
          <t>Patellar Tendon Graft Biomechanics</t>
        </is>
      </c>
      <c r="C87" s="4" t="inlineStr">
        <is>
          <t>A reharvested patellar tendon is feasible and less predictable.</t>
        </is>
      </c>
    </row>
    <row r="88">
      <c r="A88" s="4" t="inlineStr">
        <is>
          <t>3.7.18</t>
        </is>
      </c>
      <c r="B88" s="4" t="inlineStr">
        <is>
          <t>Patellar Tendon Graft Biomechanics</t>
        </is>
      </c>
      <c r="C88" s="4" t="inlineStr">
        <is>
          <t>Patella baja from a previous harvest changes any later arthroplasty.</t>
        </is>
      </c>
    </row>
    <row r="89">
      <c r="A89" s="4" t="inlineStr">
        <is>
          <t>3.7.18</t>
        </is>
      </c>
      <c r="B89" s="4" t="inlineStr">
        <is>
          <t>Patellar Tendon Graft Biomechanics</t>
        </is>
      </c>
      <c r="C89" s="4" t="inlineStr">
        <is>
          <t>A bone plug can be sized to a defect a soft tissue graft will not hold.</t>
        </is>
      </c>
    </row>
    <row r="90">
      <c r="A90" s="4" t="inlineStr">
        <is>
          <t>3.7.18</t>
        </is>
      </c>
      <c r="B90" s="4" t="inlineStr">
        <is>
          <t>Patellar Tendon Graft Biomechanics</t>
        </is>
      </c>
      <c r="C90" s="4" t="inlineStr">
        <is>
          <t>Record patellar height after harvest.</t>
        </is>
      </c>
    </row>
    <row r="91">
      <c r="A91" s="4" t="inlineStr">
        <is>
          <t>3.7.18</t>
        </is>
      </c>
      <c r="B91" s="4" t="inlineStr">
        <is>
          <t>Patellar Tendon Graft Biomechanics</t>
        </is>
      </c>
      <c r="C91" s="4" t="inlineStr">
        <is>
          <t>No measurement establishes a reharvested tendon's adequacy.</t>
        </is>
      </c>
    </row>
    <row r="92">
      <c r="A92" s="4" t="inlineStr">
        <is>
          <t>3.7.19</t>
        </is>
      </c>
      <c r="B92" s="4" t="inlineStr">
        <is>
          <t>Quadriceps Tendon Graft Biomechanics</t>
        </is>
      </c>
      <c r="C92" s="4" t="inlineStr">
        <is>
          <t>It is often the revision solution: an untouched donor site with controllable diameter.</t>
        </is>
      </c>
    </row>
    <row r="93">
      <c r="A93" s="4" t="inlineStr">
        <is>
          <t>3.7.19</t>
        </is>
      </c>
      <c r="B93" s="4" t="inlineStr">
        <is>
          <t>Quadriceps Tendon Graft Biomechanics</t>
        </is>
      </c>
      <c r="C93" s="4" t="inlineStr">
        <is>
          <t>It suits multiligament reconstruction, where graft quantity matters.</t>
        </is>
      </c>
    </row>
    <row r="94">
      <c r="A94" s="4" t="inlineStr">
        <is>
          <t>3.7.19</t>
        </is>
      </c>
      <c r="B94" s="4" t="inlineStr">
        <is>
          <t>Quadriceps Tendon Graft Biomechanics</t>
        </is>
      </c>
      <c r="C94" s="4" t="inlineStr">
        <is>
          <t>The extensor mechanism has a finite amount that can be taken across a surgical history.</t>
        </is>
      </c>
    </row>
    <row r="95">
      <c r="A95" s="4" t="inlineStr">
        <is>
          <t>3.7.19</t>
        </is>
      </c>
      <c r="B95" s="4" t="inlineStr">
        <is>
          <t>Quadriceps Tendon Graft Biomechanics</t>
        </is>
      </c>
      <c r="C95" s="4" t="inlineStr">
        <is>
          <t>Tendon thickness is measured on imaging to plan the diameter.</t>
        </is>
      </c>
    </row>
    <row r="96">
      <c r="A96" s="4" t="inlineStr">
        <is>
          <t>3.7.19</t>
        </is>
      </c>
      <c r="B96" s="4" t="inlineStr">
        <is>
          <t>Quadriceps Tendon Graft Biomechanics</t>
        </is>
      </c>
      <c r="C96" s="4" t="inlineStr">
        <is>
          <t>No measurement establishes the total extensor cost a patient can afford.</t>
        </is>
      </c>
    </row>
    <row r="97">
      <c r="A97" s="4" t="inlineStr">
        <is>
          <t>3.7.20</t>
        </is>
      </c>
      <c r="B97" s="4" t="inlineStr">
        <is>
          <t>ACL Reconstruction Biomechanics</t>
        </is>
      </c>
      <c r="C97" s="4" t="inlineStr">
        <is>
          <t>The fellowship problem is the compromised construct.</t>
        </is>
      </c>
    </row>
    <row r="98">
      <c r="A98" s="4" t="inlineStr">
        <is>
          <t>3.7.20</t>
        </is>
      </c>
      <c r="B98" s="4" t="inlineStr">
        <is>
          <t>ACL Reconstruction Biomechanics</t>
        </is>
      </c>
      <c r="C98" s="4" t="inlineStr">
        <is>
          <t>Staging is a mechanical decision, not a cautious one.</t>
        </is>
      </c>
    </row>
    <row r="99">
      <c r="A99" s="4" t="inlineStr">
        <is>
          <t>3.7.20</t>
        </is>
      </c>
      <c r="B99" s="4" t="inlineStr">
        <is>
          <t>ACL Reconstruction Biomechanics</t>
        </is>
      </c>
      <c r="C99" s="4" t="inlineStr">
        <is>
          <t>Maximal environmental intervention is reserved for a knee that failed a conventional revision.</t>
        </is>
      </c>
    </row>
    <row r="100">
      <c r="A100" s="4" t="inlineStr">
        <is>
          <t>3.7.20</t>
        </is>
      </c>
      <c r="B100" s="4" t="inlineStr">
        <is>
          <t>ACL Reconstruction Biomechanics</t>
        </is>
      </c>
      <c r="C100" s="4" t="inlineStr">
        <is>
          <t>Tunnel imaging drives single or two stage.</t>
        </is>
      </c>
    </row>
    <row r="101">
      <c r="A101" s="4" t="inlineStr">
        <is>
          <t>3.7.20</t>
        </is>
      </c>
      <c r="B101" s="4" t="inlineStr">
        <is>
          <t>ACL Reconstruction Biomechanics</t>
        </is>
      </c>
      <c r="C101" s="4" t="inlineStr">
        <is>
          <t>No measurement predicts whether a compromised construct will 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3.7.1-P1</t>
        </is>
      </c>
      <c r="B3" s="4" t="inlineStr">
        <is>
          <t>3.7.1</t>
        </is>
      </c>
      <c r="C3" s="4" t="inlineStr">
        <is>
          <t>mrcs</t>
        </is>
      </c>
      <c r="D3" s="4" t="inlineStr">
        <is>
          <t>State a direction and a flexion angle with any claim about what the ligament does.</t>
        </is>
      </c>
      <c r="E3" s="4" t="inlineStr"/>
      <c r="F3" s="4" t="inlineStr"/>
      <c r="G3" s="4" t="inlineStr"/>
    </row>
    <row r="4">
      <c r="A4" s="4" t="inlineStr">
        <is>
          <t>3.7.1-P2</t>
        </is>
      </c>
      <c r="B4" s="4" t="inlineStr">
        <is>
          <t>3.7.1</t>
        </is>
      </c>
      <c r="C4" s="4" t="inlineStr">
        <is>
          <t>mrcs</t>
        </is>
      </c>
      <c r="D4" s="4" t="inlineStr">
        <is>
          <t>Expect a complete tear to change several examination findings, through the secondary roles.</t>
        </is>
      </c>
      <c r="E4" s="4" t="inlineStr"/>
      <c r="F4" s="4" t="inlineStr"/>
      <c r="G4" s="4" t="inlineStr"/>
    </row>
    <row r="5">
      <c r="A5" s="4" t="inlineStr">
        <is>
          <t>3.7.1-P3</t>
        </is>
      </c>
      <c r="B5" s="4" t="inlineStr">
        <is>
          <t>3.7.1</t>
        </is>
      </c>
      <c r="C5" s="4" t="inlineStr">
        <is>
          <t>mrcs</t>
        </is>
      </c>
      <c r="D5" s="4" t="inlineStr">
        <is>
          <t>Treat the functional loss as partly neuromuscular rather than purely mechanical.</t>
        </is>
      </c>
      <c r="E5" s="4" t="inlineStr"/>
      <c r="F5" s="4" t="inlineStr"/>
      <c r="G5" s="4" t="inlineStr"/>
    </row>
    <row r="6">
      <c r="A6" s="4" t="inlineStr">
        <is>
          <t>3.7.1-P4</t>
        </is>
      </c>
      <c r="B6" s="4" t="inlineStr">
        <is>
          <t>3.7.1</t>
        </is>
      </c>
      <c r="C6" s="4" t="inlineStr">
        <is>
          <t>mrcs</t>
        </is>
      </c>
      <c r="D6" s="4" t="inlineStr">
        <is>
          <t>Read an apportionment figure with its sectioning order in mind.</t>
        </is>
      </c>
      <c r="E6" s="4" t="inlineStr"/>
      <c r="F6" s="4" t="inlineStr"/>
      <c r="G6" s="4" t="inlineStr"/>
    </row>
    <row r="7">
      <c r="A7" s="4" t="inlineStr">
        <is>
          <t>3.7.1-P5</t>
        </is>
      </c>
      <c r="B7" s="4" t="inlineStr">
        <is>
          <t>3.7.1</t>
        </is>
      </c>
      <c r="C7" s="4" t="inlineStr">
        <is>
          <t>frcs</t>
        </is>
      </c>
      <c r="D7" s="4" t="inlineStr">
        <is>
          <t>Treat the four functions as unequally restorable.</t>
        </is>
      </c>
      <c r="E7" s="4" t="inlineStr"/>
      <c r="F7" s="4" t="inlineStr"/>
      <c r="G7" s="4" t="inlineStr"/>
    </row>
    <row r="8">
      <c r="A8" s="4" t="inlineStr">
        <is>
          <t>3.7.1-P6</t>
        </is>
      </c>
      <c r="B8" s="4" t="inlineStr">
        <is>
          <t>3.7.1</t>
        </is>
      </c>
      <c r="C8" s="4" t="inlineStr">
        <is>
          <t>frcs</t>
        </is>
      </c>
      <c r="D8" s="4" t="inlineStr">
        <is>
          <t>Counsel that stability and normality are different outcomes, and name which the operation restores.</t>
        </is>
      </c>
      <c r="E8" s="4" t="inlineStr"/>
      <c r="F8" s="4" t="inlineStr"/>
      <c r="G8" s="4" t="inlineStr"/>
    </row>
    <row r="9">
      <c r="A9" s="4" t="inlineStr">
        <is>
          <t>3.7.1-P7</t>
        </is>
      </c>
      <c r="B9" s="4" t="inlineStr">
        <is>
          <t>3.7.1</t>
        </is>
      </c>
      <c r="C9" s="4" t="inlineStr">
        <is>
          <t>frcs</t>
        </is>
      </c>
      <c r="D9" s="4" t="inlineStr">
        <is>
          <t>Address the secondary restraints where they are also injured, rather than relying on the graft.</t>
        </is>
      </c>
      <c r="E9" s="4" t="inlineStr"/>
      <c r="F9" s="4" t="inlineStr"/>
      <c r="G9" s="4" t="inlineStr"/>
    </row>
    <row r="10">
      <c r="A10" s="4" t="inlineStr">
        <is>
          <t>3.7.1-P8</t>
        </is>
      </c>
      <c r="B10" s="4" t="inlineStr">
        <is>
          <t>3.7.1</t>
        </is>
      </c>
      <c r="C10" s="4" t="inlineStr">
        <is>
          <t>frcs</t>
        </is>
      </c>
      <c r="D10" s="4" t="inlineStr">
        <is>
          <t>Read a construct study by which of the four functions it measured.</t>
        </is>
      </c>
      <c r="E10" s="4" t="inlineStr"/>
      <c r="F10" s="4" t="inlineStr"/>
      <c r="G10" s="4" t="inlineStr"/>
    </row>
    <row r="11">
      <c r="A11" s="4" t="inlineStr">
        <is>
          <t>3.7.2-P1</t>
        </is>
      </c>
      <c r="B11" s="4" t="inlineStr">
        <is>
          <t>3.7.2</t>
        </is>
      </c>
      <c r="C11" s="4" t="inlineStr">
        <is>
          <t>mrcs</t>
        </is>
      </c>
      <c r="D11" s="4" t="inlineStr">
        <is>
          <t>Expect a combined injury to distribute load differently from the sectioning studies.</t>
        </is>
      </c>
      <c r="E11" s="4" t="inlineStr"/>
      <c r="F11" s="4" t="inlineStr"/>
      <c r="G11" s="4" t="inlineStr"/>
    </row>
    <row r="12">
      <c r="A12" s="4" t="inlineStr">
        <is>
          <t>3.7.2-P2</t>
        </is>
      </c>
      <c r="B12" s="4" t="inlineStr">
        <is>
          <t>3.7.2</t>
        </is>
      </c>
      <c r="C12" s="4" t="inlineStr">
        <is>
          <t>frcs</t>
        </is>
      </c>
      <c r="D12" s="4" t="inlineStr">
        <is>
          <t>Treat the primary and secondary language as the framework for deciding what a reconstruction has to include.</t>
        </is>
      </c>
      <c r="E12" s="4" t="inlineStr"/>
      <c r="F12" s="4" t="inlineStr"/>
      <c r="G12" s="4" t="inlineStr"/>
    </row>
    <row r="13">
      <c r="A13" s="4" t="inlineStr">
        <is>
          <t>3.7.2-P3</t>
        </is>
      </c>
      <c r="B13" s="4" t="inlineStr">
        <is>
          <t>3.7.2</t>
        </is>
      </c>
      <c r="C13" s="4" t="inlineStr">
        <is>
          <t>frcs</t>
        </is>
      </c>
      <c r="D13" s="4" t="inlineStr">
        <is>
          <t>Decide whether to augment by asking which share is not being restored.</t>
        </is>
      </c>
      <c r="E13" s="4" t="inlineStr"/>
      <c r="F13" s="4" t="inlineStr"/>
      <c r="G13" s="4" t="inlineStr"/>
    </row>
    <row r="14">
      <c r="A14" s="4" t="inlineStr">
        <is>
          <t>3.7.2-P4</t>
        </is>
      </c>
      <c r="B14" s="4" t="inlineStr">
        <is>
          <t>3.7.2</t>
        </is>
      </c>
      <c r="C14" s="4" t="inlineStr">
        <is>
          <t>frcs</t>
        </is>
      </c>
      <c r="D14" s="4" t="inlineStr">
        <is>
          <t>Assess the secondary restraints before relying on a single graft to carry rotation.</t>
        </is>
      </c>
      <c r="E14" s="4" t="inlineStr"/>
      <c r="F14" s="4" t="inlineStr"/>
      <c r="G14" s="4" t="inlineStr"/>
    </row>
    <row r="15">
      <c r="A15" s="4" t="inlineStr">
        <is>
          <t>3.7.2-P5</t>
        </is>
      </c>
      <c r="B15" s="4" t="inlineStr">
        <is>
          <t>3.7.2</t>
        </is>
      </c>
      <c r="C15" s="4" t="inlineStr">
        <is>
          <t>frcs</t>
        </is>
      </c>
      <c r="D15" s="4" t="inlineStr">
        <is>
          <t>Measure slope where the restraint is meeting an excessive load.</t>
        </is>
      </c>
      <c r="E15" s="4" t="inlineStr"/>
      <c r="F15" s="4" t="inlineStr"/>
      <c r="G15" s="4" t="inlineStr"/>
    </row>
    <row r="16">
      <c r="A16" s="4" t="inlineStr">
        <is>
          <t>3.7.2-P6</t>
        </is>
      </c>
      <c r="B16" s="4" t="inlineStr">
        <is>
          <t>3.7.2</t>
        </is>
      </c>
      <c r="C16" s="4" t="inlineStr">
        <is>
          <t>frcs</t>
        </is>
      </c>
      <c r="D16" s="4" t="inlineStr">
        <is>
          <t>Read construct comparisons with the sectioning order limitation in mind.</t>
        </is>
      </c>
      <c r="E16" s="4" t="inlineStr"/>
      <c r="F16" s="4" t="inlineStr"/>
      <c r="G16" s="4" t="inlineStr"/>
    </row>
    <row r="17">
      <c r="A17" s="4" t="inlineStr">
        <is>
          <t>3.7.3-P1</t>
        </is>
      </c>
      <c r="B17" s="4" t="inlineStr">
        <is>
          <t>3.7.3</t>
        </is>
      </c>
      <c r="C17" s="4" t="inlineStr">
        <is>
          <t>mrcs</t>
        </is>
      </c>
      <c r="D17" s="4" t="inlineStr">
        <is>
          <t>Expect a chronically deficient knee to be more lax than an acutely injured one.</t>
        </is>
      </c>
      <c r="E17" s="4" t="inlineStr"/>
      <c r="F17" s="4" t="inlineStr"/>
      <c r="G17" s="4" t="inlineStr"/>
    </row>
    <row r="18">
      <c r="A18" s="4" t="inlineStr">
        <is>
          <t>3.7.3-P2</t>
        </is>
      </c>
      <c r="B18" s="4" t="inlineStr">
        <is>
          <t>3.7.3</t>
        </is>
      </c>
      <c r="C18" s="4" t="inlineStr">
        <is>
          <t>mrcs</t>
        </is>
      </c>
      <c r="D18" s="4" t="inlineStr">
        <is>
          <t>Measure slope where laxity exceeds what the injury explains.</t>
        </is>
      </c>
      <c r="E18" s="4" t="inlineStr"/>
      <c r="F18" s="4" t="inlineStr"/>
      <c r="G18" s="4" t="inlineStr"/>
    </row>
    <row r="19">
      <c r="A19" s="4" t="inlineStr">
        <is>
          <t>3.7.3-P3</t>
        </is>
      </c>
      <c r="B19" s="4" t="inlineStr">
        <is>
          <t>3.7.3</t>
        </is>
      </c>
      <c r="C19" s="4" t="inlineStr">
        <is>
          <t>mrcs</t>
        </is>
      </c>
      <c r="D19" s="4" t="inlineStr">
        <is>
          <t>Treat examination under anaesthetic as the more complete structural assessment.</t>
        </is>
      </c>
      <c r="E19" s="4" t="inlineStr"/>
      <c r="F19" s="4" t="inlineStr"/>
      <c r="G19" s="4" t="inlineStr"/>
    </row>
    <row r="20">
      <c r="A20" s="4" t="inlineStr">
        <is>
          <t>3.7.3-P4</t>
        </is>
      </c>
      <c r="B20" s="4" t="inlineStr">
        <is>
          <t>3.7.3</t>
        </is>
      </c>
      <c r="C20" s="4" t="inlineStr">
        <is>
          <t>frcs</t>
        </is>
      </c>
      <c r="D20" s="4" t="inlineStr">
        <is>
          <t>Treat secondary restraint injury as the commonest reason a reconstruction underperforms without a technical error.</t>
        </is>
      </c>
      <c r="E20" s="4" t="inlineStr"/>
      <c r="F20" s="4" t="inlineStr"/>
      <c r="G20" s="4" t="inlineStr"/>
    </row>
    <row r="21">
      <c r="A21" s="4" t="inlineStr">
        <is>
          <t>3.7.3-P5</t>
        </is>
      </c>
      <c r="B21" s="4" t="inlineStr">
        <is>
          <t>3.7.3</t>
        </is>
      </c>
      <c r="C21" s="4" t="inlineStr">
        <is>
          <t>frcs</t>
        </is>
      </c>
      <c r="D21" s="4" t="inlineStr">
        <is>
          <t>Measure slope before revising a graft that failed without a new injury.</t>
        </is>
      </c>
      <c r="E21" s="4" t="inlineStr"/>
      <c r="F21" s="4" t="inlineStr"/>
      <c r="G21" s="4" t="inlineStr"/>
    </row>
    <row r="22">
      <c r="A22" s="4" t="inlineStr">
        <is>
          <t>3.7.3-P6</t>
        </is>
      </c>
      <c r="B22" s="4" t="inlineStr">
        <is>
          <t>3.7.3</t>
        </is>
      </c>
      <c r="C22" s="4" t="inlineStr">
        <is>
          <t>frcs</t>
        </is>
      </c>
      <c r="D22" s="4" t="inlineStr">
        <is>
          <t>Repair the secondary restraints at the index operation rather than later.</t>
        </is>
      </c>
      <c r="E22" s="4" t="inlineStr"/>
      <c r="F22" s="4" t="inlineStr"/>
      <c r="G22" s="4" t="inlineStr"/>
    </row>
    <row r="23">
      <c r="A23" s="4" t="inlineStr">
        <is>
          <t>3.7.4-P1</t>
        </is>
      </c>
      <c r="B23" s="4" t="inlineStr">
        <is>
          <t>3.7.4</t>
        </is>
      </c>
      <c r="C23" s="4" t="inlineStr">
        <is>
          <t>mrcs</t>
        </is>
      </c>
      <c r="D23" s="4" t="inlineStr">
        <is>
          <t>Treat the two bundle model as functionally useful and anatomically approximate.</t>
        </is>
      </c>
      <c r="E23" s="4" t="inlineStr"/>
      <c r="F23" s="4" t="inlineStr"/>
      <c r="G23" s="4" t="inlineStr"/>
    </row>
    <row r="24">
      <c r="A24" s="4" t="inlineStr">
        <is>
          <t>3.7.4-P2</t>
        </is>
      </c>
      <c r="B24" s="4" t="inlineStr">
        <is>
          <t>3.7.4</t>
        </is>
      </c>
      <c r="C24" s="4" t="inlineStr">
        <is>
          <t>mrcs</t>
        </is>
      </c>
      <c r="D24" s="4" t="inlineStr">
        <is>
          <t>Expect a partial tear to produce angle specific findings.</t>
        </is>
      </c>
      <c r="E24" s="4" t="inlineStr"/>
      <c r="F24" s="4" t="inlineStr"/>
      <c r="G24" s="4" t="inlineStr"/>
    </row>
    <row r="25">
      <c r="A25" s="4" t="inlineStr">
        <is>
          <t>3.7.4-P3</t>
        </is>
      </c>
      <c r="B25" s="4" t="inlineStr">
        <is>
          <t>3.7.4</t>
        </is>
      </c>
      <c r="C25" s="4" t="inlineStr">
        <is>
          <t>mrcs</t>
        </is>
      </c>
      <c r="D25" s="4" t="inlineStr">
        <is>
          <t>Place a femoral tunnel knowing it is the main determinant of length change behaviour.</t>
        </is>
      </c>
      <c r="E25" s="4" t="inlineStr"/>
      <c r="F25" s="4" t="inlineStr"/>
      <c r="G25" s="4" t="inlineStr"/>
    </row>
    <row r="26">
      <c r="A26" s="4" t="inlineStr">
        <is>
          <t>3.7.4-P4</t>
        </is>
      </c>
      <c r="B26" s="4" t="inlineStr">
        <is>
          <t>3.7.4</t>
        </is>
      </c>
      <c r="C26" s="4" t="inlineStr">
        <is>
          <t>mrcs</t>
        </is>
      </c>
      <c r="D26" s="4" t="inlineStr">
        <is>
          <t>Avoid quoting a single tension figure for the whole ligament.</t>
        </is>
      </c>
      <c r="E26" s="4" t="inlineStr"/>
      <c r="F26" s="4" t="inlineStr"/>
      <c r="G26" s="4" t="inlineStr"/>
    </row>
    <row r="27">
      <c r="A27" s="4" t="inlineStr">
        <is>
          <t>3.7.4-P5</t>
        </is>
      </c>
      <c r="B27" s="4" t="inlineStr">
        <is>
          <t>3.7.4</t>
        </is>
      </c>
      <c r="C27" s="4" t="inlineStr">
        <is>
          <t>frcs</t>
        </is>
      </c>
      <c r="D27" s="4" t="inlineStr">
        <is>
          <t>Treat the bundle model as the mechanical content of the tunnel position debate.</t>
        </is>
      </c>
      <c r="E27" s="4" t="inlineStr"/>
      <c r="F27" s="4" t="inlineStr"/>
      <c r="G27" s="4" t="inlineStr"/>
    </row>
    <row r="28">
      <c r="A28" s="4" t="inlineStr">
        <is>
          <t>3.7.4-P6</t>
        </is>
      </c>
      <c r="B28" s="4" t="inlineStr">
        <is>
          <t>3.7.4</t>
        </is>
      </c>
      <c r="C28" s="4" t="inlineStr">
        <is>
          <t>frcs</t>
        </is>
      </c>
      <c r="D28" s="4" t="inlineStr">
        <is>
          <t>Place the graft in the native footprint centre rather than aiming at a bundle.</t>
        </is>
      </c>
      <c r="E28" s="4" t="inlineStr"/>
      <c r="F28" s="4" t="inlineStr"/>
      <c r="G28" s="4" t="inlineStr"/>
    </row>
    <row r="29">
      <c r="A29" s="4" t="inlineStr">
        <is>
          <t>3.7.4-P7</t>
        </is>
      </c>
      <c r="B29" s="4" t="inlineStr">
        <is>
          <t>3.7.4</t>
        </is>
      </c>
      <c r="C29" s="4" t="inlineStr">
        <is>
          <t>frcs</t>
        </is>
      </c>
      <c r="D29" s="4" t="inlineStr">
        <is>
          <t>State the gap between cadaveric and clinical evidence when the double bundle question arises.</t>
        </is>
      </c>
      <c r="E29" s="4" t="inlineStr"/>
      <c r="F29" s="4" t="inlineStr"/>
      <c r="G29" s="4" t="inlineStr"/>
    </row>
    <row r="30">
      <c r="A30" s="4" t="inlineStr">
        <is>
          <t>3.7.5-P1</t>
        </is>
      </c>
      <c r="B30" s="4" t="inlineStr">
        <is>
          <t>3.7.5</t>
        </is>
      </c>
      <c r="C30" s="4" t="inlineStr">
        <is>
          <t>mrcs</t>
        </is>
      </c>
      <c r="D30" s="4" t="inlineStr">
        <is>
          <t>Read a test at 90 degrees as sampling this bundle rather than the whole ligament.</t>
        </is>
      </c>
      <c r="E30" s="4" t="inlineStr"/>
      <c r="F30" s="4" t="inlineStr"/>
      <c r="G30" s="4" t="inlineStr"/>
    </row>
    <row r="31">
      <c r="A31" s="4" t="inlineStr">
        <is>
          <t>3.7.5-P2</t>
        </is>
      </c>
      <c r="B31" s="4" t="inlineStr">
        <is>
          <t>3.7.5</t>
        </is>
      </c>
      <c r="C31" s="4" t="inlineStr">
        <is>
          <t>mrcs</t>
        </is>
      </c>
      <c r="D31" s="4" t="inlineStr">
        <is>
          <t>Expect a partial tear with an endpoint to involve this bundle commonly.</t>
        </is>
      </c>
      <c r="E31" s="4" t="inlineStr"/>
      <c r="F31" s="4" t="inlineStr"/>
      <c r="G31" s="4" t="inlineStr"/>
    </row>
    <row r="32">
      <c r="A32" s="4" t="inlineStr">
        <is>
          <t>3.7.5-P3</t>
        </is>
      </c>
      <c r="B32" s="4" t="inlineStr">
        <is>
          <t>3.7.5</t>
        </is>
      </c>
      <c r="C32" s="4" t="inlineStr">
        <is>
          <t>mrcs</t>
        </is>
      </c>
      <c r="D32" s="4" t="inlineStr">
        <is>
          <t>Place a single graft knowing it approximates this bundle's behaviour most closely.</t>
        </is>
      </c>
      <c r="E32" s="4" t="inlineStr"/>
      <c r="F32" s="4" t="inlineStr"/>
      <c r="G32" s="4" t="inlineStr"/>
    </row>
    <row r="33">
      <c r="A33" s="4" t="inlineStr">
        <is>
          <t>3.7.5-P4</t>
        </is>
      </c>
      <c r="B33" s="4" t="inlineStr">
        <is>
          <t>3.7.5</t>
        </is>
      </c>
      <c r="C33" s="4" t="inlineStr">
        <is>
          <t>frcs</t>
        </is>
      </c>
      <c r="D33" s="4" t="inlineStr">
        <is>
          <t>Treat the anteromedial bundle as the behaviour a single bundle reconstruction most nearly reproduces, and treat that as a partial restoration rather than a success.</t>
        </is>
      </c>
      <c r="E33" s="4" t="inlineStr"/>
      <c r="F33" s="4" t="inlineStr"/>
      <c r="G33" s="4" t="inlineStr"/>
    </row>
    <row r="34">
      <c r="A34" s="4" t="inlineStr">
        <is>
          <t>3.7.5-P5</t>
        </is>
      </c>
      <c r="B34" s="4" t="inlineStr">
        <is>
          <t>3.7.5</t>
        </is>
      </c>
      <c r="C34" s="4" t="inlineStr">
        <is>
          <t>frcs</t>
        </is>
      </c>
      <c r="D34" s="4" t="inlineStr">
        <is>
          <t>Expect a more anteromedial tunnel to restore translation and leave rotation.</t>
        </is>
      </c>
      <c r="E34" s="4" t="inlineStr"/>
      <c r="F34" s="4" t="inlineStr"/>
      <c r="G34" s="4" t="inlineStr"/>
    </row>
    <row r="35">
      <c r="A35" s="4" t="inlineStr">
        <is>
          <t>3.7.5-P6</t>
        </is>
      </c>
      <c r="B35" s="4" t="inlineStr">
        <is>
          <t>3.7.5</t>
        </is>
      </c>
      <c r="C35" s="4" t="inlineStr">
        <is>
          <t>frcs</t>
        </is>
      </c>
      <c r="D35" s="4" t="inlineStr">
        <is>
          <t>Treat a normal arthrometer reading as evidence about this bundle only.</t>
        </is>
      </c>
      <c r="E35" s="4" t="inlineStr"/>
      <c r="F35" s="4" t="inlineStr"/>
      <c r="G35" s="4" t="inlineStr"/>
    </row>
    <row r="36">
      <c r="A36" s="4" t="inlineStr">
        <is>
          <t>3.7.6-P1</t>
        </is>
      </c>
      <c r="B36" s="4" t="inlineStr">
        <is>
          <t>3.7.6</t>
        </is>
      </c>
      <c r="C36" s="4" t="inlineStr">
        <is>
          <t>mrcs</t>
        </is>
      </c>
      <c r="D36" s="4" t="inlineStr">
        <is>
          <t>Assess rotation near extension, since that is where this bundle's share is highest.</t>
        </is>
      </c>
      <c r="E36" s="4" t="inlineStr"/>
      <c r="F36" s="4" t="inlineStr"/>
      <c r="G36" s="4" t="inlineStr"/>
    </row>
    <row r="37">
      <c r="A37" s="4" t="inlineStr">
        <is>
          <t>3.7.6-P2</t>
        </is>
      </c>
      <c r="B37" s="4" t="inlineStr">
        <is>
          <t>3.7.6</t>
        </is>
      </c>
      <c r="C37" s="4" t="inlineStr">
        <is>
          <t>mrcs</t>
        </is>
      </c>
      <c r="D37" s="4" t="inlineStr">
        <is>
          <t>Expect a near normal drawer at 90 degrees in a knee with a positive pivot shift.</t>
        </is>
      </c>
      <c r="E37" s="4" t="inlineStr"/>
      <c r="F37" s="4" t="inlineStr"/>
      <c r="G37" s="4" t="inlineStr"/>
    </row>
    <row r="38">
      <c r="A38" s="4" t="inlineStr">
        <is>
          <t>3.7.6-P3</t>
        </is>
      </c>
      <c r="B38" s="4" t="inlineStr">
        <is>
          <t>3.7.6</t>
        </is>
      </c>
      <c r="C38" s="4" t="inlineStr">
        <is>
          <t>mrcs</t>
        </is>
      </c>
      <c r="D38" s="4" t="inlineStr">
        <is>
          <t>Compare bundles by strain rather than by force, given their different dimensions.</t>
        </is>
      </c>
      <c r="E38" s="4" t="inlineStr"/>
      <c r="F38" s="4" t="inlineStr"/>
      <c r="G38" s="4" t="inlineStr"/>
    </row>
    <row r="39">
      <c r="A39" s="4" t="inlineStr">
        <is>
          <t>3.7.6-P4</t>
        </is>
      </c>
      <c r="B39" s="4" t="inlineStr">
        <is>
          <t>3.7.6</t>
        </is>
      </c>
      <c r="C39" s="4" t="inlineStr">
        <is>
          <t>mrcs</t>
        </is>
      </c>
      <c r="D39" s="4" t="inlineStr">
        <is>
          <t>Treat isolated injury to this bundle as uncommon and the sectioning evidence as the main source.</t>
        </is>
      </c>
      <c r="E39" s="4" t="inlineStr"/>
      <c r="F39" s="4" t="inlineStr"/>
      <c r="G39" s="4" t="inlineStr"/>
    </row>
    <row r="40">
      <c r="A40" s="4" t="inlineStr">
        <is>
          <t>3.7.6-P5</t>
        </is>
      </c>
      <c r="B40" s="4" t="inlineStr">
        <is>
          <t>3.7.6</t>
        </is>
      </c>
      <c r="C40" s="4" t="inlineStr">
        <is>
          <t>frcs</t>
        </is>
      </c>
      <c r="D40" s="4" t="inlineStr">
        <is>
          <t>Treat this bundle's behaviour as the half a reconstruction most often fails to restore, and treat residual rotational laxity as the expected sign of it.</t>
        </is>
      </c>
      <c r="E40" s="4" t="inlineStr"/>
      <c r="F40" s="4" t="inlineStr"/>
      <c r="G40" s="4" t="inlineStr"/>
    </row>
    <row r="41">
      <c r="A41" s="4" t="inlineStr">
        <is>
          <t>3.7.6-P6</t>
        </is>
      </c>
      <c r="B41" s="4" t="inlineStr">
        <is>
          <t>3.7.6</t>
        </is>
      </c>
      <c r="C41" s="4" t="inlineStr">
        <is>
          <t>frcs</t>
        </is>
      </c>
      <c r="D41" s="4" t="inlineStr">
        <is>
          <t>Place the femoral tunnel to reproduce near extension rotational control.</t>
        </is>
      </c>
      <c r="E41" s="4" t="inlineStr"/>
      <c r="F41" s="4" t="inlineStr"/>
      <c r="G41" s="4" t="inlineStr"/>
    </row>
    <row r="42">
      <c r="A42" s="4" t="inlineStr">
        <is>
          <t>3.7.6-P7</t>
        </is>
      </c>
      <c r="B42" s="4" t="inlineStr">
        <is>
          <t>3.7.6</t>
        </is>
      </c>
      <c r="C42" s="4" t="inlineStr">
        <is>
          <t>frcs</t>
        </is>
      </c>
      <c r="D42" s="4" t="inlineStr">
        <is>
          <t>Consider lateral augmentation where rotational laxity is high or the knee is a revision.</t>
        </is>
      </c>
      <c r="E42" s="4" t="inlineStr"/>
      <c r="F42" s="4" t="inlineStr"/>
      <c r="G42" s="4" t="inlineStr"/>
    </row>
    <row r="43">
      <c r="A43" s="4" t="inlineStr">
        <is>
          <t>3.7.6-P8</t>
        </is>
      </c>
      <c r="B43" s="4" t="inlineStr">
        <is>
          <t>3.7.6</t>
        </is>
      </c>
      <c r="C43" s="4" t="inlineStr">
        <is>
          <t>frcs</t>
        </is>
      </c>
      <c r="D43" s="4" t="inlineStr">
        <is>
          <t>Measure slope, which raises the demand on this control.</t>
        </is>
      </c>
      <c r="E43" s="4" t="inlineStr"/>
      <c r="F43" s="4" t="inlineStr"/>
      <c r="G43" s="4" t="inlineStr"/>
    </row>
    <row r="44">
      <c r="A44" s="4" t="inlineStr">
        <is>
          <t>3.7.6-P9</t>
        </is>
      </c>
      <c r="B44" s="4" t="inlineStr">
        <is>
          <t>3.7.6</t>
        </is>
      </c>
      <c r="C44" s="4" t="inlineStr">
        <is>
          <t>frcs</t>
        </is>
      </c>
      <c r="D44" s="4" t="inlineStr">
        <is>
          <t>Expect residual rotational laxity to be the sign that this behaviour was not restored.</t>
        </is>
      </c>
      <c r="E44" s="4" t="inlineStr"/>
      <c r="F44" s="4" t="inlineStr"/>
      <c r="G44" s="4" t="inlineStr"/>
    </row>
    <row r="45">
      <c r="A45" s="4" t="inlineStr">
        <is>
          <t>3.7.7-P1</t>
        </is>
      </c>
      <c r="B45" s="4" t="inlineStr">
        <is>
          <t>3.7.7</t>
        </is>
      </c>
      <c r="C45" s="4" t="inlineStr">
        <is>
          <t>mrcs</t>
        </is>
      </c>
      <c r="D45" s="4" t="inlineStr">
        <is>
          <t>Assess rotation near extension and record the grade, accepting its modest reliability.</t>
        </is>
      </c>
      <c r="E45" s="4" t="inlineStr"/>
      <c r="F45" s="4" t="inlineStr"/>
      <c r="G45" s="4" t="inlineStr"/>
    </row>
    <row r="46">
      <c r="A46" s="4" t="inlineStr">
        <is>
          <t>3.7.7-P2</t>
        </is>
      </c>
      <c r="B46" s="4" t="inlineStr">
        <is>
          <t>3.7.7</t>
        </is>
      </c>
      <c r="C46" s="4" t="inlineStr">
        <is>
          <t>mrcs</t>
        </is>
      </c>
      <c r="D46" s="4" t="inlineStr">
        <is>
          <t>Measure slope and plateau morphology where rotatory laxity is prominent.</t>
        </is>
      </c>
      <c r="E46" s="4" t="inlineStr"/>
      <c r="F46" s="4" t="inlineStr"/>
      <c r="G46" s="4" t="inlineStr"/>
    </row>
    <row r="47">
      <c r="A47" s="4" t="inlineStr">
        <is>
          <t>3.7.7-P3</t>
        </is>
      </c>
      <c r="B47" s="4" t="inlineStr">
        <is>
          <t>3.7.7</t>
        </is>
      </c>
      <c r="C47" s="4" t="inlineStr">
        <is>
          <t>mrcs</t>
        </is>
      </c>
      <c r="D47" s="4" t="inlineStr">
        <is>
          <t>Treat rotatory laxity as a combined motion rather than a single measurement.</t>
        </is>
      </c>
      <c r="E47" s="4" t="inlineStr"/>
      <c r="F47" s="4" t="inlineStr"/>
      <c r="G47" s="4" t="inlineStr"/>
    </row>
    <row r="48">
      <c r="A48" s="4" t="inlineStr">
        <is>
          <t>3.7.7-P4</t>
        </is>
      </c>
      <c r="B48" s="4" t="inlineStr">
        <is>
          <t>3.7.7</t>
        </is>
      </c>
      <c r="C48" s="4" t="inlineStr">
        <is>
          <t>frcs</t>
        </is>
      </c>
      <c r="D48" s="4" t="inlineStr">
        <is>
          <t>Treat rotational control as the outcome that decides whether a pivoting athlete is satisfied, and as the one the evidence base measures least well.</t>
        </is>
      </c>
      <c r="E48" s="4" t="inlineStr"/>
      <c r="F48" s="4" t="inlineStr"/>
      <c r="G48" s="4" t="inlineStr"/>
    </row>
    <row r="49">
      <c r="A49" s="4" t="inlineStr">
        <is>
          <t>3.7.7-P5</t>
        </is>
      </c>
      <c r="B49" s="4" t="inlineStr">
        <is>
          <t>3.7.7</t>
        </is>
      </c>
      <c r="C49" s="4" t="inlineStr">
        <is>
          <t>frcs</t>
        </is>
      </c>
      <c r="D49" s="4" t="inlineStr">
        <is>
          <t>Consider lateral augmentation by rotational demand and laxity grade rather than by translation.</t>
        </is>
      </c>
      <c r="E49" s="4" t="inlineStr"/>
      <c r="F49" s="4" t="inlineStr"/>
      <c r="G49" s="4" t="inlineStr"/>
    </row>
    <row r="50">
      <c r="A50" s="4" t="inlineStr">
        <is>
          <t>3.7.7-P6</t>
        </is>
      </c>
      <c r="B50" s="4" t="inlineStr">
        <is>
          <t>3.7.7</t>
        </is>
      </c>
      <c r="C50" s="4" t="inlineStr">
        <is>
          <t>frcs</t>
        </is>
      </c>
      <c r="D50" s="4" t="inlineStr">
        <is>
          <t>Repair the lateral posterior horn where it is torn, on rotational grounds.</t>
        </is>
      </c>
      <c r="E50" s="4" t="inlineStr"/>
      <c r="F50" s="4" t="inlineStr"/>
      <c r="G50" s="4" t="inlineStr"/>
    </row>
    <row r="51">
      <c r="A51" s="4" t="inlineStr">
        <is>
          <t>3.7.7-P7</t>
        </is>
      </c>
      <c r="B51" s="4" t="inlineStr">
        <is>
          <t>3.7.7</t>
        </is>
      </c>
      <c r="C51" s="4" t="inlineStr">
        <is>
          <t>frcs</t>
        </is>
      </c>
      <c r="D51" s="4" t="inlineStr">
        <is>
          <t>Measure slope in a pivoting athlete, particularly before revision.</t>
        </is>
      </c>
      <c r="E51" s="4" t="inlineStr"/>
      <c r="F51" s="4" t="inlineStr"/>
      <c r="G51" s="4" t="inlineStr"/>
    </row>
    <row r="52">
      <c r="A52" s="4" t="inlineStr">
        <is>
          <t>3.7.8-P1</t>
        </is>
      </c>
      <c r="B52" s="4" t="inlineStr">
        <is>
          <t>3.7.8</t>
        </is>
      </c>
      <c r="C52" s="4" t="inlineStr">
        <is>
          <t>mrcs</t>
        </is>
      </c>
      <c r="D52" s="4" t="inlineStr">
        <is>
          <t>Applied load and flexion angle, both of which must be stated.</t>
        </is>
      </c>
      <c r="E52" s="4" t="inlineStr"/>
      <c r="F52" s="4" t="inlineStr"/>
      <c r="G52" s="4" t="inlineStr"/>
    </row>
    <row r="53">
      <c r="A53" s="4" t="inlineStr">
        <is>
          <t>3.7.8-P2</t>
        </is>
      </c>
      <c r="B53" s="4" t="inlineStr">
        <is>
          <t>3.7.8</t>
        </is>
      </c>
      <c r="C53" s="4" t="inlineStr">
        <is>
          <t>mrcs</t>
        </is>
      </c>
      <c r="D53" s="4" t="inlineStr">
        <is>
          <t>State load, angle and the instrument's limit of agreement with any figure.</t>
        </is>
      </c>
      <c r="E53" s="4" t="inlineStr"/>
      <c r="F53" s="4" t="inlineStr"/>
      <c r="G53" s="4" t="inlineStr"/>
    </row>
    <row r="54">
      <c r="A54" s="4" t="inlineStr">
        <is>
          <t>3.7.8-P3</t>
        </is>
      </c>
      <c r="B54" s="4" t="inlineStr">
        <is>
          <t>3.7.8</t>
        </is>
      </c>
      <c r="C54" s="4" t="inlineStr">
        <is>
          <t>mrcs</t>
        </is>
      </c>
      <c r="D54" s="4" t="inlineStr">
        <is>
          <t>Treat the 3 millimetre threshold as a convention rather than a boundary.</t>
        </is>
      </c>
      <c r="E54" s="4" t="inlineStr"/>
      <c r="F54" s="4" t="inlineStr"/>
      <c r="G54" s="4" t="inlineStr"/>
    </row>
    <row r="55">
      <c r="A55" s="4" t="inlineStr">
        <is>
          <t>3.7.8-P4</t>
        </is>
      </c>
      <c r="B55" s="4" t="inlineStr">
        <is>
          <t>3.7.8</t>
        </is>
      </c>
      <c r="C55" s="4" t="inlineStr">
        <is>
          <t>mrcs</t>
        </is>
      </c>
      <c r="D55" s="4" t="inlineStr">
        <is>
          <t>Read the curve shape and the endpoint rather than the number alone.</t>
        </is>
      </c>
      <c r="E55" s="4" t="inlineStr"/>
      <c r="F55" s="4" t="inlineStr"/>
      <c r="G55" s="4" t="inlineStr"/>
    </row>
    <row r="56">
      <c r="A56" s="4" t="inlineStr">
        <is>
          <t>3.7.8-P5</t>
        </is>
      </c>
      <c r="B56" s="4" t="inlineStr">
        <is>
          <t>3.7.8</t>
        </is>
      </c>
      <c r="C56" s="4" t="inlineStr">
        <is>
          <t>mrcs</t>
        </is>
      </c>
      <c r="D56" s="4" t="inlineStr">
        <is>
          <t>Recognise that translation dominates the literature because it is measurable, not because it matters most.</t>
        </is>
      </c>
      <c r="E56" s="4" t="inlineStr"/>
      <c r="F56" s="4" t="inlineStr"/>
      <c r="G56" s="4" t="inlineStr"/>
    </row>
    <row r="57">
      <c r="A57" s="4" t="inlineStr">
        <is>
          <t>3.7.8-P6</t>
        </is>
      </c>
      <c r="B57" s="4" t="inlineStr">
        <is>
          <t>3.7.8</t>
        </is>
      </c>
      <c r="C57" s="4" t="inlineStr">
        <is>
          <t>frcs</t>
        </is>
      </c>
      <c r="D57" s="4" t="inlineStr">
        <is>
          <t>Treat restored anterior translation as a necessary and insufficient result.</t>
        </is>
      </c>
      <c r="E57" s="4" t="inlineStr"/>
      <c r="F57" s="4" t="inlineStr"/>
      <c r="G57" s="4" t="inlineStr"/>
    </row>
    <row r="58">
      <c r="A58" s="4" t="inlineStr">
        <is>
          <t>3.7.8-P7</t>
        </is>
      </c>
      <c r="B58" s="4" t="inlineStr">
        <is>
          <t>3.7.8</t>
        </is>
      </c>
      <c r="C58" s="4" t="inlineStr">
        <is>
          <t>frcs</t>
        </is>
      </c>
      <c r="D58" s="4" t="inlineStr">
        <is>
          <t>Treat restored translation as the threshold rather than the goal.</t>
        </is>
      </c>
      <c r="E58" s="4" t="inlineStr"/>
      <c r="F58" s="4" t="inlineStr"/>
      <c r="G58" s="4" t="inlineStr"/>
    </row>
    <row r="59">
      <c r="A59" s="4" t="inlineStr">
        <is>
          <t>3.7.8-P8</t>
        </is>
      </c>
      <c r="B59" s="4" t="inlineStr">
        <is>
          <t>3.7.8</t>
        </is>
      </c>
      <c r="C59" s="4" t="inlineStr">
        <is>
          <t>frcs</t>
        </is>
      </c>
      <c r="D59" s="4" t="inlineStr">
        <is>
          <t>Measure serially where progressive laxity is suspected, rather than once.</t>
        </is>
      </c>
      <c r="E59" s="4" t="inlineStr"/>
      <c r="F59" s="4" t="inlineStr"/>
      <c r="G59" s="4" t="inlineStr"/>
    </row>
    <row r="60">
      <c r="A60" s="4" t="inlineStr">
        <is>
          <t>3.7.8-P9</t>
        </is>
      </c>
      <c r="B60" s="4" t="inlineStr">
        <is>
          <t>3.7.8</t>
        </is>
      </c>
      <c r="C60" s="4" t="inlineStr">
        <is>
          <t>frcs</t>
        </is>
      </c>
      <c r="D60" s="4" t="inlineStr">
        <is>
          <t>Counsel using the weak correlation between laxity and outcome rather than against it.</t>
        </is>
      </c>
      <c r="E60" s="4" t="inlineStr"/>
      <c r="F60" s="4" t="inlineStr"/>
      <c r="G60" s="4" t="inlineStr"/>
    </row>
    <row r="61">
      <c r="A61" s="4" t="inlineStr">
        <is>
          <t>3.7.9-P1</t>
        </is>
      </c>
      <c r="B61" s="4" t="inlineStr">
        <is>
          <t>3.7.9</t>
        </is>
      </c>
      <c r="C61" s="4" t="inlineStr">
        <is>
          <t>mrcs</t>
        </is>
      </c>
      <c r="D61" s="4" t="inlineStr">
        <is>
          <t>Grade under anaesthetic where the grade will change the operation.</t>
        </is>
      </c>
      <c r="E61" s="4" t="inlineStr"/>
      <c r="F61" s="4" t="inlineStr"/>
      <c r="G61" s="4" t="inlineStr"/>
    </row>
    <row r="62">
      <c r="A62" s="4" t="inlineStr">
        <is>
          <t>3.7.9-P2</t>
        </is>
      </c>
      <c r="B62" s="4" t="inlineStr">
        <is>
          <t>3.7.9</t>
        </is>
      </c>
      <c r="C62" s="4" t="inlineStr">
        <is>
          <t>mrcs</t>
        </is>
      </c>
      <c r="D62" s="4" t="inlineStr">
        <is>
          <t>Read a high grade as suggesting injury beyond the cruciate alone.</t>
        </is>
      </c>
      <c r="E62" s="4" t="inlineStr"/>
      <c r="F62" s="4" t="inlineStr"/>
      <c r="G62" s="4" t="inlineStr"/>
    </row>
    <row r="63">
      <c r="A63" s="4" t="inlineStr">
        <is>
          <t>3.7.9-P3</t>
        </is>
      </c>
      <c r="B63" s="4" t="inlineStr">
        <is>
          <t>3.7.9</t>
        </is>
      </c>
      <c r="C63" s="4" t="inlineStr">
        <is>
          <t>mrcs</t>
        </is>
      </c>
      <c r="D63" s="4" t="inlineStr">
        <is>
          <t>Treat instrumented measures as research tools without a clinical threshold.</t>
        </is>
      </c>
      <c r="E63" s="4" t="inlineStr"/>
      <c r="F63" s="4" t="inlineStr"/>
      <c r="G63" s="4" t="inlineStr"/>
    </row>
    <row r="64">
      <c r="A64" s="4" t="inlineStr">
        <is>
          <t>3.7.9-P4</t>
        </is>
      </c>
      <c r="B64" s="4" t="inlineStr">
        <is>
          <t>3.7.9</t>
        </is>
      </c>
      <c r="C64" s="4" t="inlineStr">
        <is>
          <t>frcs</t>
        </is>
      </c>
      <c r="D64" s="4" t="inlineStr">
        <is>
          <t>Treat the pivot shift as the clinical sign that corresponds to what the patient reports, and treat its measurement as the weakest link in the whole chapter.</t>
        </is>
      </c>
      <c r="E64" s="4" t="inlineStr"/>
      <c r="F64" s="4" t="inlineStr"/>
      <c r="G64" s="4" t="inlineStr"/>
    </row>
    <row r="65">
      <c r="A65" s="4" t="inlineStr">
        <is>
          <t>3.7.9-P5</t>
        </is>
      </c>
      <c r="B65" s="4" t="inlineStr">
        <is>
          <t>3.7.9</t>
        </is>
      </c>
      <c r="C65" s="4" t="inlineStr">
        <is>
          <t>frcs</t>
        </is>
      </c>
      <c r="D65" s="4" t="inlineStr">
        <is>
          <t>Check the pivot shift under anaesthetic after fixation, before leaving theatre.</t>
        </is>
      </c>
      <c r="E65" s="4" t="inlineStr"/>
      <c r="F65" s="4" t="inlineStr"/>
      <c r="G65" s="4" t="inlineStr"/>
    </row>
    <row r="66">
      <c r="A66" s="4" t="inlineStr">
        <is>
          <t>3.7.9-P6</t>
        </is>
      </c>
      <c r="B66" s="4" t="inlineStr">
        <is>
          <t>3.7.9</t>
        </is>
      </c>
      <c r="C66" s="4" t="inlineStr">
        <is>
          <t>frcs</t>
        </is>
      </c>
      <c r="D66" s="4" t="inlineStr">
        <is>
          <t>Add a lateral procedure where a residual shift is anticipated or demonstrated.</t>
        </is>
      </c>
      <c r="E66" s="4" t="inlineStr"/>
      <c r="F66" s="4" t="inlineStr"/>
      <c r="G66" s="4" t="inlineStr"/>
    </row>
    <row r="67">
      <c r="A67" s="4" t="inlineStr">
        <is>
          <t>3.7.9-P7</t>
        </is>
      </c>
      <c r="B67" s="4" t="inlineStr">
        <is>
          <t>3.7.9</t>
        </is>
      </c>
      <c r="C67" s="4" t="inlineStr">
        <is>
          <t>frcs</t>
        </is>
      </c>
      <c r="D67" s="4" t="inlineStr">
        <is>
          <t>Address slope and lateral meniscal pathology as part of abolishing the sign.</t>
        </is>
      </c>
      <c r="E67" s="4" t="inlineStr"/>
      <c r="F67" s="4" t="inlineStr"/>
      <c r="G67" s="4" t="inlineStr"/>
    </row>
    <row r="68">
      <c r="A68" s="4" t="inlineStr">
        <is>
          <t>3.7.9-P8</t>
        </is>
      </c>
      <c r="B68" s="4" t="inlineStr">
        <is>
          <t>3.7.9</t>
        </is>
      </c>
      <c r="C68" s="4" t="inlineStr">
        <is>
          <t>frcs</t>
        </is>
      </c>
      <c r="D68" s="4" t="inlineStr">
        <is>
          <t>State the sign's reliability limits when it is used to compare treatments.</t>
        </is>
      </c>
      <c r="E68" s="4" t="inlineStr"/>
      <c r="F68" s="4" t="inlineStr"/>
      <c r="G68" s="4" t="inlineStr"/>
    </row>
    <row r="69">
      <c r="A69" s="4" t="inlineStr">
        <is>
          <t>3.7.10-P1</t>
        </is>
      </c>
      <c r="B69" s="4" t="inlineStr">
        <is>
          <t>3.7.10</t>
        </is>
      </c>
      <c r="C69" s="4" t="inlineStr">
        <is>
          <t>mrcs</t>
        </is>
      </c>
      <c r="D69" s="4" t="inlineStr">
        <is>
          <t>Stage rehabilitation by flexion angle, since strain is angle dependent.</t>
        </is>
      </c>
      <c r="E69" s="4" t="inlineStr"/>
      <c r="F69" s="4" t="inlineStr"/>
      <c r="G69" s="4" t="inlineStr"/>
    </row>
    <row r="70">
      <c r="A70" s="4" t="inlineStr">
        <is>
          <t>3.7.10-P2</t>
        </is>
      </c>
      <c r="B70" s="4" t="inlineStr">
        <is>
          <t>3.7.10</t>
        </is>
      </c>
      <c r="C70" s="4" t="inlineStr">
        <is>
          <t>frcs</t>
        </is>
      </c>
      <c r="D70" s="4" t="inlineStr">
        <is>
          <t>Treat the strain data as the mechanical basis of rehabilitation protocols, and treat the protocols as having outrun the data.</t>
        </is>
      </c>
      <c r="E70" s="4" t="inlineStr"/>
      <c r="F70" s="4" t="inlineStr"/>
      <c r="G70" s="4" t="inlineStr"/>
    </row>
    <row r="71">
      <c r="A71" s="4" t="inlineStr">
        <is>
          <t>3.7.10-P3</t>
        </is>
      </c>
      <c r="B71" s="4" t="inlineStr">
        <is>
          <t>3.7.10</t>
        </is>
      </c>
      <c r="C71" s="4" t="inlineStr">
        <is>
          <t>frcs</t>
        </is>
      </c>
      <c r="D71" s="4" t="inlineStr">
        <is>
          <t>Protect the graft in the first months by angle and by loading mode.</t>
        </is>
      </c>
      <c r="E71" s="4" t="inlineStr"/>
      <c r="F71" s="4" t="inlineStr"/>
      <c r="G71" s="4" t="inlineStr"/>
    </row>
    <row r="72">
      <c r="A72" s="4" t="inlineStr">
        <is>
          <t>3.7.10-P4</t>
        </is>
      </c>
      <c r="B72" s="4" t="inlineStr">
        <is>
          <t>3.7.10</t>
        </is>
      </c>
      <c r="C72" s="4" t="inlineStr">
        <is>
          <t>frcs</t>
        </is>
      </c>
      <c r="D72" s="4" t="inlineStr">
        <is>
          <t>Follow outcome based protocols rather than strain based ones where they differ.</t>
        </is>
      </c>
      <c r="E72" s="4" t="inlineStr"/>
      <c r="F72" s="4" t="inlineStr"/>
      <c r="G72" s="4" t="inlineStr"/>
    </row>
    <row r="73">
      <c r="A73" s="4" t="inlineStr">
        <is>
          <t>3.7.10-P5</t>
        </is>
      </c>
      <c r="B73" s="4" t="inlineStr">
        <is>
          <t>3.7.10</t>
        </is>
      </c>
      <c r="C73" s="4" t="inlineStr">
        <is>
          <t>frcs</t>
        </is>
      </c>
      <c r="D73" s="4" t="inlineStr">
        <is>
          <t>State that graft strain in a patient is not measured when discussing protocol choices.</t>
        </is>
      </c>
      <c r="E73" s="4" t="inlineStr"/>
      <c r="F73" s="4" t="inlineStr"/>
      <c r="G73" s="4" t="inlineStr"/>
    </row>
    <row r="74">
      <c r="A74" s="4" t="inlineStr">
        <is>
          <t>3.7.11-P1</t>
        </is>
      </c>
      <c r="B74" s="4" t="inlineStr">
        <is>
          <t>3.7.11</t>
        </is>
      </c>
      <c r="C74" s="4" t="inlineStr">
        <is>
          <t>mrcs</t>
        </is>
      </c>
      <c r="D74" s="4" t="inlineStr">
        <is>
          <t>Compare activities by peak strain and by direction rather than by force.</t>
        </is>
      </c>
      <c r="E74" s="4" t="inlineStr"/>
      <c r="F74" s="4" t="inlineStr"/>
      <c r="G74" s="4" t="inlineStr"/>
    </row>
    <row r="75">
      <c r="A75" s="4" t="inlineStr">
        <is>
          <t>3.7.11-P2</t>
        </is>
      </c>
      <c r="B75" s="4" t="inlineStr">
        <is>
          <t>3.7.11</t>
        </is>
      </c>
      <c r="C75" s="4" t="inlineStr">
        <is>
          <t>mrcs</t>
        </is>
      </c>
      <c r="D75" s="4" t="inlineStr">
        <is>
          <t>Expect downhill running to load the ligament more than level running.</t>
        </is>
      </c>
      <c r="E75" s="4" t="inlineStr"/>
      <c r="F75" s="4" t="inlineStr"/>
      <c r="G75" s="4" t="inlineStr"/>
    </row>
    <row r="76">
      <c r="A76" s="4" t="inlineStr">
        <is>
          <t>3.7.11-P3</t>
        </is>
      </c>
      <c r="B76" s="4" t="inlineStr">
        <is>
          <t>3.7.11</t>
        </is>
      </c>
      <c r="C76" s="4" t="inlineStr">
        <is>
          <t>mrcs</t>
        </is>
      </c>
      <c r="D76" s="4" t="inlineStr">
        <is>
          <t>Treat fatigue as a loading variable rather than only a performance one.</t>
        </is>
      </c>
      <c r="E76" s="4" t="inlineStr"/>
      <c r="F76" s="4" t="inlineStr"/>
      <c r="G76" s="4" t="inlineStr"/>
    </row>
    <row r="77">
      <c r="A77" s="4" t="inlineStr">
        <is>
          <t>3.7.11-P4</t>
        </is>
      </c>
      <c r="B77" s="4" t="inlineStr">
        <is>
          <t>3.7.11</t>
        </is>
      </c>
      <c r="C77" s="4" t="inlineStr">
        <is>
          <t>mrcs</t>
        </is>
      </c>
      <c r="D77" s="4" t="inlineStr">
        <is>
          <t>Read running loading estimates as modelled rather than measured.</t>
        </is>
      </c>
      <c r="E77" s="4" t="inlineStr"/>
      <c r="F77" s="4" t="inlineStr"/>
      <c r="G77" s="4" t="inlineStr"/>
    </row>
    <row r="78">
      <c r="A78" s="4" t="inlineStr">
        <is>
          <t>3.7.11-P5</t>
        </is>
      </c>
      <c r="B78" s="4" t="inlineStr">
        <is>
          <t>3.7.11</t>
        </is>
      </c>
      <c r="C78" s="4" t="inlineStr">
        <is>
          <t>mrcs</t>
        </is>
      </c>
      <c r="D78" s="4" t="inlineStr">
        <is>
          <t>Compare activities by peak strain, not peak force.</t>
        </is>
      </c>
      <c r="E78" s="4" t="inlineStr"/>
      <c r="F78" s="4" t="inlineStr"/>
      <c r="G78" s="4" t="inlineStr"/>
    </row>
    <row r="79">
      <c r="A79" s="4" t="inlineStr">
        <is>
          <t>3.7.11-P6</t>
        </is>
      </c>
      <c r="B79" s="4" t="inlineStr">
        <is>
          <t>3.7.11</t>
        </is>
      </c>
      <c r="C79" s="4" t="inlineStr">
        <is>
          <t>frcs</t>
        </is>
      </c>
      <c r="D79" s="4" t="inlineStr">
        <is>
          <t>Treat running as the benchmark the other activities are read against, and as the milestone whose safety is mechanically defensible rather than conventional.</t>
        </is>
      </c>
      <c r="E79" s="4" t="inlineStr"/>
      <c r="F79" s="4" t="inlineStr"/>
      <c r="G79" s="4" t="inlineStr"/>
    </row>
    <row r="80">
      <c r="A80" s="4" t="inlineStr">
        <is>
          <t>3.7.11-P7</t>
        </is>
      </c>
      <c r="B80" s="4" t="inlineStr">
        <is>
          <t>3.7.11</t>
        </is>
      </c>
      <c r="C80" s="4" t="inlineStr">
        <is>
          <t>frcs</t>
        </is>
      </c>
      <c r="D80" s="4" t="inlineStr">
        <is>
          <t>Stage return to running by criteria rather than by interval.</t>
        </is>
      </c>
      <c r="E80" s="4" t="inlineStr"/>
      <c r="F80" s="4" t="inlineStr"/>
      <c r="G80" s="4" t="inlineStr"/>
    </row>
    <row r="81">
      <c r="A81" s="4" t="inlineStr">
        <is>
          <t>3.7.11-P8</t>
        </is>
      </c>
      <c r="B81" s="4" t="inlineStr">
        <is>
          <t>3.7.11</t>
        </is>
      </c>
      <c r="C81" s="4" t="inlineStr">
        <is>
          <t>frcs</t>
        </is>
      </c>
      <c r="D81" s="4" t="inlineStr">
        <is>
          <t>Delay for a concurrent meniscal repair on its own grounds rather than the graft's.</t>
        </is>
      </c>
      <c r="E81" s="4" t="inlineStr"/>
      <c r="F81" s="4" t="inlineStr"/>
      <c r="G81" s="4" t="inlineStr"/>
    </row>
    <row r="82">
      <c r="A82" s="4" t="inlineStr">
        <is>
          <t>3.7.11-P9</t>
        </is>
      </c>
      <c r="B82" s="4" t="inlineStr">
        <is>
          <t>3.7.11</t>
        </is>
      </c>
      <c r="C82" s="4" t="inlineStr">
        <is>
          <t>frcs</t>
        </is>
      </c>
      <c r="D82" s="4" t="inlineStr">
        <is>
          <t>Treat gradient and surface as part of the prescription.</t>
        </is>
      </c>
      <c r="E82" s="4" t="inlineStr"/>
      <c r="F82" s="4" t="inlineStr"/>
      <c r="G82" s="4" t="inlineStr"/>
    </row>
    <row r="83">
      <c r="A83" s="4" t="inlineStr">
        <is>
          <t>3.7.11-P10</t>
        </is>
      </c>
      <c r="B83" s="4" t="inlineStr">
        <is>
          <t>3.7.11</t>
        </is>
      </c>
      <c r="C83" s="4" t="inlineStr">
        <is>
          <t>frcs</t>
        </is>
      </c>
      <c r="D83" s="4" t="inlineStr">
        <is>
          <t>State that graft load during running is not measured in patients.</t>
        </is>
      </c>
      <c r="E83" s="4" t="inlineStr"/>
      <c r="F83" s="4" t="inlineStr"/>
      <c r="G83" s="4" t="inlineStr"/>
    </row>
    <row r="84">
      <c r="A84" s="4" t="inlineStr">
        <is>
          <t>3.7.12-P1</t>
        </is>
      </c>
      <c r="B84" s="4" t="inlineStr">
        <is>
          <t>3.7.12</t>
        </is>
      </c>
      <c r="C84" s="4" t="inlineStr">
        <is>
          <t>mrcs</t>
        </is>
      </c>
      <c r="D84" s="4" t="inlineStr">
        <is>
          <t>Address hip and trunk control, which set the position the knee lands in.</t>
        </is>
      </c>
      <c r="E84" s="4" t="inlineStr"/>
      <c r="F84" s="4" t="inlineStr"/>
      <c r="G84" s="4" t="inlineStr"/>
    </row>
    <row r="85">
      <c r="A85" s="4" t="inlineStr">
        <is>
          <t>3.7.12-P2</t>
        </is>
      </c>
      <c r="B85" s="4" t="inlineStr">
        <is>
          <t>3.7.12</t>
        </is>
      </c>
      <c r="C85" s="4" t="inlineStr">
        <is>
          <t>mrcs</t>
        </is>
      </c>
      <c r="D85" s="4" t="inlineStr">
        <is>
          <t>Read landing ligament loading as modelled rather than measured.</t>
        </is>
      </c>
      <c r="E85" s="4" t="inlineStr"/>
      <c r="F85" s="4" t="inlineStr"/>
      <c r="G85" s="4" t="inlineStr"/>
    </row>
    <row r="86">
      <c r="A86" s="4" t="inlineStr">
        <is>
          <t>3.7.12-P3</t>
        </is>
      </c>
      <c r="B86" s="4" t="inlineStr">
        <is>
          <t>3.7.12</t>
        </is>
      </c>
      <c r="C86" s="4" t="inlineStr">
        <is>
          <t>frcs</t>
        </is>
      </c>
      <c r="D86" s="4" t="inlineStr">
        <is>
          <t>Treat landing mechanics as modifiable risk with modest predictive value for an individual, which is the honest position the prevention literature supports.</t>
        </is>
      </c>
      <c r="E86" s="4" t="inlineStr"/>
      <c r="F86" s="4" t="inlineStr"/>
      <c r="G86" s="4" t="inlineStr"/>
    </row>
    <row r="87">
      <c r="A87" s="4" t="inlineStr">
        <is>
          <t>3.7.12-P4</t>
        </is>
      </c>
      <c r="B87" s="4" t="inlineStr">
        <is>
          <t>3.7.12</t>
        </is>
      </c>
      <c r="C87" s="4" t="inlineStr">
        <is>
          <t>frcs</t>
        </is>
      </c>
      <c r="D87" s="4" t="inlineStr">
        <is>
          <t>Expect landing asymmetry to persist after reconstruction with normal laxity.</t>
        </is>
      </c>
      <c r="E87" s="4" t="inlineStr"/>
      <c r="F87" s="4" t="inlineStr"/>
      <c r="G87" s="4" t="inlineStr"/>
    </row>
    <row r="88">
      <c r="A88" s="4" t="inlineStr">
        <is>
          <t>3.7.12-P5</t>
        </is>
      </c>
      <c r="B88" s="4" t="inlineStr">
        <is>
          <t>3.7.12</t>
        </is>
      </c>
      <c r="C88" s="4" t="inlineStr">
        <is>
          <t>frcs</t>
        </is>
      </c>
      <c r="D88" s="4" t="inlineStr">
        <is>
          <t>Measure slope where loading risk seems disproportionate to the injury.</t>
        </is>
      </c>
      <c r="E88" s="4" t="inlineStr"/>
      <c r="F88" s="4" t="inlineStr"/>
      <c r="G88" s="4" t="inlineStr"/>
    </row>
    <row r="89">
      <c r="A89" s="4" t="inlineStr">
        <is>
          <t>3.7.12-P6</t>
        </is>
      </c>
      <c r="B89" s="4" t="inlineStr">
        <is>
          <t>3.7.12</t>
        </is>
      </c>
      <c r="C89" s="4" t="inlineStr">
        <is>
          <t>frcs</t>
        </is>
      </c>
      <c r="D89" s="4" t="inlineStr">
        <is>
          <t>Keep population risk reduction and individual prediction apart when counselling.</t>
        </is>
      </c>
      <c r="E89" s="4" t="inlineStr"/>
      <c r="F89" s="4" t="inlineStr"/>
      <c r="G89" s="4" t="inlineStr"/>
    </row>
    <row r="90">
      <c r="A90" s="4" t="inlineStr">
        <is>
          <t>3.7.13-P1</t>
        </is>
      </c>
      <c r="B90" s="4" t="inlineStr">
        <is>
          <t>3.7.13</t>
        </is>
      </c>
      <c r="C90" s="4" t="inlineStr">
        <is>
          <t>mrcs</t>
        </is>
      </c>
      <c r="D90" s="4" t="inlineStr">
        <is>
          <t>Expect combined loading to reduce the failure load in each direction.</t>
        </is>
      </c>
      <c r="E90" s="4" t="inlineStr"/>
      <c r="F90" s="4" t="inlineStr"/>
      <c r="G90" s="4" t="inlineStr"/>
    </row>
    <row r="91">
      <c r="A91" s="4" t="inlineStr">
        <is>
          <t>3.7.13-P2</t>
        </is>
      </c>
      <c r="B91" s="4" t="inlineStr">
        <is>
          <t>3.7.13</t>
        </is>
      </c>
      <c r="C91" s="4" t="inlineStr">
        <is>
          <t>frcs</t>
        </is>
      </c>
      <c r="D91" s="4" t="inlineStr">
        <is>
          <t>Treat cutting as the activity that defines the reconstruction's job.</t>
        </is>
      </c>
      <c r="E91" s="4" t="inlineStr"/>
      <c r="F91" s="4" t="inlineStr"/>
      <c r="G91" s="4" t="inlineStr"/>
    </row>
    <row r="92">
      <c r="A92" s="4" t="inlineStr">
        <is>
          <t>3.7.13-P3</t>
        </is>
      </c>
      <c r="B92" s="4" t="inlineStr">
        <is>
          <t>3.7.13</t>
        </is>
      </c>
      <c r="C92" s="4" t="inlineStr">
        <is>
          <t>frcs</t>
        </is>
      </c>
      <c r="D92" s="4" t="inlineStr">
        <is>
          <t>Consider lateral augmentation in a pivoting athlete, on this activity's mechanics.</t>
        </is>
      </c>
      <c r="E92" s="4" t="inlineStr"/>
      <c r="F92" s="4" t="inlineStr"/>
      <c r="G92" s="4" t="inlineStr"/>
    </row>
    <row r="93">
      <c r="A93" s="4" t="inlineStr">
        <is>
          <t>3.7.13-P4</t>
        </is>
      </c>
      <c r="B93" s="4" t="inlineStr">
        <is>
          <t>3.7.13</t>
        </is>
      </c>
      <c r="C93" s="4" t="inlineStr">
        <is>
          <t>frcs</t>
        </is>
      </c>
      <c r="D93" s="4" t="inlineStr">
        <is>
          <t>Measure slope before revising a graft that failed without a new injury.</t>
        </is>
      </c>
      <c r="E93" s="4" t="inlineStr"/>
      <c r="F93" s="4" t="inlineStr"/>
      <c r="G93" s="4" t="inlineStr"/>
    </row>
    <row r="94">
      <c r="A94" s="4" t="inlineStr">
        <is>
          <t>3.7.13-P5</t>
        </is>
      </c>
      <c r="B94" s="4" t="inlineStr">
        <is>
          <t>3.7.13</t>
        </is>
      </c>
      <c r="C94" s="4" t="inlineStr">
        <is>
          <t>frcs</t>
        </is>
      </c>
      <c r="D94" s="4" t="inlineStr">
        <is>
          <t>Repair the lateral posterior horn where torn.</t>
        </is>
      </c>
      <c r="E94" s="4" t="inlineStr"/>
      <c r="F94" s="4" t="inlineStr"/>
      <c r="G94" s="4" t="inlineStr"/>
    </row>
    <row r="95">
      <c r="A95" s="4" t="inlineStr">
        <is>
          <t>3.7.13-P6</t>
        </is>
      </c>
      <c r="B95" s="4" t="inlineStr">
        <is>
          <t>3.7.13</t>
        </is>
      </c>
      <c r="C95" s="4" t="inlineStr">
        <is>
          <t>frcs</t>
        </is>
      </c>
      <c r="D95" s="4" t="inlineStr">
        <is>
          <t>State that no assessment reproduces an unanticipated cut when discussing return to sport.</t>
        </is>
      </c>
      <c r="E95" s="4" t="inlineStr"/>
      <c r="F95" s="4" t="inlineStr"/>
      <c r="G95" s="4" t="inlineStr"/>
    </row>
    <row r="96">
      <c r="A96" s="4" t="inlineStr">
        <is>
          <t>3.7.14-P1</t>
        </is>
      </c>
      <c r="B96" s="4" t="inlineStr">
        <is>
          <t>3.7.14</t>
        </is>
      </c>
      <c r="C96" s="4" t="inlineStr">
        <is>
          <t>mrcs</t>
        </is>
      </c>
      <c r="D96" s="4" t="inlineStr">
        <is>
          <t>Take the mechanism from the history, since it is usually diagnostic.</t>
        </is>
      </c>
      <c r="E96" s="4" t="inlineStr"/>
      <c r="F96" s="4" t="inlineStr"/>
      <c r="G96" s="4" t="inlineStr"/>
    </row>
    <row r="97">
      <c r="A97" s="4" t="inlineStr">
        <is>
          <t>3.7.14-P2</t>
        </is>
      </c>
      <c r="B97" s="4" t="inlineStr">
        <is>
          <t>3.7.14</t>
        </is>
      </c>
      <c r="C97" s="4" t="inlineStr">
        <is>
          <t>mrcs</t>
        </is>
      </c>
      <c r="D97" s="4" t="inlineStr">
        <is>
          <t>Expect the associated injuries the mechanism predicts and look for them.</t>
        </is>
      </c>
      <c r="E97" s="4" t="inlineStr"/>
      <c r="F97" s="4" t="inlineStr"/>
      <c r="G97" s="4" t="inlineStr"/>
    </row>
    <row r="98">
      <c r="A98" s="4" t="inlineStr">
        <is>
          <t>3.7.14-P3</t>
        </is>
      </c>
      <c r="B98" s="4" t="inlineStr">
        <is>
          <t>3.7.14</t>
        </is>
      </c>
      <c r="C98" s="4" t="inlineStr">
        <is>
          <t>mrcs</t>
        </is>
      </c>
      <c r="D98" s="4" t="inlineStr">
        <is>
          <t>Read bone bruise patterns as evidence about the position at injury.</t>
        </is>
      </c>
      <c r="E98" s="4" t="inlineStr"/>
      <c r="F98" s="4" t="inlineStr"/>
      <c r="G98" s="4" t="inlineStr"/>
    </row>
    <row r="99">
      <c r="A99" s="4" t="inlineStr">
        <is>
          <t>3.7.14-P4</t>
        </is>
      </c>
      <c r="B99" s="4" t="inlineStr">
        <is>
          <t>3.7.14</t>
        </is>
      </c>
      <c r="C99" s="4" t="inlineStr">
        <is>
          <t>mrcs</t>
        </is>
      </c>
      <c r="D99" s="4" t="inlineStr">
        <is>
          <t>Treat screening as measuring risk factors rather than establishing mechanism.</t>
        </is>
      </c>
      <c r="E99" s="4" t="inlineStr"/>
      <c r="F99" s="4" t="inlineStr"/>
      <c r="G99" s="4" t="inlineStr"/>
    </row>
    <row r="100">
      <c r="A100" s="4" t="inlineStr">
        <is>
          <t>3.7.14-P5</t>
        </is>
      </c>
      <c r="B100" s="4" t="inlineStr">
        <is>
          <t>3.7.14</t>
        </is>
      </c>
      <c r="C100" s="4" t="inlineStr">
        <is>
          <t>frcs</t>
        </is>
      </c>
      <c r="D100" s="4" t="inlineStr">
        <is>
          <t>Treat the mechanism as settled in outline and unsettled in detail.</t>
        </is>
      </c>
      <c r="E100" s="4" t="inlineStr"/>
      <c r="F100" s="4" t="inlineStr"/>
      <c r="G100" s="4" t="inlineStr"/>
    </row>
    <row r="101">
      <c r="A101" s="4" t="inlineStr">
        <is>
          <t>3.7.14-P6</t>
        </is>
      </c>
      <c r="B101" s="4" t="inlineStr">
        <is>
          <t>3.7.14</t>
        </is>
      </c>
      <c r="C101" s="4" t="inlineStr">
        <is>
          <t>frcs</t>
        </is>
      </c>
      <c r="D101" s="4" t="inlineStr">
        <is>
          <t>Measure slope in a young pivoting athlete, particularly before revision.</t>
        </is>
      </c>
      <c r="E101" s="4" t="inlineStr"/>
      <c r="F101" s="4" t="inlineStr"/>
      <c r="G101" s="4" t="inlineStr"/>
    </row>
    <row r="102">
      <c r="A102" s="4" t="inlineStr">
        <is>
          <t>3.7.14-P7</t>
        </is>
      </c>
      <c r="B102" s="4" t="inlineStr">
        <is>
          <t>3.7.14</t>
        </is>
      </c>
      <c r="C102" s="4" t="inlineStr">
        <is>
          <t>frcs</t>
        </is>
      </c>
      <c r="D102" s="4" t="inlineStr">
        <is>
          <t>Treat previous injury as the strongest risk factor when counselling.</t>
        </is>
      </c>
      <c r="E102" s="4" t="inlineStr"/>
      <c r="F102" s="4" t="inlineStr"/>
      <c r="G102" s="4" t="inlineStr"/>
    </row>
    <row r="103">
      <c r="A103" s="4" t="inlineStr">
        <is>
          <t>3.7.14-P8</t>
        </is>
      </c>
      <c r="B103" s="4" t="inlineStr">
        <is>
          <t>3.7.14</t>
        </is>
      </c>
      <c r="C103" s="4" t="inlineStr">
        <is>
          <t>frcs</t>
        </is>
      </c>
      <c r="D103" s="4" t="inlineStr">
        <is>
          <t>State that no measurement predicts an individual injury.</t>
        </is>
      </c>
      <c r="E103" s="4" t="inlineStr"/>
      <c r="F103" s="4" t="inlineStr"/>
      <c r="G103" s="4" t="inlineStr"/>
    </row>
    <row r="104">
      <c r="A104" s="4" t="inlineStr">
        <is>
          <t>3.7.15-P1</t>
        </is>
      </c>
      <c r="B104" s="4" t="inlineStr">
        <is>
          <t>3.7.15</t>
        </is>
      </c>
      <c r="C104" s="4" t="inlineStr">
        <is>
          <t>mrcs</t>
        </is>
      </c>
      <c r="D104" s="4" t="inlineStr">
        <is>
          <t>Treat the hormonal evidence as inconsistent rather than established.</t>
        </is>
      </c>
      <c r="E104" s="4" t="inlineStr"/>
      <c r="F104" s="4" t="inlineStr"/>
      <c r="G104" s="4" t="inlineStr"/>
    </row>
    <row r="105">
      <c r="A105" s="4" t="inlineStr">
        <is>
          <t>3.7.15-P2</t>
        </is>
      </c>
      <c r="B105" s="4" t="inlineStr">
        <is>
          <t>3.7.15</t>
        </is>
      </c>
      <c r="C105" s="4" t="inlineStr">
        <is>
          <t>frcs</t>
        </is>
      </c>
      <c r="D105" s="4" t="inlineStr">
        <is>
          <t>Treat the rate difference as established and the mechanism as partly explained, and treat that as the basis for prevention rather than for prognosis.</t>
        </is>
      </c>
      <c r="E105" s="4" t="inlineStr"/>
      <c r="F105" s="4" t="inlineStr"/>
      <c r="G105" s="4" t="inlineStr"/>
    </row>
    <row r="106">
      <c r="A106" s="4" t="inlineStr">
        <is>
          <t>3.7.15-P3</t>
        </is>
      </c>
      <c r="B106" s="4" t="inlineStr">
        <is>
          <t>3.7.15</t>
        </is>
      </c>
      <c r="C106" s="4" t="inlineStr">
        <is>
          <t>frcs</t>
        </is>
      </c>
      <c r="D106" s="4" t="inlineStr">
        <is>
          <t>Consider lateral augmentation in a young female pivoting athlete, on registry reinjury data.</t>
        </is>
      </c>
      <c r="E106" s="4" t="inlineStr"/>
      <c r="F106" s="4" t="inlineStr"/>
      <c r="G106" s="4" t="inlineStr"/>
    </row>
    <row r="107">
      <c r="A107" s="4" t="inlineStr">
        <is>
          <t>3.7.15-P4</t>
        </is>
      </c>
      <c r="B107" s="4" t="inlineStr">
        <is>
          <t>3.7.15</t>
        </is>
      </c>
      <c r="C107" s="4" t="inlineStr">
        <is>
          <t>frcs</t>
        </is>
      </c>
      <c r="D107" s="4" t="inlineStr">
        <is>
          <t>Measure slope where a graft failed without a new injury.</t>
        </is>
      </c>
      <c r="E107" s="4" t="inlineStr"/>
      <c r="F107" s="4" t="inlineStr"/>
      <c r="G107" s="4" t="inlineStr"/>
    </row>
    <row r="108">
      <c r="A108" s="4" t="inlineStr">
        <is>
          <t>3.7.15-P5</t>
        </is>
      </c>
      <c r="B108" s="4" t="inlineStr">
        <is>
          <t>3.7.15</t>
        </is>
      </c>
      <c r="C108" s="4" t="inlineStr">
        <is>
          <t>frcs</t>
        </is>
      </c>
      <c r="D108" s="4" t="inlineStr">
        <is>
          <t>Counsel on contralateral injury risk as well as graft failure.</t>
        </is>
      </c>
      <c r="E108" s="4" t="inlineStr"/>
      <c r="F108" s="4" t="inlineStr"/>
      <c r="G108" s="4" t="inlineStr"/>
    </row>
    <row r="109">
      <c r="A109" s="4" t="inlineStr">
        <is>
          <t>3.7.16-P1</t>
        </is>
      </c>
      <c r="B109" s="4" t="inlineStr">
        <is>
          <t>3.7.16</t>
        </is>
      </c>
      <c r="C109" s="4" t="inlineStr">
        <is>
          <t>mrcs</t>
        </is>
      </c>
      <c r="D109" s="4" t="inlineStr">
        <is>
          <t>Expect fixation to be the limiting factor early and the graft later.</t>
        </is>
      </c>
      <c r="E109" s="4" t="inlineStr"/>
      <c r="F109" s="4" t="inlineStr"/>
      <c r="G109" s="4" t="inlineStr"/>
    </row>
    <row r="110">
      <c r="A110" s="4" t="inlineStr">
        <is>
          <t>3.7.16-P2</t>
        </is>
      </c>
      <c r="B110" s="4" t="inlineStr">
        <is>
          <t>3.7.16</t>
        </is>
      </c>
      <c r="C110" s="4" t="inlineStr">
        <is>
          <t>mrcs</t>
        </is>
      </c>
      <c r="D110" s="4" t="inlineStr">
        <is>
          <t>Read time zero testing as describing the day of surgery only.</t>
        </is>
      </c>
      <c r="E110" s="4" t="inlineStr"/>
      <c r="F110" s="4" t="inlineStr"/>
      <c r="G110" s="4" t="inlineStr"/>
    </row>
    <row r="111">
      <c r="A111" s="4" t="inlineStr">
        <is>
          <t>3.7.16-P3</t>
        </is>
      </c>
      <c r="B111" s="4" t="inlineStr">
        <is>
          <t>3.7.16</t>
        </is>
      </c>
      <c r="C111" s="4" t="inlineStr">
        <is>
          <t>frcs</t>
        </is>
      </c>
      <c r="D111" s="4" t="inlineStr">
        <is>
          <t>Treat graft choice as a trade rather than a ranking.</t>
        </is>
      </c>
      <c r="E111" s="4" t="inlineStr"/>
      <c r="F111" s="4" t="inlineStr"/>
      <c r="G111" s="4" t="inlineStr"/>
    </row>
    <row r="112">
      <c r="A112" s="4" t="inlineStr">
        <is>
          <t>3.7.16-P4</t>
        </is>
      </c>
      <c r="B112" s="4" t="inlineStr">
        <is>
          <t>3.7.16</t>
        </is>
      </c>
      <c r="C112" s="4" t="inlineStr">
        <is>
          <t>frcs</t>
        </is>
      </c>
      <c r="D112" s="4" t="inlineStr">
        <is>
          <t>Avoid allograft in young active patients, on registry failure data.</t>
        </is>
      </c>
      <c r="E112" s="4" t="inlineStr"/>
      <c r="F112" s="4" t="inlineStr"/>
      <c r="G112" s="4" t="inlineStr"/>
    </row>
    <row r="113">
      <c r="A113" s="4" t="inlineStr">
        <is>
          <t>3.7.16-P5</t>
        </is>
      </c>
      <c r="B113" s="4" t="inlineStr">
        <is>
          <t>3.7.16</t>
        </is>
      </c>
      <c r="C113" s="4" t="inlineStr">
        <is>
          <t>frcs</t>
        </is>
      </c>
      <c r="D113" s="4" t="inlineStr">
        <is>
          <t>Read time zero comparisons as a small part of the clinical choice.</t>
        </is>
      </c>
      <c r="E113" s="4" t="inlineStr"/>
      <c r="F113" s="4" t="inlineStr"/>
      <c r="G113" s="4" t="inlineStr"/>
    </row>
    <row r="114">
      <c r="A114" s="4" t="inlineStr">
        <is>
          <t>3.7.16-P6</t>
        </is>
      </c>
      <c r="B114" s="4" t="inlineStr">
        <is>
          <t>3.7.16</t>
        </is>
      </c>
      <c r="C114" s="4" t="inlineStr">
        <is>
          <t>fellowship</t>
        </is>
      </c>
      <c r="D114" s="4" t="inlineStr">
        <is>
          <t>Plan revision graft choice from tunnel condition and available autograft rather than from the primary algorithm.</t>
        </is>
      </c>
      <c r="E114" s="4" t="inlineStr"/>
      <c r="F114" s="4" t="inlineStr"/>
      <c r="G114" s="4" t="inlineStr"/>
    </row>
    <row r="115">
      <c r="A115" s="4" t="inlineStr">
        <is>
          <t>3.7.16-P7</t>
        </is>
      </c>
      <c r="B115" s="4" t="inlineStr">
        <is>
          <t>3.7.16</t>
        </is>
      </c>
      <c r="C115" s="4" t="inlineStr">
        <is>
          <t>fellowship</t>
        </is>
      </c>
      <c r="D115" s="4" t="inlineStr">
        <is>
          <t>Stage with bone grafting where tunnels are wide or confluent.</t>
        </is>
      </c>
      <c r="E115" s="4" t="inlineStr"/>
      <c r="F115" s="4" t="inlineStr"/>
      <c r="G115" s="4" t="inlineStr"/>
    </row>
    <row r="116">
      <c r="A116" s="4" t="inlineStr">
        <is>
          <t>3.7.16-P8</t>
        </is>
      </c>
      <c r="B116" s="4" t="inlineStr">
        <is>
          <t>3.7.16</t>
        </is>
      </c>
      <c r="C116" s="4" t="inlineStr">
        <is>
          <t>fellowship</t>
        </is>
      </c>
      <c r="D116" s="4" t="inlineStr">
        <is>
          <t>Accept allograft more readily in revision and in multiligament reconstruction.</t>
        </is>
      </c>
      <c r="E116" s="4" t="inlineStr"/>
      <c r="F116" s="4" t="inlineStr"/>
      <c r="G116" s="4" t="inlineStr"/>
    </row>
    <row r="117">
      <c r="A117" s="4" t="inlineStr">
        <is>
          <t>3.7.16-P9</t>
        </is>
      </c>
      <c r="B117" s="4" t="inlineStr">
        <is>
          <t>3.7.16</t>
        </is>
      </c>
      <c r="C117" s="4" t="inlineStr">
        <is>
          <t>fellowship</t>
        </is>
      </c>
      <c r="D117" s="4" t="inlineStr">
        <is>
          <t>State that fixation choice in compromised bone rests on principle rather than data.</t>
        </is>
      </c>
      <c r="E117" s="4" t="inlineStr"/>
      <c r="F117" s="4" t="inlineStr"/>
      <c r="G117" s="4" t="inlineStr"/>
    </row>
    <row r="118">
      <c r="A118" s="4" t="inlineStr">
        <is>
          <t>3.7.17-P1</t>
        </is>
      </c>
      <c r="B118" s="4" t="inlineStr">
        <is>
          <t>3.7.17</t>
        </is>
      </c>
      <c r="C118" s="4" t="inlineStr">
        <is>
          <t>mrcs</t>
        </is>
      </c>
      <c r="D118" s="4" t="inlineStr">
        <is>
          <t>Place fixation close to the joint line where the technique allows, to reduce graft motion.</t>
        </is>
      </c>
      <c r="E118" s="4" t="inlineStr"/>
      <c r="F118" s="4" t="inlineStr"/>
      <c r="G118" s="4" t="inlineStr"/>
    </row>
    <row r="119">
      <c r="A119" s="4" t="inlineStr">
        <is>
          <t>3.7.17-P2</t>
        </is>
      </c>
      <c r="B119" s="4" t="inlineStr">
        <is>
          <t>3.7.17</t>
        </is>
      </c>
      <c r="C119" s="4" t="inlineStr">
        <is>
          <t>mrcs</t>
        </is>
      </c>
      <c r="D119" s="4" t="inlineStr">
        <is>
          <t>Expect a deep flexion strength deficit after harvest and rehabilitate it.</t>
        </is>
      </c>
      <c r="E119" s="4" t="inlineStr"/>
      <c r="F119" s="4" t="inlineStr"/>
      <c r="G119" s="4" t="inlineStr"/>
    </row>
    <row r="120">
      <c r="A120" s="4" t="inlineStr">
        <is>
          <t>3.7.17-P3</t>
        </is>
      </c>
      <c r="B120" s="4" t="inlineStr">
        <is>
          <t>3.7.17</t>
        </is>
      </c>
      <c r="C120" s="4" t="inlineStr">
        <is>
          <t>mrcs</t>
        </is>
      </c>
      <c r="D120" s="4" t="inlineStr">
        <is>
          <t>Expect slower healing at the interface than with a bone to bone graft.</t>
        </is>
      </c>
      <c r="E120" s="4" t="inlineStr"/>
      <c r="F120" s="4" t="inlineStr"/>
      <c r="G120" s="4" t="inlineStr"/>
    </row>
    <row r="121">
      <c r="A121" s="4" t="inlineStr">
        <is>
          <t>3.7.17-P4</t>
        </is>
      </c>
      <c r="B121" s="4" t="inlineStr">
        <is>
          <t>3.7.17</t>
        </is>
      </c>
      <c r="C121" s="4" t="inlineStr">
        <is>
          <t>frcs</t>
        </is>
      </c>
      <c r="D121" s="4" t="inlineStr">
        <is>
          <t>Treat diameter as the variable that matters most and the one the donor tendon may not allow.</t>
        </is>
      </c>
      <c r="E121" s="4" t="inlineStr"/>
      <c r="F121" s="4" t="inlineStr"/>
      <c r="G121" s="4" t="inlineStr"/>
    </row>
    <row r="122">
      <c r="A122" s="4" t="inlineStr">
        <is>
          <t>3.7.17-P5</t>
        </is>
      </c>
      <c r="B122" s="4" t="inlineStr">
        <is>
          <t>3.7.17</t>
        </is>
      </c>
      <c r="C122" s="4" t="inlineStr">
        <is>
          <t>frcs</t>
        </is>
      </c>
      <c r="D122" s="4" t="inlineStr">
        <is>
          <t>Assess tendon size before surgery rather than discovering it during.</t>
        </is>
      </c>
      <c r="E122" s="4" t="inlineStr"/>
      <c r="F122" s="4" t="inlineStr"/>
      <c r="G122" s="4" t="inlineStr"/>
    </row>
    <row r="123">
      <c r="A123" s="4" t="inlineStr">
        <is>
          <t>3.7.17-P6</t>
        </is>
      </c>
      <c r="B123" s="4" t="inlineStr">
        <is>
          <t>3.7.17</t>
        </is>
      </c>
      <c r="C123" s="4" t="inlineStr">
        <is>
          <t>frcs</t>
        </is>
      </c>
      <c r="D123" s="4" t="inlineStr">
        <is>
          <t>Counsel younger patients on the diameter association with failure.</t>
        </is>
      </c>
      <c r="E123" s="4" t="inlineStr"/>
      <c r="F123" s="4" t="inlineStr"/>
      <c r="G123" s="4" t="inlineStr"/>
    </row>
    <row r="124">
      <c r="A124" s="4" t="inlineStr">
        <is>
          <t>3.7.17-P7</t>
        </is>
      </c>
      <c r="B124" s="4" t="inlineStr">
        <is>
          <t>3.7.17</t>
        </is>
      </c>
      <c r="C124" s="4" t="inlineStr">
        <is>
          <t>fellowship</t>
        </is>
      </c>
      <c r="D124" s="4" t="inlineStr">
        <is>
          <t>Treat a regenerated tendon as unreliable graft material.</t>
        </is>
      </c>
      <c r="E124" s="4" t="inlineStr"/>
      <c r="F124" s="4" t="inlineStr"/>
      <c r="G124" s="4" t="inlineStr"/>
    </row>
    <row r="125">
      <c r="A125" s="4" t="inlineStr">
        <is>
          <t>3.7.17-P8</t>
        </is>
      </c>
      <c r="B125" s="4" t="inlineStr">
        <is>
          <t>3.7.17</t>
        </is>
      </c>
      <c r="C125" s="4" t="inlineStr">
        <is>
          <t>fellowship</t>
        </is>
      </c>
      <c r="D125" s="4" t="inlineStr">
        <is>
          <t>Measure tunnel width before planning a single stage revision.</t>
        </is>
      </c>
      <c r="E125" s="4" t="inlineStr"/>
      <c r="F125" s="4" t="inlineStr"/>
      <c r="G125" s="4" t="inlineStr"/>
    </row>
    <row r="126">
      <c r="A126" s="4" t="inlineStr">
        <is>
          <t>3.7.17-P9</t>
        </is>
      </c>
      <c r="B126" s="4" t="inlineStr">
        <is>
          <t>3.7.17</t>
        </is>
      </c>
      <c r="C126" s="4" t="inlineStr">
        <is>
          <t>fellowship</t>
        </is>
      </c>
      <c r="D126" s="4" t="inlineStr">
        <is>
          <t>Consider lateral augmentation to share load where diameter is inadequate.</t>
        </is>
      </c>
      <c r="E126" s="4" t="inlineStr"/>
      <c r="F126" s="4" t="inlineStr"/>
      <c r="G126" s="4" t="inlineStr"/>
    </row>
    <row r="127">
      <c r="A127" s="4" t="inlineStr">
        <is>
          <t>3.7.17-P10</t>
        </is>
      </c>
      <c r="B127" s="4" t="inlineStr">
        <is>
          <t>3.7.17</t>
        </is>
      </c>
      <c r="C127" s="4" t="inlineStr">
        <is>
          <t>fellowship</t>
        </is>
      </c>
      <c r="D127" s="4" t="inlineStr">
        <is>
          <t>Plan the graft source before theatre in any revision.</t>
        </is>
      </c>
      <c r="E127" s="4" t="inlineStr"/>
      <c r="F127" s="4" t="inlineStr"/>
      <c r="G127" s="4" t="inlineStr"/>
    </row>
    <row r="128">
      <c r="A128" s="4" t="inlineStr">
        <is>
          <t>3.7.18-P1</t>
        </is>
      </c>
      <c r="B128" s="4" t="inlineStr">
        <is>
          <t>3.7.18</t>
        </is>
      </c>
      <c r="C128" s="4" t="inlineStr">
        <is>
          <t>mrcs</t>
        </is>
      </c>
      <c r="D128" s="4" t="inlineStr">
        <is>
          <t>Expect marginally lower measured laxity and a small effect size.</t>
        </is>
      </c>
      <c r="E128" s="4" t="inlineStr"/>
      <c r="F128" s="4" t="inlineStr"/>
      <c r="G128" s="4" t="inlineStr"/>
    </row>
    <row r="129">
      <c r="A129" s="4" t="inlineStr">
        <is>
          <t>3.7.18-P2</t>
        </is>
      </c>
      <c r="B129" s="4" t="inlineStr">
        <is>
          <t>3.7.18</t>
        </is>
      </c>
      <c r="C129" s="4" t="inlineStr">
        <is>
          <t>mrcs</t>
        </is>
      </c>
      <c r="D129" s="4" t="inlineStr">
        <is>
          <t>Measure patellar height after harvest where extensor symptoms persist.</t>
        </is>
      </c>
      <c r="E129" s="4" t="inlineStr"/>
      <c r="F129" s="4" t="inlineStr"/>
      <c r="G129" s="4" t="inlineStr"/>
    </row>
    <row r="130">
      <c r="A130" s="4" t="inlineStr">
        <is>
          <t>3.7.18-P3</t>
        </is>
      </c>
      <c r="B130" s="4" t="inlineStr">
        <is>
          <t>3.7.18</t>
        </is>
      </c>
      <c r="C130" s="4" t="inlineStr">
        <is>
          <t>mrcs</t>
        </is>
      </c>
      <c r="D130" s="4" t="inlineStr">
        <is>
          <t>Expect less tunnel widening, which matters if revision is later needed.</t>
        </is>
      </c>
      <c r="E130" s="4" t="inlineStr"/>
      <c r="F130" s="4" t="inlineStr"/>
      <c r="G130" s="4" t="inlineStr"/>
    </row>
    <row r="131">
      <c r="A131" s="4" t="inlineStr">
        <is>
          <t>3.7.18-P4</t>
        </is>
      </c>
      <c r="B131" s="4" t="inlineStr">
        <is>
          <t>3.7.18</t>
        </is>
      </c>
      <c r="C131" s="4" t="inlineStr">
        <is>
          <t>frcs</t>
        </is>
      </c>
      <c r="D131" s="4" t="inlineStr">
        <is>
          <t>Treat this graft as the choice where failure rate matters more than donor site, and the hamstring graft as the reverse.</t>
        </is>
      </c>
      <c r="E131" s="4" t="inlineStr"/>
      <c r="F131" s="4" t="inlineStr"/>
      <c r="G131" s="4" t="inlineStr"/>
    </row>
    <row r="132">
      <c r="A132" s="4" t="inlineStr">
        <is>
          <t>3.7.18-P5</t>
        </is>
      </c>
      <c r="B132" s="4" t="inlineStr">
        <is>
          <t>3.7.18</t>
        </is>
      </c>
      <c r="C132" s="4" t="inlineStr">
        <is>
          <t>frcs</t>
        </is>
      </c>
      <c r="D132" s="4" t="inlineStr">
        <is>
          <t>Consider it where revision is foreseeable, for tunnel preservation.</t>
        </is>
      </c>
      <c r="E132" s="4" t="inlineStr"/>
      <c r="F132" s="4" t="inlineStr"/>
      <c r="G132" s="4" t="inlineStr"/>
    </row>
    <row r="133">
      <c r="A133" s="4" t="inlineStr">
        <is>
          <t>3.7.18-P6</t>
        </is>
      </c>
      <c r="B133" s="4" t="inlineStr">
        <is>
          <t>3.7.18</t>
        </is>
      </c>
      <c r="C133" s="4" t="inlineStr">
        <is>
          <t>frcs</t>
        </is>
      </c>
      <c r="D133" s="4" t="inlineStr">
        <is>
          <t>Assess occupation and kneeling demand before choosing.</t>
        </is>
      </c>
      <c r="E133" s="4" t="inlineStr"/>
      <c r="F133" s="4" t="inlineStr"/>
      <c r="G133" s="4" t="inlineStr"/>
    </row>
    <row r="134">
      <c r="A134" s="4" t="inlineStr">
        <is>
          <t>3.7.18-P7</t>
        </is>
      </c>
      <c r="B134" s="4" t="inlineStr">
        <is>
          <t>3.7.18</t>
        </is>
      </c>
      <c r="C134" s="4" t="inlineStr">
        <is>
          <t>fellowship</t>
        </is>
      </c>
      <c r="D134" s="4" t="inlineStr">
        <is>
          <t>Record patellar height, since it affects later arthroplasty.</t>
        </is>
      </c>
      <c r="E134" s="4" t="inlineStr"/>
      <c r="F134" s="4" t="inlineStr"/>
      <c r="G134" s="4" t="inlineStr"/>
    </row>
    <row r="135">
      <c r="A135" s="4" t="inlineStr">
        <is>
          <t>3.7.18-P8</t>
        </is>
      </c>
      <c r="B135" s="4" t="inlineStr">
        <is>
          <t>3.7.18</t>
        </is>
      </c>
      <c r="C135" s="4" t="inlineStr">
        <is>
          <t>fellowship</t>
        </is>
      </c>
      <c r="D135" s="4" t="inlineStr">
        <is>
          <t>Consider bone plugs where a tunnel defect will not hold a soft tissue graft.</t>
        </is>
      </c>
      <c r="E135" s="4" t="inlineStr"/>
      <c r="F135" s="4" t="inlineStr"/>
      <c r="G135" s="4" t="inlineStr"/>
    </row>
    <row r="136">
      <c r="A136" s="4" t="inlineStr">
        <is>
          <t>3.7.18-P9</t>
        </is>
      </c>
      <c r="B136" s="4" t="inlineStr">
        <is>
          <t>3.7.18</t>
        </is>
      </c>
      <c r="C136" s="4" t="inlineStr">
        <is>
          <t>fellowship</t>
        </is>
      </c>
      <c r="D136" s="4" t="inlineStr">
        <is>
          <t>Counsel that a reharvested tendon is feasible and less predictable.</t>
        </is>
      </c>
      <c r="E136" s="4" t="inlineStr"/>
      <c r="F136" s="4" t="inlineStr"/>
      <c r="G136" s="4" t="inlineStr"/>
    </row>
    <row r="137">
      <c r="A137" s="4" t="inlineStr">
        <is>
          <t>3.7.19-P1</t>
        </is>
      </c>
      <c r="B137" s="4" t="inlineStr">
        <is>
          <t>3.7.19</t>
        </is>
      </c>
      <c r="C137" s="4" t="inlineStr">
        <is>
          <t>mrcs</t>
        </is>
      </c>
      <c r="D137" s="4" t="inlineStr">
        <is>
          <t>Expect tendon to bone healing at the soft tissue end.</t>
        </is>
      </c>
      <c r="E137" s="4" t="inlineStr"/>
      <c r="F137" s="4" t="inlineStr"/>
      <c r="G137" s="4" t="inlineStr"/>
    </row>
    <row r="138">
      <c r="A138" s="4" t="inlineStr">
        <is>
          <t>3.7.19-P2</t>
        </is>
      </c>
      <c r="B138" s="4" t="inlineStr">
        <is>
          <t>3.7.19</t>
        </is>
      </c>
      <c r="C138" s="4" t="inlineStr">
        <is>
          <t>mrcs</t>
        </is>
      </c>
      <c r="D138" s="4" t="inlineStr">
        <is>
          <t>Read the clinical evidence as shorter and smaller than for the other autografts.</t>
        </is>
      </c>
      <c r="E138" s="4" t="inlineStr"/>
      <c r="F138" s="4" t="inlineStr"/>
      <c r="G138" s="4" t="inlineStr"/>
    </row>
    <row r="139">
      <c r="A139" s="4" t="inlineStr">
        <is>
          <t>3.7.19-P3</t>
        </is>
      </c>
      <c r="B139" s="4" t="inlineStr">
        <is>
          <t>3.7.19</t>
        </is>
      </c>
      <c r="C139" s="4" t="inlineStr">
        <is>
          <t>frcs</t>
        </is>
      </c>
      <c r="D139" s="4" t="inlineStr">
        <is>
          <t>Treat this graft as the answer to a diameter problem and as the graft whose long term evidence is still accumulating.</t>
        </is>
      </c>
      <c r="E139" s="4" t="inlineStr"/>
      <c r="F139" s="4" t="inlineStr"/>
      <c r="G139" s="4" t="inlineStr"/>
    </row>
    <row r="140">
      <c r="A140" s="4" t="inlineStr">
        <is>
          <t>3.7.19-P4</t>
        </is>
      </c>
      <c r="B140" s="4" t="inlineStr">
        <is>
          <t>3.7.19</t>
        </is>
      </c>
      <c r="C140" s="4" t="inlineStr">
        <is>
          <t>frcs</t>
        </is>
      </c>
      <c r="D140" s="4" t="inlineStr">
        <is>
          <t>Use it where diameter cannot be achieved from the hamstrings.</t>
        </is>
      </c>
      <c r="E140" s="4" t="inlineStr"/>
      <c r="F140" s="4" t="inlineStr"/>
      <c r="G140" s="4" t="inlineStr"/>
    </row>
    <row r="141">
      <c r="A141" s="4" t="inlineStr">
        <is>
          <t>3.7.19-P5</t>
        </is>
      </c>
      <c r="B141" s="4" t="inlineStr">
        <is>
          <t>3.7.19</t>
        </is>
      </c>
      <c r="C141" s="4" t="inlineStr">
        <is>
          <t>frcs</t>
        </is>
      </c>
      <c r="D141" s="4" t="inlineStr">
        <is>
          <t>Counsel that its long term comparative evidence is still accumulating.</t>
        </is>
      </c>
      <c r="E141" s="4" t="inlineStr"/>
      <c r="F141" s="4" t="inlineStr"/>
      <c r="G141" s="4" t="inlineStr"/>
    </row>
    <row r="142">
      <c r="A142" s="4" t="inlineStr">
        <is>
          <t>3.7.19-P6</t>
        </is>
      </c>
      <c r="B142" s="4" t="inlineStr">
        <is>
          <t>3.7.19</t>
        </is>
      </c>
      <c r="C142" s="4" t="inlineStr">
        <is>
          <t>frcs</t>
        </is>
      </c>
      <c r="D142" s="4" t="inlineStr">
        <is>
          <t>Expect harvest quality to depend on familiarity more than for a simpler harvest.</t>
        </is>
      </c>
      <c r="E142" s="4" t="inlineStr"/>
      <c r="F142" s="4" t="inlineStr"/>
      <c r="G142" s="4" t="inlineStr"/>
    </row>
    <row r="143">
      <c r="A143" s="4" t="inlineStr">
        <is>
          <t>3.7.19-P7</t>
        </is>
      </c>
      <c r="B143" s="4" t="inlineStr">
        <is>
          <t>3.7.19</t>
        </is>
      </c>
      <c r="C143" s="4" t="inlineStr">
        <is>
          <t>fellowship</t>
        </is>
      </c>
      <c r="D143" s="4" t="inlineStr">
        <is>
          <t>Measure tendon thickness on imaging before planning the harvest.</t>
        </is>
      </c>
      <c r="E143" s="4" t="inlineStr"/>
      <c r="F143" s="4" t="inlineStr"/>
      <c r="G143" s="4" t="inlineStr"/>
    </row>
    <row r="144">
      <c r="A144" s="4" t="inlineStr">
        <is>
          <t>3.7.19-P8</t>
        </is>
      </c>
      <c r="B144" s="4" t="inlineStr">
        <is>
          <t>3.7.19</t>
        </is>
      </c>
      <c r="C144" s="4" t="inlineStr">
        <is>
          <t>fellowship</t>
        </is>
      </c>
      <c r="D144" s="4" t="inlineStr">
        <is>
          <t>Consider it first in revision where other donor sites are used.</t>
        </is>
      </c>
      <c r="E144" s="4" t="inlineStr"/>
      <c r="F144" s="4" t="inlineStr"/>
      <c r="G144" s="4" t="inlineStr"/>
    </row>
    <row r="145">
      <c r="A145" s="4" t="inlineStr">
        <is>
          <t>3.7.19-P9</t>
        </is>
      </c>
      <c r="B145" s="4" t="inlineStr">
        <is>
          <t>3.7.19</t>
        </is>
      </c>
      <c r="C145" s="4" t="inlineStr">
        <is>
          <t>fellowship</t>
        </is>
      </c>
      <c r="D145" s="4" t="inlineStr">
        <is>
          <t>Expect small numbers in the revision evidence for this graft.</t>
        </is>
      </c>
      <c r="E145" s="4" t="inlineStr"/>
      <c r="F145" s="4" t="inlineStr"/>
      <c r="G145" s="4" t="inlineStr"/>
    </row>
    <row r="146">
      <c r="A146" s="4" t="inlineStr">
        <is>
          <t>3.7.20-P1</t>
        </is>
      </c>
      <c r="B146" s="4" t="inlineStr">
        <is>
          <t>3.7.20</t>
        </is>
      </c>
      <c r="C146" s="4" t="inlineStr">
        <is>
          <t>mrcs</t>
        </is>
      </c>
      <c r="D146" s="4" t="inlineStr">
        <is>
          <t>Place tunnels anatomically, since position dominates every other variable.</t>
        </is>
      </c>
      <c r="E146" s="4" t="inlineStr"/>
      <c r="F146" s="4" t="inlineStr"/>
      <c r="G146" s="4" t="inlineStr"/>
    </row>
    <row r="147">
      <c r="A147" s="4" t="inlineStr">
        <is>
          <t>3.7.20-P2</t>
        </is>
      </c>
      <c r="B147" s="4" t="inlineStr">
        <is>
          <t>3.7.20</t>
        </is>
      </c>
      <c r="C147" s="4" t="inlineStr">
        <is>
          <t>mrcs</t>
        </is>
      </c>
      <c r="D147" s="4" t="inlineStr">
        <is>
          <t>Expect measured laxity to change over the first year without a new injury.</t>
        </is>
      </c>
      <c r="E147" s="4" t="inlineStr"/>
      <c r="F147" s="4" t="inlineStr"/>
      <c r="G147" s="4" t="inlineStr"/>
    </row>
    <row r="148">
      <c r="A148" s="4" t="inlineStr">
        <is>
          <t>3.7.20-P3</t>
        </is>
      </c>
      <c r="B148" s="4" t="inlineStr">
        <is>
          <t>3.7.20</t>
        </is>
      </c>
      <c r="C148" s="4" t="inlineStr">
        <is>
          <t>frcs</t>
        </is>
      </c>
      <c r="D148" s="4" t="inlineStr">
        <is>
          <t>Treat the reconstruction as a construct in an environment rather than as an operation.</t>
        </is>
      </c>
      <c r="E148" s="4" t="inlineStr"/>
      <c r="F148" s="4" t="inlineStr"/>
      <c r="G148" s="4" t="inlineStr"/>
    </row>
    <row r="149">
      <c r="A149" s="4" t="inlineStr">
        <is>
          <t>3.7.20-P4</t>
        </is>
      </c>
      <c r="B149" s="4" t="inlineStr">
        <is>
          <t>3.7.20</t>
        </is>
      </c>
      <c r="C149" s="4" t="inlineStr">
        <is>
          <t>frcs</t>
        </is>
      </c>
      <c r="D149" s="4" t="inlineStr">
        <is>
          <t>Measure slope in every revision, since it is the commonest unaddressed factor.</t>
        </is>
      </c>
      <c r="E149" s="4" t="inlineStr"/>
      <c r="F149" s="4" t="inlineStr"/>
      <c r="G149" s="4" t="inlineStr"/>
    </row>
    <row r="150">
      <c r="A150" s="4" t="inlineStr">
        <is>
          <t>3.7.20-P5</t>
        </is>
      </c>
      <c r="B150" s="4" t="inlineStr">
        <is>
          <t>3.7.20</t>
        </is>
      </c>
      <c r="C150" s="4" t="inlineStr">
        <is>
          <t>frcs</t>
        </is>
      </c>
      <c r="D150" s="4" t="inlineStr">
        <is>
          <t>Correct the environment as part of the revision rather than afterwards.</t>
        </is>
      </c>
      <c r="E150" s="4" t="inlineStr"/>
      <c r="F150" s="4" t="inlineStr"/>
      <c r="G150" s="4" t="inlineStr"/>
    </row>
    <row r="151">
      <c r="A151" s="4" t="inlineStr">
        <is>
          <t>3.7.20-P6</t>
        </is>
      </c>
      <c r="B151" s="4" t="inlineStr">
        <is>
          <t>3.7.20</t>
        </is>
      </c>
      <c r="C151" s="4" t="inlineStr">
        <is>
          <t>frcs</t>
        </is>
      </c>
      <c r="D151" s="4" t="inlineStr">
        <is>
          <t>Counsel that revision outcomes are worse than primary.</t>
        </is>
      </c>
      <c r="E151" s="4" t="inlineStr"/>
      <c r="F151" s="4" t="inlineStr"/>
      <c r="G151" s="4" t="inlineStr"/>
    </row>
    <row r="152">
      <c r="A152" s="4" t="inlineStr">
        <is>
          <t>3.7.20-P7</t>
        </is>
      </c>
      <c r="B152" s="4" t="inlineStr">
        <is>
          <t>3.7.20</t>
        </is>
      </c>
      <c r="C152" s="4" t="inlineStr">
        <is>
          <t>fellowship</t>
        </is>
      </c>
      <c r="D152" s="4" t="inlineStr">
        <is>
          <t>Plan single or two stage revision from tunnel imaging rather than from preference.</t>
        </is>
      </c>
      <c r="E152" s="4" t="inlineStr"/>
      <c r="F152" s="4" t="inlineStr"/>
      <c r="G152" s="4" t="inlineStr"/>
    </row>
    <row r="153">
      <c r="A153" s="4" t="inlineStr">
        <is>
          <t>3.7.20-P8</t>
        </is>
      </c>
      <c r="B153" s="4" t="inlineStr">
        <is>
          <t>3.7.20</t>
        </is>
      </c>
      <c r="C153" s="4" t="inlineStr">
        <is>
          <t>fellowship</t>
        </is>
      </c>
      <c r="D153" s="4" t="inlineStr">
        <is>
          <t>Correct slope in a knee that has failed a conventional revision.</t>
        </is>
      </c>
      <c r="E153" s="4" t="inlineStr"/>
      <c r="F153" s="4" t="inlineStr"/>
      <c r="G153" s="4" t="inlineStr"/>
    </row>
    <row r="154">
      <c r="A154" s="4" t="inlineStr">
        <is>
          <t>3.7.20-P9</t>
        </is>
      </c>
      <c r="B154" s="4" t="inlineStr">
        <is>
          <t>3.7.20</t>
        </is>
      </c>
      <c r="C154" s="4" t="inlineStr">
        <is>
          <t>fellowship</t>
        </is>
      </c>
      <c r="D154" s="4" t="inlineStr">
        <is>
          <t>Share the uncertainty, since no measurement predicts a compromised construct's result.</t>
        </is>
      </c>
      <c r="E154" s="4" t="inlineStr"/>
      <c r="F154" s="4" t="inlineStr"/>
      <c r="G154" s="4" t="inlineStr"/>
    </row>
  </sheetData>
  <dataValidations count="1">
    <dataValidation sqref="E3:E15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3.7.1-F1</t>
        </is>
      </c>
      <c r="B3" s="4" t="inlineStr">
        <is>
          <t>3.7.1</t>
        </is>
      </c>
      <c r="C3" s="4" t="inlineStr">
        <is>
          <t>mrcs</t>
        </is>
      </c>
      <c r="D3" s="4" t="inlineStr">
        <is>
          <t>85 per cent</t>
        </is>
      </c>
      <c r="E3" s="4" t="inlineStr">
        <is>
          <t>Conventional teaching gives the anterior cruciate roughly 85 per cent of the restraining force to an anterior drawer in the intact knee, which is the figure the primary designation rests on.</t>
        </is>
      </c>
      <c r="F3" s="4" t="inlineStr"/>
      <c r="G3" s="4" t="inlineStr"/>
      <c r="H3" s="4" t="inlineStr"/>
    </row>
    <row r="4">
      <c r="A4" s="4" t="inlineStr">
        <is>
          <t>3.7.2-F1</t>
        </is>
      </c>
      <c r="B4" s="4" t="inlineStr">
        <is>
          <t>3.7.2</t>
        </is>
      </c>
      <c r="C4" s="4" t="inlineStr">
        <is>
          <t>medical_student</t>
        </is>
      </c>
      <c r="D4" s="4" t="inlineStr">
        <is>
          <t>85 per cent</t>
        </is>
      </c>
      <c r="E4" s="4" t="inlineStr">
        <is>
          <t>Conventional teaching gives it roughly 85 per cent of the resisting force in the intact knee, with the remainder shared by the other structures.</t>
        </is>
      </c>
      <c r="F4" s="4" t="inlineStr"/>
      <c r="G4" s="4" t="inlineStr"/>
      <c r="H4" s="4" t="inlineStr"/>
    </row>
    <row r="5">
      <c r="A5" s="4" t="inlineStr">
        <is>
          <t>3.7.2-F2</t>
        </is>
      </c>
      <c r="B5" s="4" t="inlineStr">
        <is>
          <t>3.7.2</t>
        </is>
      </c>
      <c r="C5" s="4" t="inlineStr">
        <is>
          <t>mrcs</t>
        </is>
      </c>
      <c r="D5" s="4" t="inlineStr">
        <is>
          <t>90 degrees</t>
        </is>
      </c>
      <c r="E5" s="4" t="inlineStr">
        <is>
          <t>Conventional teaching gives the anterior cruciate roughly 85 per cent of the restraint to an anterior drawer at 90 degrees, and a comparable or greater share at 30 degrees.</t>
        </is>
      </c>
      <c r="F5" s="4" t="inlineStr"/>
      <c r="G5" s="4" t="inlineStr"/>
      <c r="H5" s="4" t="inlineStr"/>
    </row>
    <row r="6">
      <c r="A6" s="4" t="inlineStr">
        <is>
          <t>3.7.2-F3</t>
        </is>
      </c>
      <c r="B6" s="4" t="inlineStr">
        <is>
          <t>3.7.2</t>
        </is>
      </c>
      <c r="C6" s="4" t="inlineStr">
        <is>
          <t>mrcs</t>
        </is>
      </c>
      <c r="D6" s="4" t="inlineStr">
        <is>
          <t>30 degrees</t>
        </is>
      </c>
      <c r="E6" s="4" t="inlineStr">
        <is>
          <t>Conventional teaching gives the anterior cruciate roughly 85 per cent of the restraint to an anterior drawer at 90 degrees, and a comparable or greater share at 30 degrees.</t>
        </is>
      </c>
      <c r="F6" s="4" t="inlineStr"/>
      <c r="G6" s="4" t="inlineStr"/>
      <c r="H6" s="4" t="inlineStr"/>
    </row>
    <row r="7">
      <c r="A7" s="4" t="inlineStr">
        <is>
          <t>3.7.2-F4</t>
        </is>
      </c>
      <c r="B7" s="4" t="inlineStr">
        <is>
          <t>3.7.2</t>
        </is>
      </c>
      <c r="C7" s="4" t="inlineStr">
        <is>
          <t>mrcs</t>
        </is>
      </c>
      <c r="D7" s="4" t="inlineStr">
        <is>
          <t>0</t>
        </is>
      </c>
      <c r="E7" s="4" t="inlineStr">
        <is>
          <t>Near full extension the geometry and the other structures contribute more, which is part of why a test at 30 degrees is more sensitive than one at 0.</t>
        </is>
      </c>
      <c r="F7" s="4" t="inlineStr"/>
      <c r="G7" s="4" t="inlineStr"/>
      <c r="H7" s="4" t="inlineStr"/>
    </row>
    <row r="8">
      <c r="A8" s="4" t="inlineStr">
        <is>
          <t>3.7.2-F5</t>
        </is>
      </c>
      <c r="B8" s="4" t="inlineStr">
        <is>
          <t>3.7.2</t>
        </is>
      </c>
      <c r="C8" s="4" t="inlineStr">
        <is>
          <t>mrcs</t>
        </is>
      </c>
      <c r="D8" s="4" t="inlineStr">
        <is>
          <t>0 degrees</t>
        </is>
      </c>
      <c r="E8" s="4" t="inlineStr">
        <is>
          <t>- Testing at 30 degrees is more sensitive than at 0 degrees.</t>
        </is>
      </c>
      <c r="F8" s="4" t="inlineStr"/>
      <c r="G8" s="4" t="inlineStr"/>
      <c r="H8" s="4" t="inlineStr"/>
    </row>
    <row r="9">
      <c r="A9" s="4" t="inlineStr">
        <is>
          <t>3.7.4-F1</t>
        </is>
      </c>
      <c r="B9" s="4" t="inlineStr">
        <is>
          <t>3.7.4</t>
        </is>
      </c>
      <c r="C9" s="4" t="inlineStr">
        <is>
          <t>mrcs</t>
        </is>
      </c>
      <c r="D9" s="4" t="inlineStr">
        <is>
          <t>60 to 90 degrees</t>
        </is>
      </c>
      <c r="E9" s="4" t="inlineStr">
        <is>
          <t>Conventional teaching gives the anteromedial bundle maximal tension at around 60 to 90 degrees of flexion and the posterolateral bundle maximal tension near full extension.</t>
        </is>
      </c>
      <c r="F9" s="4" t="inlineStr"/>
      <c r="G9" s="4" t="inlineStr"/>
      <c r="H9" s="4" t="inlineStr"/>
    </row>
    <row r="10">
      <c r="A10" s="4" t="inlineStr">
        <is>
          <t>3.7.5-F1</t>
        </is>
      </c>
      <c r="B10" s="4" t="inlineStr">
        <is>
          <t>3.7.5</t>
        </is>
      </c>
      <c r="C10" s="4" t="n"/>
      <c r="D10" s="4" t="inlineStr">
        <is>
          <t>90 degrees</t>
        </is>
      </c>
      <c r="E10" s="4" t="inlineStr">
        <is>
          <t>It is what a test at 90 degrees is pulling against, and it is the longer and more vertical of the two.</t>
        </is>
      </c>
      <c r="F10" s="4" t="inlineStr"/>
      <c r="G10" s="4" t="inlineStr"/>
      <c r="H10" s="4" t="inlineStr"/>
    </row>
    <row r="11">
      <c r="A11" s="4" t="inlineStr">
        <is>
          <t>3.7.5-F2</t>
        </is>
      </c>
      <c r="B11" s="4" t="inlineStr">
        <is>
          <t>3.7.5</t>
        </is>
      </c>
      <c r="C11" s="4" t="inlineStr">
        <is>
          <t>medical_student</t>
        </is>
      </c>
      <c r="D11" s="4" t="inlineStr">
        <is>
          <t>60 to 90 degrees</t>
        </is>
      </c>
      <c r="E11" s="4" t="inlineStr">
        <is>
          <t>Conventional teaching has it tightening as the knee flexes, with maximal tension around 60 to 90 degrees.</t>
        </is>
      </c>
      <c r="F11" s="4" t="inlineStr"/>
      <c r="G11" s="4" t="inlineStr"/>
      <c r="H11" s="4" t="inlineStr"/>
    </row>
    <row r="12">
      <c r="A12" s="4" t="inlineStr">
        <is>
          <t>3.7.6-F1</t>
        </is>
      </c>
      <c r="B12" s="4" t="inlineStr">
        <is>
          <t>3.7.6</t>
        </is>
      </c>
      <c r="C12" s="4" t="inlineStr">
        <is>
          <t>medical_student</t>
        </is>
      </c>
      <c r="D12" s="4" t="inlineStr">
        <is>
          <t>90 degrees</t>
        </is>
      </c>
      <c r="E12" s="4" t="inlineStr">
        <is>
          <t>Testing at 90 degrees samples the other bundle, so this one can be injured and missed.</t>
        </is>
      </c>
      <c r="F12" s="4" t="inlineStr"/>
      <c r="G12" s="4" t="inlineStr"/>
      <c r="H12" s="4" t="inlineStr"/>
    </row>
    <row r="13">
      <c r="A13" s="4" t="inlineStr">
        <is>
          <t>3.7.9-F1</t>
        </is>
      </c>
      <c r="B13" s="4" t="inlineStr">
        <is>
          <t>3.7.9</t>
        </is>
      </c>
      <c r="C13" s="4" t="inlineStr">
        <is>
          <t>mrcs</t>
        </is>
      </c>
      <c r="D13" s="4" t="inlineStr">
        <is>
          <t>20 to 30 degrees</t>
        </is>
      </c>
      <c r="E13" s="4" t="inlineStr">
        <is>
          <t>Conventional teaching places the reduction at roughly 20 to 30 degrees of flexion, which is where the line of action crosses.</t>
        </is>
      </c>
      <c r="F13" s="4" t="inlineStr"/>
      <c r="G13" s="4" t="inlineStr"/>
      <c r="H13" s="4" t="inlineStr"/>
    </row>
    <row r="14">
      <c r="A14" s="4" t="inlineStr">
        <is>
          <t>3.7.10-F1</t>
        </is>
      </c>
      <c r="B14" s="4" t="inlineStr">
        <is>
          <t>3.7.10</t>
        </is>
      </c>
      <c r="C14" s="4" t="inlineStr">
        <is>
          <t>mrcs</t>
        </is>
      </c>
      <c r="D14" s="4" t="inlineStr">
        <is>
          <t>30 degrees</t>
        </is>
      </c>
      <c r="E14" s="4" t="inlineStr">
        <is>
          <t>Peak strain occurs in the first 30 degrees of flexion, which matches where the posterolateral bundle is tight and where the patellar tendon's anterior shear is greatest.</t>
        </is>
      </c>
      <c r="F14" s="4" t="inlineStr"/>
      <c r="G14" s="4" t="inlineStr"/>
      <c r="H14" s="4" t="inlineStr"/>
    </row>
    <row r="15">
      <c r="A15" s="4" t="inlineStr">
        <is>
          <t>3.7.11-F1</t>
        </is>
      </c>
      <c r="B15" s="4" t="inlineStr">
        <is>
          <t>3.7.11</t>
        </is>
      </c>
      <c r="C15" s="4" t="inlineStr">
        <is>
          <t>mrcs</t>
        </is>
      </c>
      <c r="D15" s="4" t="inlineStr">
        <is>
          <t>20 degrees</t>
        </is>
      </c>
      <c r="E15" s="4" t="inlineStr">
        <is>
          <t>Running's knee flexion at contact of roughly 20 degrees is already past the range of highest strain, which is the main protective factor.</t>
        </is>
      </c>
      <c r="F15" s="4" t="inlineStr"/>
      <c r="G15" s="4" t="inlineStr"/>
      <c r="H15" s="4" t="inlineStr"/>
    </row>
    <row r="16">
      <c r="A16" s="4" t="inlineStr">
        <is>
          <t>3.7.12-F1</t>
        </is>
      </c>
      <c r="B16" s="4" t="inlineStr">
        <is>
          <t>3.7.12</t>
        </is>
      </c>
      <c r="C16" s="4" t="inlineStr">
        <is>
          <t>mrcs</t>
        </is>
      </c>
      <c r="D16" s="4" t="inlineStr">
        <is>
          <t>50</t>
        </is>
      </c>
      <c r="E16" s="4" t="inlineStr">
        <is>
          <t>Conventional teaching places the injury event within the first 50 milliseconds of ground contact, which is faster than a voluntary or reflex correction.</t>
        </is>
      </c>
      <c r="F16" s="4" t="inlineStr"/>
      <c r="G16" s="4" t="inlineStr"/>
      <c r="H16" s="4" t="inlineStr"/>
    </row>
    <row r="17">
      <c r="A17" s="4" t="inlineStr">
        <is>
          <t>3.7.12-F2</t>
        </is>
      </c>
      <c r="B17" s="4" t="inlineStr">
        <is>
          <t>3.7.12</t>
        </is>
      </c>
      <c r="C17" s="4" t="inlineStr">
        <is>
          <t>mrcs</t>
        </is>
      </c>
      <c r="D17" s="4" t="inlineStr">
        <is>
          <t>20 degrees</t>
        </is>
      </c>
      <c r="E17" s="4" t="inlineStr">
        <is>
          <t>Peak vertical ground reaction force in landing is conventionally given as three to six times body weight, arriving at a knee flexed roughly 20 degrees or less.</t>
        </is>
      </c>
      <c r="F17" s="4" t="inlineStr"/>
      <c r="G17" s="4" t="inlineStr"/>
      <c r="H17" s="4" t="inlineStr"/>
    </row>
    <row r="18">
      <c r="A18" s="4" t="inlineStr">
        <is>
          <t>3.7.14-F1</t>
        </is>
      </c>
      <c r="B18" s="4" t="inlineStr">
        <is>
          <t>3.7.14</t>
        </is>
      </c>
      <c r="C18" s="4" t="inlineStr">
        <is>
          <t>medical_student</t>
        </is>
      </c>
      <c r="D18" s="4" t="inlineStr">
        <is>
          <t>50</t>
        </is>
      </c>
      <c r="E18" s="4" t="inlineStr">
        <is>
          <t>Conventional teaching places the injury within the first 50 milliseconds of ground contact, which is too fast for a correction.</t>
        </is>
      </c>
      <c r="F18" s="4" t="inlineStr"/>
      <c r="G18" s="4" t="inlineStr"/>
      <c r="H18" s="4" t="inlineStr"/>
    </row>
    <row r="19">
      <c r="A19" s="4" t="inlineStr">
        <is>
          <t>3.7.16-F1</t>
        </is>
      </c>
      <c r="B19" s="4" t="inlineStr">
        <is>
          <t>3.7.16</t>
        </is>
      </c>
      <c r="C19" s="4" t="inlineStr">
        <is>
          <t>medical_student</t>
        </is>
      </c>
      <c r="D19" s="4" t="inlineStr">
        <is>
          <t>2000</t>
        </is>
      </c>
      <c r="E19" s="4" t="inlineStr">
        <is>
          <t>Conventional teaching gives the native anterior cruciate an ultimate failure load of around 2000 newtons in young specimens, which is the figure grafts are compared against.</t>
        </is>
      </c>
      <c r="F19" s="4" t="inlineStr"/>
      <c r="G19" s="4" t="inlineStr"/>
      <c r="H19" s="4" t="inlineStr"/>
    </row>
    <row r="20">
      <c r="A20" s="4" t="inlineStr">
        <is>
          <t>3.7.17-F1</t>
        </is>
      </c>
      <c r="B20" s="4" t="inlineStr">
        <is>
          <t>3.7.17</t>
        </is>
      </c>
      <c r="C20" s="4" t="inlineStr">
        <is>
          <t>mrcs</t>
        </is>
      </c>
      <c r="D20" s="4" t="inlineStr">
        <is>
          <t>4000</t>
        </is>
      </c>
      <c r="E20" s="4" t="inlineStr">
        <is>
          <t>Conventional teaching gives a quadrupled semitendinosus and gracilis graft an ultimate load above 4000 newtons at time zero, well above the native ligament's.</t>
        </is>
      </c>
      <c r="F20" s="4" t="inlineStr"/>
      <c r="G20" s="4" t="inlineStr"/>
      <c r="H20" s="4" t="inlineStr"/>
    </row>
  </sheetData>
  <dataValidations count="1">
    <dataValidation sqref="F3:F20"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152</f>
        <v/>
      </c>
      <c r="C2" s="3">
        <f>18</f>
        <v/>
      </c>
    </row>
    <row r="3">
      <c r="A3" s="2" t="inlineStr">
        <is>
          <t>Decided</t>
        </is>
      </c>
      <c r="B3" s="3">
        <f>COUNTIF(Recommendations!E3:E154,"&lt;&gt;")</f>
        <v/>
      </c>
      <c r="C3" s="3">
        <f>COUNTIF(Measurements!F3:F20,"&lt;&gt;")</f>
        <v/>
      </c>
    </row>
    <row r="4">
      <c r="A4" s="2" t="inlineStr">
        <is>
          <t>Still blank</t>
        </is>
      </c>
      <c r="B4" s="3">
        <f>B2-B3</f>
        <v/>
      </c>
      <c r="C4" s="3">
        <f>C2-C3</f>
        <v/>
      </c>
    </row>
    <row r="5">
      <c r="A5" s="2" t="inlineStr">
        <is>
          <t>CONFIRMED</t>
        </is>
      </c>
      <c r="B5" s="3">
        <f>COUNTIF(Recommendations!E3:E154,"CONFIRMED")</f>
        <v/>
      </c>
      <c r="C5" s="3" t="inlineStr"/>
    </row>
    <row r="6">
      <c r="A6" s="2" t="inlineStr">
        <is>
          <t>AMENDED</t>
        </is>
      </c>
      <c r="B6" s="3">
        <f>COUNTIF(Recommendations!E3:E154,"AMENDED")</f>
        <v/>
      </c>
      <c r="C6" s="3" t="inlineStr"/>
    </row>
    <row r="7">
      <c r="A7" s="2" t="inlineStr">
        <is>
          <t>WITHDRAWN</t>
        </is>
      </c>
      <c r="B7" s="3">
        <f>COUNTIF(Recommendations!E3:E154,"WITHDRAWN")</f>
        <v/>
      </c>
      <c r="C7" s="3" t="inlineStr"/>
    </row>
    <row r="8">
      <c r="A8" s="2" t="inlineStr">
        <is>
          <t>NOT_CLINICAL</t>
        </is>
      </c>
      <c r="B8" s="3">
        <f>COUNTIF(Recommendations!E3:E154,"NOT_CLINICAL")</f>
        <v/>
      </c>
      <c r="C8" s="3" t="inlineStr"/>
    </row>
    <row r="9">
      <c r="A9" s="2" t="inlineStr">
        <is>
          <t>VERIFIED</t>
        </is>
      </c>
      <c r="B9" s="3" t="inlineStr"/>
      <c r="C9" s="3">
        <f>COUNTIF(Measurements!F3:F20,"VERIFIED")</f>
        <v/>
      </c>
    </row>
    <row r="10">
      <c r="A10" s="2" t="inlineStr">
        <is>
          <t>CORRECTED</t>
        </is>
      </c>
      <c r="B10" s="3" t="inlineStr"/>
      <c r="C10" s="3">
        <f>COUNTIF(Measurements!F3:F20,"CORRECTED")</f>
        <v/>
      </c>
    </row>
    <row r="11">
      <c r="A11" s="2" t="inlineStr">
        <is>
          <t>REMOVED</t>
        </is>
      </c>
      <c r="B11" s="3" t="inlineStr"/>
      <c r="C11" s="3">
        <f>COUNTIF(Measurements!F3:F20,"REMOVED")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2026-10-10T12:34:06Z</dcterms:created>
  <dcterms:modified xmlns:dcterms="http://purl.org/dc/terms/" xmlns:xsi="http://www.w3.org/2001/XMLSchema-instance" xsi:type="dcterms:W3CDTF">2026-10-10T12:34:06Z</dcterms:modified>
</cp:coreProperties>
</file>