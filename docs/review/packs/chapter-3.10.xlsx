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3.10 Lateral Knee Biomechanics</t>
        </is>
      </c>
    </row>
    <row r="3">
      <c r="A3" s="2" t="inlineStr">
        <is>
          <t>Section</t>
        </is>
      </c>
      <c r="B3" s="3" t="inlineStr">
        <is>
          <t>3</t>
        </is>
      </c>
    </row>
    <row r="4">
      <c r="A4" s="2" t="inlineStr">
        <is>
          <t>Chapter</t>
        </is>
      </c>
      <c r="B4" s="3" t="inlineStr">
        <is>
          <t>3.10 Lateral Knee Biomechanics</t>
        </is>
      </c>
    </row>
    <row r="5">
      <c r="A5" s="2" t="inlineStr">
        <is>
          <t>Pages</t>
        </is>
      </c>
      <c r="B5" s="3" t="n">
        <v>9</v>
      </c>
    </row>
    <row r="6">
      <c r="A6" s="2" t="inlineStr">
        <is>
          <t>Page type</t>
        </is>
      </c>
      <c r="B6" s="3" t="inlineStr">
        <is>
          <t>biomechanics</t>
        </is>
      </c>
    </row>
    <row r="7">
      <c r="A7" s="2" t="inlineStr">
        <is>
          <t>Tiers</t>
        </is>
      </c>
      <c r="B7" s="3" t="inlineStr">
        <is>
          <t>medical student, mrcs, frcs, fellowship</t>
        </is>
      </c>
    </row>
    <row r="8">
      <c r="A8" s="2" t="inlineStr">
        <is>
          <t>Words</t>
        </is>
      </c>
      <c r="B8" s="3" t="inlineStr">
        <is>
          <t>9,865</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16</v>
      </c>
    </row>
    <row r="12">
      <c r="A12" s="2" t="inlineStr">
        <is>
          <t>Recommendations to sign</t>
        </is>
      </c>
      <c r="B12" s="3" t="n">
        <v>59</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3.10.1</t>
        </is>
      </c>
      <c r="B2" s="6" t="inlineStr">
        <is>
          <t>Varus Stability</t>
        </is>
      </c>
      <c r="C2" s="6" t="n">
        <v>3</v>
      </c>
      <c r="D2" s="6" t="n">
        <v>1079</v>
      </c>
      <c r="E2" s="6" t="inlineStr">
        <is>
          <t>biomechanics/varus-stability.html</t>
        </is>
      </c>
    </row>
    <row r="3">
      <c r="A3" s="6" t="inlineStr">
        <is>
          <t>3.10.2</t>
        </is>
      </c>
      <c r="B3" s="6" t="inlineStr">
        <is>
          <t>External Rotation Stability</t>
        </is>
      </c>
      <c r="C3" s="6" t="n">
        <v>3</v>
      </c>
      <c r="D3" s="6" t="n">
        <v>1119</v>
      </c>
      <c r="E3" s="6" t="inlineStr">
        <is>
          <t>biomechanics/external-rotation-stability.html</t>
        </is>
      </c>
    </row>
    <row r="4">
      <c r="A4" s="6" t="inlineStr">
        <is>
          <t>3.10.3</t>
        </is>
      </c>
      <c r="B4" s="6" t="inlineStr">
        <is>
          <t>LCL Function</t>
        </is>
      </c>
      <c r="C4" s="6" t="n">
        <v>3</v>
      </c>
      <c r="D4" s="6" t="n">
        <v>1037</v>
      </c>
      <c r="E4" s="6" t="inlineStr">
        <is>
          <t>biomechanics/lcl-function.html</t>
        </is>
      </c>
    </row>
    <row r="5">
      <c r="A5" s="6" t="inlineStr">
        <is>
          <t>3.10.4</t>
        </is>
      </c>
      <c r="B5" s="6" t="inlineStr">
        <is>
          <t>Popliteus Function</t>
        </is>
      </c>
      <c r="C5" s="6" t="n">
        <v>3</v>
      </c>
      <c r="D5" s="6" t="n">
        <v>1083</v>
      </c>
      <c r="E5" s="6" t="inlineStr">
        <is>
          <t>biomechanics/popliteus-function.html</t>
        </is>
      </c>
    </row>
    <row r="6">
      <c r="A6" s="6" t="inlineStr">
        <is>
          <t>3.10.5</t>
        </is>
      </c>
      <c r="B6" s="6" t="inlineStr">
        <is>
          <t>Popliteofibular Ligament Function</t>
        </is>
      </c>
      <c r="C6" s="6" t="n">
        <v>3</v>
      </c>
      <c r="D6" s="6" t="n">
        <v>1063</v>
      </c>
      <c r="E6" s="6" t="inlineStr">
        <is>
          <t>biomechanics/popliteofibular-ligament-function.html</t>
        </is>
      </c>
    </row>
    <row r="7">
      <c r="A7" s="6" t="inlineStr">
        <is>
          <t>3.10.6</t>
        </is>
      </c>
      <c r="B7" s="6" t="inlineStr">
        <is>
          <t>Posterolateral Corner Function</t>
        </is>
      </c>
      <c r="C7" s="6" t="n">
        <v>3</v>
      </c>
      <c r="D7" s="6" t="n">
        <v>1097</v>
      </c>
      <c r="E7" s="6" t="inlineStr">
        <is>
          <t>biomechanics/posterolateral-corner-function.html</t>
        </is>
      </c>
    </row>
    <row r="8">
      <c r="A8" s="6" t="inlineStr">
        <is>
          <t>3.10.7</t>
        </is>
      </c>
      <c r="B8" s="6" t="inlineStr">
        <is>
          <t>Dial Test Biomechanics</t>
        </is>
      </c>
      <c r="C8" s="6" t="n">
        <v>3</v>
      </c>
      <c r="D8" s="6" t="n">
        <v>1081</v>
      </c>
      <c r="E8" s="6" t="inlineStr">
        <is>
          <t>biomechanics/dial-test-biomechanics.html</t>
        </is>
      </c>
    </row>
    <row r="9">
      <c r="A9" s="6" t="inlineStr">
        <is>
          <t>3.10.8</t>
        </is>
      </c>
      <c r="B9" s="6" t="inlineStr">
        <is>
          <t>PLC Reconstruction Biomechanics</t>
        </is>
      </c>
      <c r="C9" s="6" t="n">
        <v>4</v>
      </c>
      <c r="D9" s="6" t="n">
        <v>1326</v>
      </c>
      <c r="E9" s="6" t="inlineStr">
        <is>
          <t>biomechanics/plc-reconstruction-biomechanics.html</t>
        </is>
      </c>
    </row>
    <row r="10">
      <c r="A10" s="6" t="inlineStr">
        <is>
          <t>3.10.9</t>
        </is>
      </c>
      <c r="B10" s="6" t="inlineStr">
        <is>
          <t>Combined PCL and PLC Injury</t>
        </is>
      </c>
      <c r="C10" s="6" t="n">
        <v>3</v>
      </c>
      <c r="D10" s="6" t="n">
        <v>980</v>
      </c>
      <c r="E10" s="6" t="inlineStr">
        <is>
          <t>biomechanics/combined-pcl-and-plc-injury.html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6"/>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3.10.1</t>
        </is>
      </c>
      <c r="B2" s="4" t="inlineStr">
        <is>
          <t>Varus Stability</t>
        </is>
      </c>
      <c r="C2" s="4" t="inlineStr">
        <is>
          <t>Lateral laxity is harder to detect and more consequential than its medial counterpart.</t>
        </is>
      </c>
    </row>
    <row r="3">
      <c r="A3" s="4" t="inlineStr">
        <is>
          <t>3.10.1</t>
        </is>
      </c>
      <c r="B3" s="4" t="inlineStr">
        <is>
          <t>Varus Stability</t>
        </is>
      </c>
      <c r="C3" s="4" t="inlineStr">
        <is>
          <t>Most clinically significant lateral injuries involve the corner.</t>
        </is>
      </c>
    </row>
    <row r="4">
      <c r="A4" s="4" t="inlineStr">
        <is>
          <t>3.10.1</t>
        </is>
      </c>
      <c r="B4" s="4" t="inlineStr">
        <is>
          <t>Varus Stability</t>
        </is>
      </c>
      <c r="C4" s="4" t="inlineStr">
        <is>
          <t>Varus alignment is the environmental factor, equivalent to slope anteriorly.</t>
        </is>
      </c>
    </row>
    <row r="5">
      <c r="A5" s="4" t="inlineStr">
        <is>
          <t>3.10.1</t>
        </is>
      </c>
      <c r="B5" s="4" t="inlineStr">
        <is>
          <t>Varus Stability</t>
        </is>
      </c>
      <c r="C5" s="4" t="inlineStr">
        <is>
          <t>A lateral reconstruction in a varus limb carries the load that stretched the original.</t>
        </is>
      </c>
    </row>
    <row r="6">
      <c r="A6" s="4" t="inlineStr">
        <is>
          <t>3.10.1</t>
        </is>
      </c>
      <c r="B6" s="4" t="inlineStr">
        <is>
          <t>Varus Stability</t>
        </is>
      </c>
      <c r="C6" s="4" t="inlineStr">
        <is>
          <t>The lateral structures stretch rather than heal.</t>
        </is>
      </c>
    </row>
    <row r="7">
      <c r="A7" s="4" t="inlineStr">
        <is>
          <t>3.10.2</t>
        </is>
      </c>
      <c r="B7" s="4" t="inlineStr">
        <is>
          <t>External Rotation Stability</t>
        </is>
      </c>
      <c r="C7" s="4" t="inlineStr">
        <is>
          <t>External rotation laxity defines the corner injury and drives the operation.</t>
        </is>
      </c>
    </row>
    <row r="8">
      <c r="A8" s="4" t="inlineStr">
        <is>
          <t>3.10.2</t>
        </is>
      </c>
      <c r="B8" s="4" t="inlineStr">
        <is>
          <t>External Rotation Stability</t>
        </is>
      </c>
      <c r="C8" s="4" t="inlineStr">
        <is>
          <t>A missed corner injury is a leading cause of graft failure on both cruciates.</t>
        </is>
      </c>
    </row>
    <row r="9">
      <c r="A9" s="4" t="inlineStr">
        <is>
          <t>3.10.2</t>
        </is>
      </c>
      <c r="B9" s="4" t="inlineStr">
        <is>
          <t>External Rotation Stability</t>
        </is>
      </c>
      <c r="C9" s="4" t="inlineStr">
        <is>
          <t>The assessment is routine in cruciate surgery, not a specialist extra.</t>
        </is>
      </c>
    </row>
    <row r="10">
      <c r="A10" s="4" t="inlineStr">
        <is>
          <t>3.10.2</t>
        </is>
      </c>
      <c r="B10" s="4" t="inlineStr">
        <is>
          <t>External Rotation Stability</t>
        </is>
      </c>
      <c r="C10" s="4" t="inlineStr">
        <is>
          <t>Chronic corner laxity in a varus limb defeats reconstruction.</t>
        </is>
      </c>
    </row>
    <row r="11">
      <c r="A11" s="4" t="inlineStr">
        <is>
          <t>3.10.2</t>
        </is>
      </c>
      <c r="B11" s="4" t="inlineStr">
        <is>
          <t>External Rotation Stability</t>
        </is>
      </c>
      <c r="C11" s="4" t="inlineStr">
        <is>
          <t>No clinical measurement quantifies the rotatory component reproducibly.</t>
        </is>
      </c>
    </row>
    <row r="12">
      <c r="A12" s="4" t="inlineStr">
        <is>
          <t>3.10.3</t>
        </is>
      </c>
      <c r="B12" s="4" t="inlineStr">
        <is>
          <t>LCL Function</t>
        </is>
      </c>
      <c r="C12" s="4" t="inlineStr">
        <is>
          <t>This ligament is the easier half of a lateral reconstruction; the corner is the harder.</t>
        </is>
      </c>
    </row>
    <row r="13">
      <c r="A13" s="4" t="inlineStr">
        <is>
          <t>3.10.3</t>
        </is>
      </c>
      <c r="B13" s="4" t="inlineStr">
        <is>
          <t>LCL Function</t>
        </is>
      </c>
      <c r="C13" s="4" t="inlineStr">
        <is>
          <t>Reconstructing it alone leaves rotational laxity.</t>
        </is>
      </c>
    </row>
    <row r="14">
      <c r="A14" s="4" t="inlineStr">
        <is>
          <t>3.10.3</t>
        </is>
      </c>
      <c r="B14" s="4" t="inlineStr">
        <is>
          <t>LCL Function</t>
        </is>
      </c>
      <c r="C14" s="4" t="inlineStr">
        <is>
          <t>That is the lateral equivalent of reconstructing the superficial medial ligament alone.</t>
        </is>
      </c>
    </row>
    <row r="15">
      <c r="A15" s="4" t="inlineStr">
        <is>
          <t>3.10.3</t>
        </is>
      </c>
      <c r="B15" s="4" t="inlineStr">
        <is>
          <t>LCL Function</t>
        </is>
      </c>
      <c r="C15" s="4" t="inlineStr">
        <is>
          <t>Poor healing is why lateral injuries are operated on more often than medial ones.</t>
        </is>
      </c>
    </row>
    <row r="16">
      <c r="A16" s="4" t="inlineStr">
        <is>
          <t>3.10.3</t>
        </is>
      </c>
      <c r="B16" s="4" t="inlineStr">
        <is>
          <t>LCL Function</t>
        </is>
      </c>
      <c r="C16" s="4" t="inlineStr">
        <is>
          <t>A chronic lateral laxity rarely improves with time.</t>
        </is>
      </c>
    </row>
    <row r="17">
      <c r="A17" s="4" t="inlineStr">
        <is>
          <t>3.10.4</t>
        </is>
      </c>
      <c r="B17" s="4" t="inlineStr">
        <is>
          <t>Popliteus Function</t>
        </is>
      </c>
      <c r="C17" s="4" t="inlineStr">
        <is>
          <t>Anatomic corner reconstruction is a three component operation.</t>
        </is>
      </c>
    </row>
    <row r="18">
      <c r="A18" s="4" t="inlineStr">
        <is>
          <t>3.10.4</t>
        </is>
      </c>
      <c r="B18" s="4" t="inlineStr">
        <is>
          <t>Popliteus Function</t>
        </is>
      </c>
      <c r="C18" s="4" t="inlineStr">
        <is>
          <t>Reconstructing all three restores restraint better than a subset.</t>
        </is>
      </c>
    </row>
    <row r="19">
      <c r="A19" s="4" t="inlineStr">
        <is>
          <t>3.10.4</t>
        </is>
      </c>
      <c r="B19" s="4" t="inlineStr">
        <is>
          <t>Popliteus Function</t>
        </is>
      </c>
      <c r="C19" s="4" t="inlineStr">
        <is>
          <t>The active component cannot be reconstructed.</t>
        </is>
      </c>
    </row>
    <row r="20">
      <c r="A20" s="4" t="inlineStr">
        <is>
          <t>3.10.4</t>
        </is>
      </c>
      <c r="B20" s="4" t="inlineStr">
        <is>
          <t>Popliteus Function</t>
        </is>
      </c>
      <c r="C20" s="4" t="inlineStr">
        <is>
          <t>A graft replaces the passive restraint only.</t>
        </is>
      </c>
    </row>
    <row r="21">
      <c r="A21" s="4" t="inlineStr">
        <is>
          <t>3.10.4</t>
        </is>
      </c>
      <c r="B21" s="4" t="inlineStr">
        <is>
          <t>Popliteus Function</t>
        </is>
      </c>
      <c r="C21" s="4" t="inlineStr">
        <is>
          <t>The femoral origins are close together, so position needs confirming.</t>
        </is>
      </c>
    </row>
    <row r="22">
      <c r="A22" s="4" t="inlineStr">
        <is>
          <t>3.10.5</t>
        </is>
      </c>
      <c r="B22" s="4" t="inlineStr">
        <is>
          <t>Popliteofibular Ligament Function</t>
        </is>
      </c>
      <c r="C22" s="4" t="inlineStr">
        <is>
          <t>Reconstructing it distinguishes an anatomic corner procedure from a tenodesis.</t>
        </is>
      </c>
    </row>
    <row r="23">
      <c r="A23" s="4" t="inlineStr">
        <is>
          <t>3.10.5</t>
        </is>
      </c>
      <c r="B23" s="4" t="inlineStr">
        <is>
          <t>Popliteofibular Ligament Function</t>
        </is>
      </c>
      <c r="C23" s="4" t="inlineStr">
        <is>
          <t>A limb in the wrong orientation restrains the wrong motion.</t>
        </is>
      </c>
    </row>
    <row r="24">
      <c r="A24" s="4" t="inlineStr">
        <is>
          <t>3.10.5</t>
        </is>
      </c>
      <c r="B24" s="4" t="inlineStr">
        <is>
          <t>Popliteofibular Ligament Function</t>
        </is>
      </c>
      <c r="C24" s="4" t="inlineStr">
        <is>
          <t>The fibular head is crowded and fragile.</t>
        </is>
      </c>
    </row>
    <row r="25">
      <c r="A25" s="4" t="inlineStr">
        <is>
          <t>3.10.5</t>
        </is>
      </c>
      <c r="B25" s="4" t="inlineStr">
        <is>
          <t>Popliteofibular Ligament Function</t>
        </is>
      </c>
      <c r="C25" s="4" t="inlineStr">
        <is>
          <t>A styloid avulsion changes the operation.</t>
        </is>
      </c>
    </row>
    <row r="26">
      <c r="A26" s="4" t="inlineStr">
        <is>
          <t>3.10.5</t>
        </is>
      </c>
      <c r="B26" s="4" t="inlineStr">
        <is>
          <t>Popliteofibular Ligament Function</t>
        </is>
      </c>
      <c r="C26" s="4" t="inlineStr">
        <is>
          <t>No measurement confirms this limb carries the intended load.</t>
        </is>
      </c>
    </row>
    <row r="27">
      <c r="A27" s="4" t="inlineStr">
        <is>
          <t>3.10.6</t>
        </is>
      </c>
      <c r="B27" s="4" t="inlineStr">
        <is>
          <t>Posterolateral Corner Function</t>
        </is>
      </c>
      <c r="C27" s="4" t="inlineStr">
        <is>
          <t>Corner assessment belongs in every cruciate operation.</t>
        </is>
      </c>
    </row>
    <row r="28">
      <c r="A28" s="4" t="inlineStr">
        <is>
          <t>3.10.6</t>
        </is>
      </c>
      <c r="B28" s="4" t="inlineStr">
        <is>
          <t>Posterolateral Corner Function</t>
        </is>
      </c>
      <c r="C28" s="4" t="inlineStr">
        <is>
          <t>A missed corner injury is a leading cause of graft failure for both cruciates.</t>
        </is>
      </c>
    </row>
    <row r="29">
      <c r="A29" s="4" t="inlineStr">
        <is>
          <t>3.10.6</t>
        </is>
      </c>
      <c r="B29" s="4" t="inlineStr">
        <is>
          <t>Posterolateral Corner Function</t>
        </is>
      </c>
      <c r="C29" s="4" t="inlineStr">
        <is>
          <t>Chronic corner deficiency is least forgiving: it heals badly and varus loads it.</t>
        </is>
      </c>
    </row>
    <row r="30">
      <c r="A30" s="4" t="inlineStr">
        <is>
          <t>3.10.6</t>
        </is>
      </c>
      <c r="B30" s="4" t="inlineStr">
        <is>
          <t>Posterolateral Corner Function</t>
        </is>
      </c>
      <c r="C30" s="4" t="inlineStr">
        <is>
          <t>Reconstruction is anatomic and three component where graft allows.</t>
        </is>
      </c>
    </row>
    <row r="31">
      <c r="A31" s="4" t="inlineStr">
        <is>
          <t>3.10.6</t>
        </is>
      </c>
      <c r="B31" s="4" t="inlineStr">
        <is>
          <t>Posterolateral Corner Function</t>
        </is>
      </c>
      <c r="C31" s="4" t="inlineStr">
        <is>
          <t>Revision findings are the evidence the corner was missed.</t>
        </is>
      </c>
    </row>
    <row r="32">
      <c r="A32" s="4" t="inlineStr">
        <is>
          <t>3.10.7</t>
        </is>
      </c>
      <c r="B32" s="4" t="inlineStr">
        <is>
          <t>Dial Test Biomechanics</t>
        </is>
      </c>
      <c r="C32" s="4" t="inlineStr">
        <is>
          <t>The dial test is an intraoperative check as well as a clinical one.</t>
        </is>
      </c>
    </row>
    <row r="33">
      <c r="A33" s="4" t="inlineStr">
        <is>
          <t>3.10.7</t>
        </is>
      </c>
      <c r="B33" s="4" t="inlineStr">
        <is>
          <t>Dial Test Biomechanics</t>
        </is>
      </c>
      <c r="C33" s="4" t="inlineStr">
        <is>
          <t>It says whether the corner reconstruction worked.</t>
        </is>
      </c>
    </row>
    <row r="34">
      <c r="A34" s="4" t="inlineStr">
        <is>
          <t>3.10.7</t>
        </is>
      </c>
      <c r="B34" s="4" t="inlineStr">
        <is>
          <t>Dial Test Biomechanics</t>
        </is>
      </c>
      <c r="C34" s="4" t="inlineStr">
        <is>
          <t>Having no instrument limits its use as an outcome measure, not as a check.</t>
        </is>
      </c>
    </row>
    <row r="35">
      <c r="A35" s="4" t="inlineStr">
        <is>
          <t>3.10.7</t>
        </is>
      </c>
      <c r="B35" s="4" t="inlineStr">
        <is>
          <t>Dial Test Biomechanics</t>
        </is>
      </c>
      <c r="C35" s="4" t="inlineStr">
        <is>
          <t>A residual positive test after reconstruction predicts a poorer result.</t>
        </is>
      </c>
    </row>
    <row r="36">
      <c r="A36" s="4" t="inlineStr">
        <is>
          <t>3.10.7</t>
        </is>
      </c>
      <c r="B36" s="4" t="inlineStr">
        <is>
          <t>Dial Test Biomechanics</t>
        </is>
      </c>
      <c r="C36" s="4" t="inlineStr">
        <is>
          <t>Investigate a residual positive test before leaving theatre.</t>
        </is>
      </c>
    </row>
    <row r="37">
      <c r="A37" s="4" t="inlineStr">
        <is>
          <t>3.10.8</t>
        </is>
      </c>
      <c r="B37" s="4" t="inlineStr">
        <is>
          <t>PLC Reconstruction Biomechanics</t>
        </is>
      </c>
      <c r="C37" s="4" t="inlineStr">
        <is>
          <t>The problem is a multiligament knee with a varus deformity and a stretched corner.</t>
        </is>
      </c>
    </row>
    <row r="38">
      <c r="A38" s="4" t="inlineStr">
        <is>
          <t>3.10.8</t>
        </is>
      </c>
      <c r="B38" s="4" t="inlineStr">
        <is>
          <t>PLC Reconstruction Biomechanics</t>
        </is>
      </c>
      <c r="C38" s="4" t="inlineStr">
        <is>
          <t>Staging is the main tool and the sequence follows the mechanics.</t>
        </is>
      </c>
    </row>
    <row r="39">
      <c r="A39" s="4" t="inlineStr">
        <is>
          <t>3.10.8</t>
        </is>
      </c>
      <c r="B39" s="4" t="inlineStr">
        <is>
          <t>PLC Reconstruction Biomechanics</t>
        </is>
      </c>
      <c r="C39" s="4" t="inlineStr">
        <is>
          <t>Corner tunnels compete with a posterior cruciate tibial tunnel.</t>
        </is>
      </c>
    </row>
    <row r="40">
      <c r="A40" s="4" t="inlineStr">
        <is>
          <t>3.10.8</t>
        </is>
      </c>
      <c r="B40" s="4" t="inlineStr">
        <is>
          <t>PLC Reconstruction Biomechanics</t>
        </is>
      </c>
      <c r="C40" s="4" t="inlineStr">
        <is>
          <t>An inlay for the posterior cruciate frees tibial tunnel space.</t>
        </is>
      </c>
    </row>
    <row r="41">
      <c r="A41" s="4" t="inlineStr">
        <is>
          <t>3.10.8</t>
        </is>
      </c>
      <c r="B41" s="4" t="inlineStr">
        <is>
          <t>PLC Reconstruction Biomechanics</t>
        </is>
      </c>
      <c r="C41" s="4" t="inlineStr">
        <is>
          <t>No measurement establishes the optimal sequence.</t>
        </is>
      </c>
    </row>
    <row r="42">
      <c r="A42" s="4" t="inlineStr">
        <is>
          <t>3.10.9</t>
        </is>
      </c>
      <c r="B42" s="4" t="inlineStr">
        <is>
          <t>Combined PCL and PLC Injury</t>
        </is>
      </c>
      <c r="C42" s="4" t="inlineStr">
        <is>
          <t>The environment, the structures and the alignment all have to be addressed.</t>
        </is>
      </c>
    </row>
    <row r="43">
      <c r="A43" s="4" t="inlineStr">
        <is>
          <t>3.10.9</t>
        </is>
      </c>
      <c r="B43" s="4" t="inlineStr">
        <is>
          <t>Combined PCL and PLC Injury</t>
        </is>
      </c>
      <c r="C43" s="4" t="inlineStr">
        <is>
          <t>Reconstructing one leaves the loads that defeated it.</t>
        </is>
      </c>
    </row>
    <row r="44">
      <c r="A44" s="4" t="inlineStr">
        <is>
          <t>3.10.9</t>
        </is>
      </c>
      <c r="B44" s="4" t="inlineStr">
        <is>
          <t>Combined PCL and PLC Injury</t>
        </is>
      </c>
      <c r="C44" s="4" t="inlineStr">
        <is>
          <t>Tunnel convergence decides the technique and argues for an inlay.</t>
        </is>
      </c>
    </row>
    <row r="45">
      <c r="A45" s="4" t="inlineStr">
        <is>
          <t>3.10.9</t>
        </is>
      </c>
      <c r="B45" s="4" t="inlineStr">
        <is>
          <t>Combined PCL and PLC Injury</t>
        </is>
      </c>
      <c r="C45" s="4" t="inlineStr">
        <is>
          <t>Multiligament series are small and heterogeneous.</t>
        </is>
      </c>
    </row>
    <row r="46">
      <c r="A46" s="4" t="inlineStr">
        <is>
          <t>3.10.9</t>
        </is>
      </c>
      <c r="B46" s="4" t="inlineStr">
        <is>
          <t>Combined PCL and PLC Injury</t>
        </is>
      </c>
      <c r="C46" s="4" t="inlineStr">
        <is>
          <t>Outcomes in this combination are worse than in isolated injury.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3.10.1-P1</t>
        </is>
      </c>
      <c r="B3" s="4" t="inlineStr">
        <is>
          <t>3.10.1</t>
        </is>
      </c>
      <c r="C3" s="4" t="inlineStr">
        <is>
          <t>mrcs</t>
        </is>
      </c>
      <c r="D3" s="4" t="inlineStr">
        <is>
          <t>Use varus stress radiography where the grade decides the treatment.</t>
        </is>
      </c>
      <c r="E3" s="4" t="inlineStr"/>
      <c r="F3" s="4" t="inlineStr"/>
      <c r="G3" s="4" t="inlineStr"/>
    </row>
    <row r="4">
      <c r="A4" s="4" t="inlineStr">
        <is>
          <t>3.10.1-P2</t>
        </is>
      </c>
      <c r="B4" s="4" t="inlineStr">
        <is>
          <t>3.10.1</t>
        </is>
      </c>
      <c r="C4" s="4" t="inlineStr">
        <is>
          <t>mrcs</t>
        </is>
      </c>
      <c r="D4" s="4" t="inlineStr">
        <is>
          <t>Examine under anaesthetic, because lateral findings are subtler than medial ones.</t>
        </is>
      </c>
      <c r="E4" s="4" t="inlineStr"/>
      <c r="F4" s="4" t="inlineStr"/>
      <c r="G4" s="4" t="inlineStr"/>
    </row>
    <row r="5">
      <c r="A5" s="4" t="inlineStr">
        <is>
          <t>3.10.1-P3</t>
        </is>
      </c>
      <c r="B5" s="4" t="inlineStr">
        <is>
          <t>3.10.1</t>
        </is>
      </c>
      <c r="C5" s="4" t="inlineStr">
        <is>
          <t>mrcs</t>
        </is>
      </c>
      <c r="D5" s="4" t="inlineStr">
        <is>
          <t>Assess alignment, since varus loads the lateral structures in stance.</t>
        </is>
      </c>
      <c r="E5" s="4" t="inlineStr"/>
      <c r="F5" s="4" t="inlineStr"/>
      <c r="G5" s="4" t="inlineStr"/>
    </row>
    <row r="6">
      <c r="A6" s="4" t="inlineStr">
        <is>
          <t>3.10.1-P4</t>
        </is>
      </c>
      <c r="B6" s="4" t="inlineStr">
        <is>
          <t>3.10.1</t>
        </is>
      </c>
      <c r="C6" s="4" t="inlineStr">
        <is>
          <t>frcs</t>
        </is>
      </c>
      <c r="D6" s="4" t="inlineStr">
        <is>
          <t>Treat lateral laxity as the finding that is harder to detect and more consequential than its medial counterpart, because the structures heal badly and the alignment usually works against them.</t>
        </is>
      </c>
      <c r="E6" s="4" t="inlineStr"/>
      <c r="F6" s="4" t="inlineStr"/>
      <c r="G6" s="4" t="inlineStr"/>
    </row>
    <row r="7">
      <c r="A7" s="4" t="inlineStr">
        <is>
          <t>3.10.1-P5</t>
        </is>
      </c>
      <c r="B7" s="4" t="inlineStr">
        <is>
          <t>3.10.1</t>
        </is>
      </c>
      <c r="C7" s="4" t="inlineStr">
        <is>
          <t>frcs</t>
        </is>
      </c>
      <c r="D7" s="4" t="inlineStr">
        <is>
          <t>Measure alignment before planning a lateral reconstruction.</t>
        </is>
      </c>
      <c r="E7" s="4" t="inlineStr"/>
      <c r="F7" s="4" t="inlineStr"/>
      <c r="G7" s="4" t="inlineStr"/>
    </row>
    <row r="8">
      <c r="A8" s="4" t="inlineStr">
        <is>
          <t>3.10.1-P6</t>
        </is>
      </c>
      <c r="B8" s="4" t="inlineStr">
        <is>
          <t>3.10.1</t>
        </is>
      </c>
      <c r="C8" s="4" t="inlineStr">
        <is>
          <t>frcs</t>
        </is>
      </c>
      <c r="D8" s="4" t="inlineStr">
        <is>
          <t>Use varus stress radiography rather than grading by hand where the treatment turns on it.</t>
        </is>
      </c>
      <c r="E8" s="4" t="inlineStr"/>
      <c r="F8" s="4" t="inlineStr"/>
      <c r="G8" s="4" t="inlineStr"/>
    </row>
    <row r="9">
      <c r="A9" s="4" t="inlineStr">
        <is>
          <t>3.10.1-P7</t>
        </is>
      </c>
      <c r="B9" s="4" t="inlineStr">
        <is>
          <t>3.10.1</t>
        </is>
      </c>
      <c r="C9" s="4" t="inlineStr">
        <is>
          <t>frcs</t>
        </is>
      </c>
      <c r="D9" s="4" t="inlineStr">
        <is>
          <t>Expect the lateral structures to stretch rather than heal.</t>
        </is>
      </c>
      <c r="E9" s="4" t="inlineStr"/>
      <c r="F9" s="4" t="inlineStr"/>
      <c r="G9" s="4" t="inlineStr"/>
    </row>
    <row r="10">
      <c r="A10" s="4" t="inlineStr">
        <is>
          <t>3.10.2-P1</t>
        </is>
      </c>
      <c r="B10" s="4" t="inlineStr">
        <is>
          <t>3.10.2</t>
        </is>
      </c>
      <c r="C10" s="4" t="inlineStr">
        <is>
          <t>mrcs</t>
        </is>
      </c>
      <c r="D10" s="4" t="inlineStr">
        <is>
          <t>Read an increase at 90 degrees as implicating the posterior cruciate.</t>
        </is>
      </c>
      <c r="E10" s="4" t="inlineStr"/>
      <c r="F10" s="4" t="inlineStr"/>
      <c r="G10" s="4" t="inlineStr"/>
    </row>
    <row r="11">
      <c r="A11" s="4" t="inlineStr">
        <is>
          <t>3.10.2-P2</t>
        </is>
      </c>
      <c r="B11" s="4" t="inlineStr">
        <is>
          <t>3.10.2</t>
        </is>
      </c>
      <c r="C11" s="4" t="inlineStr">
        <is>
          <t>mrcs</t>
        </is>
      </c>
      <c r="D11" s="4" t="inlineStr">
        <is>
          <t>Expect a popliteus injury to remove an active restraint as well as a passive one.</t>
        </is>
      </c>
      <c r="E11" s="4" t="inlineStr"/>
      <c r="F11" s="4" t="inlineStr"/>
      <c r="G11" s="4" t="inlineStr"/>
    </row>
    <row r="12">
      <c r="A12" s="4" t="inlineStr">
        <is>
          <t>3.10.2-P3</t>
        </is>
      </c>
      <c r="B12" s="4" t="inlineStr">
        <is>
          <t>3.10.2</t>
        </is>
      </c>
      <c r="C12" s="4" t="inlineStr">
        <is>
          <t>mrcs</t>
        </is>
      </c>
      <c r="D12" s="4" t="inlineStr">
        <is>
          <t>Accept that no routine instrument quantifies this laxity.</t>
        </is>
      </c>
      <c r="E12" s="4" t="inlineStr"/>
      <c r="F12" s="4" t="inlineStr"/>
      <c r="G12" s="4" t="inlineStr"/>
    </row>
    <row r="13">
      <c r="A13" s="4" t="inlineStr">
        <is>
          <t>3.10.2-P4</t>
        </is>
      </c>
      <c r="B13" s="4" t="inlineStr">
        <is>
          <t>3.10.2</t>
        </is>
      </c>
      <c r="C13" s="4" t="inlineStr">
        <is>
          <t>frcs</t>
        </is>
      </c>
      <c r="D13" s="4" t="inlineStr">
        <is>
          <t>Treat external rotation laxity as the finding that defines the corner injury and drives the operation, and the two angle comparison as the finding that defines its company.</t>
        </is>
      </c>
      <c r="E13" s="4" t="inlineStr"/>
      <c r="F13" s="4" t="inlineStr"/>
      <c r="G13" s="4" t="inlineStr"/>
    </row>
    <row r="14">
      <c r="A14" s="4" t="inlineStr">
        <is>
          <t>3.10.2-P5</t>
        </is>
      </c>
      <c r="B14" s="4" t="inlineStr">
        <is>
          <t>3.10.2</t>
        </is>
      </c>
      <c r="C14" s="4" t="inlineStr">
        <is>
          <t>frcs</t>
        </is>
      </c>
      <c r="D14" s="4" t="inlineStr">
        <is>
          <t>Read the 30 and 90 degree comparison to establish what else is injured.</t>
        </is>
      </c>
      <c r="E14" s="4" t="inlineStr"/>
      <c r="F14" s="4" t="inlineStr"/>
      <c r="G14" s="4" t="inlineStr"/>
    </row>
    <row r="15">
      <c r="A15" s="4" t="inlineStr">
        <is>
          <t>3.10.2-P6</t>
        </is>
      </c>
      <c r="B15" s="4" t="inlineStr">
        <is>
          <t>3.10.2</t>
        </is>
      </c>
      <c r="C15" s="4" t="inlineStr">
        <is>
          <t>frcs</t>
        </is>
      </c>
      <c r="D15" s="4" t="inlineStr">
        <is>
          <t>Correct varus alignment where it would load a corner reconstruction.</t>
        </is>
      </c>
      <c r="E15" s="4" t="inlineStr"/>
      <c r="F15" s="4" t="inlineStr"/>
      <c r="G15" s="4" t="inlineStr"/>
    </row>
    <row r="16">
      <c r="A16" s="4" t="inlineStr">
        <is>
          <t>3.10.2-P7</t>
        </is>
      </c>
      <c r="B16" s="4" t="inlineStr">
        <is>
          <t>3.10.2</t>
        </is>
      </c>
      <c r="C16" s="4" t="inlineStr">
        <is>
          <t>frcs</t>
        </is>
      </c>
      <c r="D16" s="4" t="inlineStr">
        <is>
          <t>Accept that the rotatory component cannot be quantified clinically.</t>
        </is>
      </c>
      <c r="E16" s="4" t="inlineStr"/>
      <c r="F16" s="4" t="inlineStr"/>
      <c r="G16" s="4" t="inlineStr"/>
    </row>
    <row r="17">
      <c r="A17" s="4" t="inlineStr">
        <is>
          <t>3.10.3-P1</t>
        </is>
      </c>
      <c r="B17" s="4" t="inlineStr">
        <is>
          <t>3.10.3</t>
        </is>
      </c>
      <c r="C17" s="4" t="inlineStr">
        <is>
          <t>mrcs</t>
        </is>
      </c>
      <c r="D17" s="4" t="inlineStr">
        <is>
          <t>Identify the avulsion site, since it affects whether repair is possible.</t>
        </is>
      </c>
      <c r="E17" s="4" t="inlineStr"/>
      <c r="F17" s="4" t="inlineStr"/>
      <c r="G17" s="4" t="inlineStr"/>
    </row>
    <row r="18">
      <c r="A18" s="4" t="inlineStr">
        <is>
          <t>3.10.3-P2</t>
        </is>
      </c>
      <c r="B18" s="4" t="inlineStr">
        <is>
          <t>3.10.3</t>
        </is>
      </c>
      <c r="C18" s="4" t="inlineStr">
        <is>
          <t>mrcs</t>
        </is>
      </c>
      <c r="D18" s="4" t="inlineStr">
        <is>
          <t>Expect corner involvement alongside a significant injury.</t>
        </is>
      </c>
      <c r="E18" s="4" t="inlineStr"/>
      <c r="F18" s="4" t="inlineStr"/>
      <c r="G18" s="4" t="inlineStr"/>
    </row>
    <row r="19">
      <c r="A19" s="4" t="inlineStr">
        <is>
          <t>3.10.3-P3</t>
        </is>
      </c>
      <c r="B19" s="4" t="inlineStr">
        <is>
          <t>3.10.3</t>
        </is>
      </c>
      <c r="C19" s="4" t="inlineStr">
        <is>
          <t>mrcs</t>
        </is>
      </c>
      <c r="D19" s="4" t="inlineStr">
        <is>
          <t>Place a reconstruction's femoral attachment proximal and posterior to the epicondyle.</t>
        </is>
      </c>
      <c r="E19" s="4" t="inlineStr"/>
      <c r="F19" s="4" t="inlineStr"/>
      <c r="G19" s="4" t="inlineStr"/>
    </row>
    <row r="20">
      <c r="A20" s="4" t="inlineStr">
        <is>
          <t>3.10.3-P4</t>
        </is>
      </c>
      <c r="B20" s="4" t="inlineStr">
        <is>
          <t>3.10.3</t>
        </is>
      </c>
      <c r="C20" s="4" t="inlineStr">
        <is>
          <t>frcs</t>
        </is>
      </c>
      <c r="D20" s="4" t="inlineStr">
        <is>
          <t>Treat this ligament as the easier half of a lateral reconstruction and the corner as the harder half.</t>
        </is>
      </c>
      <c r="E20" s="4" t="inlineStr"/>
      <c r="F20" s="4" t="inlineStr"/>
      <c r="G20" s="4" t="inlineStr"/>
    </row>
    <row r="21">
      <c r="A21" s="4" t="inlineStr">
        <is>
          <t>3.10.3-P5</t>
        </is>
      </c>
      <c r="B21" s="4" t="inlineStr">
        <is>
          <t>3.10.3</t>
        </is>
      </c>
      <c r="C21" s="4" t="inlineStr">
        <is>
          <t>frcs</t>
        </is>
      </c>
      <c r="D21" s="4" t="inlineStr">
        <is>
          <t>Place the attachments anatomically, since they are identifiable here.</t>
        </is>
      </c>
      <c r="E21" s="4" t="inlineStr"/>
      <c r="F21" s="4" t="inlineStr"/>
      <c r="G21" s="4" t="inlineStr"/>
    </row>
    <row r="22">
      <c r="A22" s="4" t="inlineStr">
        <is>
          <t>3.10.3-P6</t>
        </is>
      </c>
      <c r="B22" s="4" t="inlineStr">
        <is>
          <t>3.10.3</t>
        </is>
      </c>
      <c r="C22" s="4" t="inlineStr">
        <is>
          <t>frcs</t>
        </is>
      </c>
      <c r="D22" s="4" t="inlineStr">
        <is>
          <t>Correct varus alignment where it would load the construct.</t>
        </is>
      </c>
      <c r="E22" s="4" t="inlineStr"/>
      <c r="F22" s="4" t="inlineStr"/>
      <c r="G22" s="4" t="inlineStr"/>
    </row>
    <row r="23">
      <c r="A23" s="4" t="inlineStr">
        <is>
          <t>3.10.3-P7</t>
        </is>
      </c>
      <c r="B23" s="4" t="inlineStr">
        <is>
          <t>3.10.3</t>
        </is>
      </c>
      <c r="C23" s="4" t="inlineStr">
        <is>
          <t>frcs</t>
        </is>
      </c>
      <c r="D23" s="4" t="inlineStr">
        <is>
          <t>Expect a chronic lateral laxity not to improve with time.</t>
        </is>
      </c>
      <c r="E23" s="4" t="inlineStr"/>
      <c r="F23" s="4" t="inlineStr"/>
      <c r="G23" s="4" t="inlineStr"/>
    </row>
    <row r="24">
      <c r="A24" s="4" t="inlineStr">
        <is>
          <t>3.10.4-P1</t>
        </is>
      </c>
      <c r="B24" s="4" t="inlineStr">
        <is>
          <t>3.10.4</t>
        </is>
      </c>
      <c r="C24" s="4" t="inlineStr">
        <is>
          <t>mrcs</t>
        </is>
      </c>
      <c r="D24" s="4" t="inlineStr">
        <is>
          <t>Treat it as a complex and name the component when discussing injury or reconstruction.</t>
        </is>
      </c>
      <c r="E24" s="4" t="inlineStr"/>
      <c r="F24" s="4" t="inlineStr"/>
      <c r="G24" s="4" t="inlineStr"/>
    </row>
    <row r="25">
      <c r="A25" s="4" t="inlineStr">
        <is>
          <t>3.10.4-P2</t>
        </is>
      </c>
      <c r="B25" s="4" t="inlineStr">
        <is>
          <t>3.10.4</t>
        </is>
      </c>
      <c r="C25" s="4" t="inlineStr">
        <is>
          <t>mrcs</t>
        </is>
      </c>
      <c r="D25" s="4" t="inlineStr">
        <is>
          <t>Expect its loss to remove an active and a passive restraint in the same direction.</t>
        </is>
      </c>
      <c r="E25" s="4" t="inlineStr"/>
      <c r="F25" s="4" t="inlineStr"/>
      <c r="G25" s="4" t="inlineStr"/>
    </row>
    <row r="26">
      <c r="A26" s="4" t="inlineStr">
        <is>
          <t>3.10.4-P3</t>
        </is>
      </c>
      <c r="B26" s="4" t="inlineStr">
        <is>
          <t>3.10.4</t>
        </is>
      </c>
      <c r="C26" s="4" t="inlineStr">
        <is>
          <t>mrcs</t>
        </is>
      </c>
      <c r="D26" s="4" t="inlineStr">
        <is>
          <t>Read apportionment variation as reflecting different sectioning of the complex.</t>
        </is>
      </c>
      <c r="E26" s="4" t="inlineStr"/>
      <c r="F26" s="4" t="inlineStr"/>
      <c r="G26" s="4" t="inlineStr"/>
    </row>
    <row r="27">
      <c r="A27" s="4" t="inlineStr">
        <is>
          <t>3.10.4-P4</t>
        </is>
      </c>
      <c r="B27" s="4" t="inlineStr">
        <is>
          <t>3.10.4</t>
        </is>
      </c>
      <c r="C27" s="4" t="inlineStr">
        <is>
          <t>frcs</t>
        </is>
      </c>
      <c r="D27" s="4" t="inlineStr">
        <is>
          <t>Treat the complex as the structure that makes anatomic corner reconstruction a three component operation: the lateral collateral, the popliteus tendon and the popliteofibular ligament.</t>
        </is>
      </c>
      <c r="E27" s="4" t="inlineStr"/>
      <c r="F27" s="4" t="inlineStr"/>
      <c r="G27" s="4" t="inlineStr"/>
    </row>
    <row r="28">
      <c r="A28" s="4" t="inlineStr">
        <is>
          <t>3.10.4-P5</t>
        </is>
      </c>
      <c r="B28" s="4" t="inlineStr">
        <is>
          <t>3.10.4</t>
        </is>
      </c>
      <c r="C28" s="4" t="inlineStr">
        <is>
          <t>frcs</t>
        </is>
      </c>
      <c r="D28" s="4" t="inlineStr">
        <is>
          <t>State that the muscle's active roles are not restored by a graft.</t>
        </is>
      </c>
      <c r="E28" s="4" t="inlineStr"/>
      <c r="F28" s="4" t="inlineStr"/>
      <c r="G28" s="4" t="inlineStr"/>
    </row>
    <row r="29">
      <c r="A29" s="4" t="inlineStr">
        <is>
          <t>3.10.4-P6</t>
        </is>
      </c>
      <c r="B29" s="4" t="inlineStr">
        <is>
          <t>3.10.4</t>
        </is>
      </c>
      <c r="C29" s="4" t="inlineStr">
        <is>
          <t>frcs</t>
        </is>
      </c>
      <c r="D29" s="4" t="inlineStr">
        <is>
          <t>Confirm tunnel positions on imaging, since the femoral origins are close together.</t>
        </is>
      </c>
      <c r="E29" s="4" t="inlineStr"/>
      <c r="F29" s="4" t="inlineStr"/>
      <c r="G29" s="4" t="inlineStr"/>
    </row>
    <row r="30">
      <c r="A30" s="4" t="inlineStr">
        <is>
          <t>3.10.4-P7</t>
        </is>
      </c>
      <c r="B30" s="4" t="inlineStr">
        <is>
          <t>3.10.4</t>
        </is>
      </c>
      <c r="C30" s="4" t="inlineStr">
        <is>
          <t>frcs</t>
        </is>
      </c>
      <c r="D30" s="4" t="inlineStr">
        <is>
          <t>Correct alignment, since the construct cannot carry a varus limb's load.</t>
        </is>
      </c>
      <c r="E30" s="4" t="inlineStr"/>
      <c r="F30" s="4" t="inlineStr"/>
      <c r="G30" s="4" t="inlineStr"/>
    </row>
    <row r="31">
      <c r="A31" s="4" t="inlineStr">
        <is>
          <t>3.10.5-P1</t>
        </is>
      </c>
      <c r="B31" s="4" t="inlineStr">
        <is>
          <t>3.10.5</t>
        </is>
      </c>
      <c r="C31" s="4" t="inlineStr">
        <is>
          <t>mrcs</t>
        </is>
      </c>
      <c r="D31" s="4" t="inlineStr">
        <is>
          <t>Expect inconsistent demonstration on magnetic resonance imaging.</t>
        </is>
      </c>
      <c r="E31" s="4" t="inlineStr"/>
      <c r="F31" s="4" t="inlineStr"/>
      <c r="G31" s="4" t="inlineStr"/>
    </row>
    <row r="32">
      <c r="A32" s="4" t="inlineStr">
        <is>
          <t>3.10.5-P2</t>
        </is>
      </c>
      <c r="B32" s="4" t="inlineStr">
        <is>
          <t>3.10.5</t>
        </is>
      </c>
      <c r="C32" s="4" t="inlineStr">
        <is>
          <t>frcs</t>
        </is>
      </c>
      <c r="D32" s="4" t="inlineStr">
        <is>
          <t>Treat this ligament as the component whose reconstruction distinguishes an anatomic corner procedure from a tenodesis, and treat the fibular head as the crowded and fragile part of the operation.</t>
        </is>
      </c>
      <c r="E32" s="4" t="inlineStr"/>
      <c r="F32" s="4" t="inlineStr"/>
      <c r="G32" s="4" t="inlineStr"/>
    </row>
    <row r="33">
      <c r="A33" s="4" t="inlineStr">
        <is>
          <t>3.10.5-P3</t>
        </is>
      </c>
      <c r="B33" s="4" t="inlineStr">
        <is>
          <t>3.10.5</t>
        </is>
      </c>
      <c r="C33" s="4" t="inlineStr">
        <is>
          <t>frcs</t>
        </is>
      </c>
      <c r="D33" s="4" t="inlineStr">
        <is>
          <t>Plan fibular fixation around the crowding and the bone quality.</t>
        </is>
      </c>
      <c r="E33" s="4" t="inlineStr"/>
      <c r="F33" s="4" t="inlineStr"/>
      <c r="G33" s="4" t="inlineStr"/>
    </row>
    <row r="34">
      <c r="A34" s="4" t="inlineStr">
        <is>
          <t>3.10.6-P1</t>
        </is>
      </c>
      <c r="B34" s="4" t="inlineStr">
        <is>
          <t>3.10.6</t>
        </is>
      </c>
      <c r="C34" s="4" t="inlineStr">
        <is>
          <t>mrcs</t>
        </is>
      </c>
      <c r="D34" s="4" t="inlineStr">
        <is>
          <t>Assess varus, external rotation and posterior laxity together when a corner injury is suspected.</t>
        </is>
      </c>
      <c r="E34" s="4" t="inlineStr"/>
      <c r="F34" s="4" t="inlineStr"/>
      <c r="G34" s="4" t="inlineStr"/>
    </row>
    <row r="35">
      <c r="A35" s="4" t="inlineStr">
        <is>
          <t>3.10.6-P2</t>
        </is>
      </c>
      <c r="B35" s="4" t="inlineStr">
        <is>
          <t>3.10.6</t>
        </is>
      </c>
      <c r="C35" s="4" t="inlineStr">
        <is>
          <t>mrcs</t>
        </is>
      </c>
      <c r="D35" s="4" t="inlineStr">
        <is>
          <t>Read a large posterior laxity as suggesting corner involvement.</t>
        </is>
      </c>
      <c r="E35" s="4" t="inlineStr"/>
      <c r="F35" s="4" t="inlineStr"/>
      <c r="G35" s="4" t="inlineStr"/>
    </row>
    <row r="36">
      <c r="A36" s="4" t="inlineStr">
        <is>
          <t>3.10.6-P3</t>
        </is>
      </c>
      <c r="B36" s="4" t="inlineStr">
        <is>
          <t>3.10.6</t>
        </is>
      </c>
      <c r="C36" s="4" t="inlineStr">
        <is>
          <t>mrcs</t>
        </is>
      </c>
      <c r="D36" s="4" t="inlineStr">
        <is>
          <t>Examine under anaesthetic, since the findings are subtle and the imaging inconsistent.</t>
        </is>
      </c>
      <c r="E36" s="4" t="inlineStr"/>
      <c r="F36" s="4" t="inlineStr"/>
      <c r="G36" s="4" t="inlineStr"/>
    </row>
    <row r="37">
      <c r="A37" s="4" t="inlineStr">
        <is>
          <t>3.10.6-P4</t>
        </is>
      </c>
      <c r="B37" s="4" t="inlineStr">
        <is>
          <t>3.10.6</t>
        </is>
      </c>
      <c r="C37" s="4" t="inlineStr">
        <is>
          <t>mrcs</t>
        </is>
      </c>
      <c r="D37" s="4" t="inlineStr">
        <is>
          <t>Expect apportionment within the corner to be less settled than between corner and cruciate.</t>
        </is>
      </c>
      <c r="E37" s="4" t="inlineStr"/>
      <c r="F37" s="4" t="inlineStr"/>
      <c r="G37" s="4" t="inlineStr"/>
    </row>
    <row r="38">
      <c r="A38" s="4" t="inlineStr">
        <is>
          <t>3.10.6-P5</t>
        </is>
      </c>
      <c r="B38" s="4" t="inlineStr">
        <is>
          <t>3.10.6</t>
        </is>
      </c>
      <c r="C38" s="4" t="inlineStr">
        <is>
          <t>frcs</t>
        </is>
      </c>
      <c r="D38" s="4" t="inlineStr">
        <is>
          <t>Treat the corner as the structure whose assessment belongs in every cruciate operation.</t>
        </is>
      </c>
      <c r="E38" s="4" t="inlineStr"/>
      <c r="F38" s="4" t="inlineStr"/>
      <c r="G38" s="4" t="inlineStr"/>
    </row>
    <row r="39">
      <c r="A39" s="4" t="inlineStr">
        <is>
          <t>3.10.6-P6</t>
        </is>
      </c>
      <c r="B39" s="4" t="inlineStr">
        <is>
          <t>3.10.6</t>
        </is>
      </c>
      <c r="C39" s="4" t="inlineStr">
        <is>
          <t>frcs</t>
        </is>
      </c>
      <c r="D39" s="4" t="inlineStr">
        <is>
          <t>Assess the corner under anaesthetic in every cruciate reconstruction.</t>
        </is>
      </c>
      <c r="E39" s="4" t="inlineStr"/>
      <c r="F39" s="4" t="inlineStr"/>
      <c r="G39" s="4" t="inlineStr"/>
    </row>
    <row r="40">
      <c r="A40" s="4" t="inlineStr">
        <is>
          <t>3.10.6-P7</t>
        </is>
      </c>
      <c r="B40" s="4" t="inlineStr">
        <is>
          <t>3.10.6</t>
        </is>
      </c>
      <c r="C40" s="4" t="inlineStr">
        <is>
          <t>frcs</t>
        </is>
      </c>
      <c r="D40" s="4" t="inlineStr">
        <is>
          <t>Correct varus alignment where a corner reconstruction would otherwise be loaded.</t>
        </is>
      </c>
      <c r="E40" s="4" t="inlineStr"/>
      <c r="F40" s="4" t="inlineStr"/>
      <c r="G40" s="4" t="inlineStr"/>
    </row>
    <row r="41">
      <c r="A41" s="4" t="inlineStr">
        <is>
          <t>3.10.6-P8</t>
        </is>
      </c>
      <c r="B41" s="4" t="inlineStr">
        <is>
          <t>3.10.6</t>
        </is>
      </c>
      <c r="C41" s="4" t="inlineStr">
        <is>
          <t>frcs</t>
        </is>
      </c>
      <c r="D41" s="4" t="inlineStr">
        <is>
          <t>Document peroneal nerve function before and after corner surgery.</t>
        </is>
      </c>
      <c r="E41" s="4" t="inlineStr"/>
      <c r="F41" s="4" t="inlineStr"/>
      <c r="G41" s="4" t="inlineStr"/>
    </row>
    <row r="42">
      <c r="A42" s="4" t="inlineStr">
        <is>
          <t>3.10.6-P9</t>
        </is>
      </c>
      <c r="B42" s="4" t="inlineStr">
        <is>
          <t>3.10.6</t>
        </is>
      </c>
      <c r="C42" s="4" t="inlineStr">
        <is>
          <t>frcs</t>
        </is>
      </c>
      <c r="D42" s="4" t="inlineStr">
        <is>
          <t>Expect a chronic corner injury not to improve without surgery.</t>
        </is>
      </c>
      <c r="E42" s="4" t="inlineStr"/>
      <c r="F42" s="4" t="inlineStr"/>
      <c r="G42" s="4" t="inlineStr"/>
    </row>
    <row r="43">
      <c r="A43" s="4" t="inlineStr">
        <is>
          <t>3.10.7-P1</t>
        </is>
      </c>
      <c r="B43" s="4" t="inlineStr">
        <is>
          <t>3.10.7</t>
        </is>
      </c>
      <c r="C43" s="4" t="inlineStr">
        <is>
          <t>mrcs</t>
        </is>
      </c>
      <c r="D43" s="4" t="inlineStr">
        <is>
          <t>Compare with the uninjured side rather than against an absolute figure.</t>
        </is>
      </c>
      <c r="E43" s="4" t="inlineStr"/>
      <c r="F43" s="4" t="inlineStr"/>
      <c r="G43" s="4" t="inlineStr"/>
    </row>
    <row r="44">
      <c r="A44" s="4" t="inlineStr">
        <is>
          <t>3.10.7-P2</t>
        </is>
      </c>
      <c r="B44" s="4" t="inlineStr">
        <is>
          <t>3.10.7</t>
        </is>
      </c>
      <c r="C44" s="4" t="inlineStr">
        <is>
          <t>mrcs</t>
        </is>
      </c>
      <c r="D44" s="4" t="inlineStr">
        <is>
          <t>Repeat under anaesthetic where the finding will change the operation.</t>
        </is>
      </c>
      <c r="E44" s="4" t="inlineStr"/>
      <c r="F44" s="4" t="inlineStr"/>
      <c r="G44" s="4" t="inlineStr"/>
    </row>
    <row r="45">
      <c r="A45" s="4" t="inlineStr">
        <is>
          <t>3.10.7-P3</t>
        </is>
      </c>
      <c r="B45" s="4" t="inlineStr">
        <is>
          <t>3.10.7</t>
        </is>
      </c>
      <c r="C45" s="4" t="inlineStr">
        <is>
          <t>mrcs</t>
        </is>
      </c>
      <c r="D45" s="4" t="inlineStr">
        <is>
          <t>Expect interpretation to be harder when both structures are badly injured.</t>
        </is>
      </c>
      <c r="E45" s="4" t="inlineStr"/>
      <c r="F45" s="4" t="inlineStr"/>
      <c r="G45" s="4" t="inlineStr"/>
    </row>
    <row r="46">
      <c r="A46" s="4" t="inlineStr">
        <is>
          <t>3.10.7-P4</t>
        </is>
      </c>
      <c r="B46" s="4" t="inlineStr">
        <is>
          <t>3.10.7</t>
        </is>
      </c>
      <c r="C46" s="4" t="inlineStr">
        <is>
          <t>frcs</t>
        </is>
      </c>
      <c r="D46" s="4" t="inlineStr">
        <is>
          <t>Treat the dial test as the intraoperative check as well as the clinical one.</t>
        </is>
      </c>
      <c r="E46" s="4" t="inlineStr"/>
      <c r="F46" s="4" t="inlineStr"/>
      <c r="G46" s="4" t="inlineStr"/>
    </row>
    <row r="47">
      <c r="A47" s="4" t="inlineStr">
        <is>
          <t>3.10.7-P5</t>
        </is>
      </c>
      <c r="B47" s="4" t="inlineStr">
        <is>
          <t>3.10.7</t>
        </is>
      </c>
      <c r="C47" s="4" t="inlineStr">
        <is>
          <t>frcs</t>
        </is>
      </c>
      <c r="D47" s="4" t="inlineStr">
        <is>
          <t>Use it as an intraoperative check rather than as a comparative outcome measure.</t>
        </is>
      </c>
      <c r="E47" s="4" t="inlineStr"/>
      <c r="F47" s="4" t="inlineStr"/>
      <c r="G47" s="4" t="inlineStr"/>
    </row>
    <row r="48">
      <c r="A48" s="4" t="inlineStr">
        <is>
          <t>3.10.8-P1</t>
        </is>
      </c>
      <c r="B48" s="4" t="inlineStr">
        <is>
          <t>3.10.8</t>
        </is>
      </c>
      <c r="C48" s="4" t="inlineStr">
        <is>
          <t>mrcs</t>
        </is>
      </c>
      <c r="D48" s="4" t="inlineStr">
        <is>
          <t>Plan the femoral tunnels to avoid convergence and preserve the bone bridge.</t>
        </is>
      </c>
      <c r="E48" s="4" t="inlineStr"/>
      <c r="F48" s="4" t="inlineStr"/>
      <c r="G48" s="4" t="inlineStr"/>
    </row>
    <row r="49">
      <c r="A49" s="4" t="inlineStr">
        <is>
          <t>3.10.8-P2</t>
        </is>
      </c>
      <c r="B49" s="4" t="inlineStr">
        <is>
          <t>3.10.8</t>
        </is>
      </c>
      <c r="C49" s="4" t="inlineStr">
        <is>
          <t>mrcs</t>
        </is>
      </c>
      <c r="D49" s="4" t="inlineStr">
        <is>
          <t>Measure the coronal result radiographically and the rotational one by dial test.</t>
        </is>
      </c>
      <c r="E49" s="4" t="inlineStr"/>
      <c r="F49" s="4" t="inlineStr"/>
      <c r="G49" s="4" t="inlineStr"/>
    </row>
    <row r="50">
      <c r="A50" s="4" t="inlineStr">
        <is>
          <t>3.10.8-P3</t>
        </is>
      </c>
      <c r="B50" s="4" t="inlineStr">
        <is>
          <t>3.10.8</t>
        </is>
      </c>
      <c r="C50" s="4" t="inlineStr">
        <is>
          <t>frcs</t>
        </is>
      </c>
      <c r="D50" s="4" t="inlineStr">
        <is>
          <t>Treat the reconstruction as a construct in an environment, where the environment is varus alignment and the cruciates.</t>
        </is>
      </c>
      <c r="E50" s="4" t="inlineStr"/>
      <c r="F50" s="4" t="inlineStr"/>
      <c r="G50" s="4" t="inlineStr"/>
    </row>
    <row r="51">
      <c r="A51" s="4" t="inlineStr">
        <is>
          <t>3.10.8-P4</t>
        </is>
      </c>
      <c r="B51" s="4" t="inlineStr">
        <is>
          <t>3.10.8</t>
        </is>
      </c>
      <c r="C51" s="4" t="inlineStr">
        <is>
          <t>frcs</t>
        </is>
      </c>
      <c r="D51" s="4" t="inlineStr">
        <is>
          <t>Correct varus alignment before or with a chronic corner reconstruction.</t>
        </is>
      </c>
      <c r="E51" s="4" t="inlineStr"/>
      <c r="F51" s="4" t="inlineStr"/>
      <c r="G51" s="4" t="inlineStr"/>
    </row>
    <row r="52">
      <c r="A52" s="4" t="inlineStr">
        <is>
          <t>3.10.8-P5</t>
        </is>
      </c>
      <c r="B52" s="4" t="inlineStr">
        <is>
          <t>3.10.8</t>
        </is>
      </c>
      <c r="C52" s="4" t="inlineStr">
        <is>
          <t>frcs</t>
        </is>
      </c>
      <c r="D52" s="4" t="inlineStr">
        <is>
          <t>Document peroneal nerve function before surgery and after.</t>
        </is>
      </c>
      <c r="E52" s="4" t="inlineStr"/>
      <c r="F52" s="4" t="inlineStr"/>
      <c r="G52" s="4" t="inlineStr"/>
    </row>
    <row r="53">
      <c r="A53" s="4" t="inlineStr">
        <is>
          <t>3.10.8-P6</t>
        </is>
      </c>
      <c r="B53" s="4" t="inlineStr">
        <is>
          <t>3.10.8</t>
        </is>
      </c>
      <c r="C53" s="4" t="inlineStr">
        <is>
          <t>frcs</t>
        </is>
      </c>
      <c r="D53" s="4" t="inlineStr">
        <is>
          <t>Check the dial test under anaesthetic before leaving theatre.</t>
        </is>
      </c>
      <c r="E53" s="4" t="inlineStr"/>
      <c r="F53" s="4" t="inlineStr"/>
      <c r="G53" s="4" t="inlineStr"/>
    </row>
    <row r="54">
      <c r="A54" s="4" t="inlineStr">
        <is>
          <t>3.10.8-P7</t>
        </is>
      </c>
      <c r="B54" s="4" t="inlineStr">
        <is>
          <t>3.10.8</t>
        </is>
      </c>
      <c r="C54" s="4" t="inlineStr">
        <is>
          <t>fellowship</t>
        </is>
      </c>
      <c r="D54" s="4" t="inlineStr">
        <is>
          <t>Plan tunnel trajectories before theatre in a multiligament corner reconstruction.</t>
        </is>
      </c>
      <c r="E54" s="4" t="inlineStr"/>
      <c r="F54" s="4" t="inlineStr"/>
      <c r="G54" s="4" t="inlineStr"/>
    </row>
    <row r="55">
      <c r="A55" s="4" t="inlineStr">
        <is>
          <t>3.10.8-P8</t>
        </is>
      </c>
      <c r="B55" s="4" t="inlineStr">
        <is>
          <t>3.10.8</t>
        </is>
      </c>
      <c r="C55" s="4" t="inlineStr">
        <is>
          <t>fellowship</t>
        </is>
      </c>
      <c r="D55" s="4" t="inlineStr">
        <is>
          <t>Correct the deformity that is driving the failure first.</t>
        </is>
      </c>
      <c r="E55" s="4" t="inlineStr"/>
      <c r="F55" s="4" t="inlineStr"/>
      <c r="G55" s="4" t="inlineStr"/>
    </row>
    <row r="56">
      <c r="A56" s="4" t="inlineStr">
        <is>
          <t>3.10.8-P9</t>
        </is>
      </c>
      <c r="B56" s="4" t="inlineStr">
        <is>
          <t>3.10.8</t>
        </is>
      </c>
      <c r="C56" s="4" t="inlineStr">
        <is>
          <t>fellowship</t>
        </is>
      </c>
      <c r="D56" s="4" t="inlineStr">
        <is>
          <t>Consider staging where graft, time or soft tissues will not allow one sitting.</t>
        </is>
      </c>
      <c r="E56" s="4" t="inlineStr"/>
      <c r="F56" s="4" t="inlineStr"/>
      <c r="G56" s="4" t="inlineStr"/>
    </row>
    <row r="57">
      <c r="A57" s="4" t="inlineStr">
        <is>
          <t>3.10.8-P10</t>
        </is>
      </c>
      <c r="B57" s="4" t="inlineStr">
        <is>
          <t>3.10.8</t>
        </is>
      </c>
      <c r="C57" s="4" t="inlineStr">
        <is>
          <t>fellowship</t>
        </is>
      </c>
      <c r="D57" s="4" t="inlineStr">
        <is>
          <t>Consider an inlay for the posterior cruciate to free tibial tunnel space.</t>
        </is>
      </c>
      <c r="E57" s="4" t="inlineStr"/>
      <c r="F57" s="4" t="inlineStr"/>
      <c r="G57" s="4" t="inlineStr"/>
    </row>
    <row r="58">
      <c r="A58" s="4" t="inlineStr">
        <is>
          <t>3.10.9-P1</t>
        </is>
      </c>
      <c r="B58" s="4" t="inlineStr">
        <is>
          <t>3.10.9</t>
        </is>
      </c>
      <c r="C58" s="4" t="inlineStr">
        <is>
          <t>mrcs</t>
        </is>
      </c>
      <c r="D58" s="4" t="inlineStr">
        <is>
          <t>Measure alignment, since varus loads both.</t>
        </is>
      </c>
      <c r="E58" s="4" t="inlineStr"/>
      <c r="F58" s="4" t="inlineStr"/>
      <c r="G58" s="4" t="inlineStr"/>
    </row>
    <row r="59">
      <c r="A59" s="4" t="inlineStr">
        <is>
          <t>3.10.9-P2</t>
        </is>
      </c>
      <c r="B59" s="4" t="inlineStr">
        <is>
          <t>3.10.9</t>
        </is>
      </c>
      <c r="C59" s="4" t="inlineStr">
        <is>
          <t>frcs</t>
        </is>
      </c>
      <c r="D59" s="4" t="inlineStr">
        <is>
          <t>Treat this as the combination where the environment, the structures and the alignment all have to be addressed, and where a single sitting may not be possible.</t>
        </is>
      </c>
      <c r="E59" s="4" t="inlineStr"/>
      <c r="F59" s="4" t="inlineStr"/>
      <c r="G59" s="4" t="inlineStr"/>
    </row>
    <row r="60">
      <c r="A60" s="4" t="inlineStr">
        <is>
          <t>3.10.9-P3</t>
        </is>
      </c>
      <c r="B60" s="4" t="inlineStr">
        <is>
          <t>3.10.9</t>
        </is>
      </c>
      <c r="C60" s="4" t="inlineStr">
        <is>
          <t>frcs</t>
        </is>
      </c>
      <c r="D60" s="4" t="inlineStr">
        <is>
          <t>Plan tunnels to avoid convergence, considering an inlay for the cruciate.</t>
        </is>
      </c>
      <c r="E60" s="4" t="inlineStr"/>
      <c r="F60" s="4" t="inlineStr"/>
      <c r="G60" s="4" t="inlineStr"/>
    </row>
    <row r="61">
      <c r="A61" s="4" t="inlineStr">
        <is>
          <t>3.10.9-P4</t>
        </is>
      </c>
      <c r="B61" s="4" t="inlineStr">
        <is>
          <t>3.10.9</t>
        </is>
      </c>
      <c r="C61" s="4" t="inlineStr">
        <is>
          <t>frcs</t>
        </is>
      </c>
      <c r="D61" s="4" t="inlineStr">
        <is>
          <t>Measure both components before and after, by their own methods.</t>
        </is>
      </c>
      <c r="E61" s="4" t="inlineStr"/>
      <c r="F61" s="4" t="inlineStr"/>
      <c r="G61" s="4" t="inlineStr"/>
    </row>
  </sheetData>
  <dataValidations count="1">
    <dataValidation sqref="E3:E61"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3.10.1-F1</t>
        </is>
      </c>
      <c r="B3" s="4" t="inlineStr">
        <is>
          <t>3.10.1</t>
        </is>
      </c>
      <c r="C3" s="4" t="inlineStr">
        <is>
          <t>medical_student</t>
        </is>
      </c>
      <c r="D3" s="4" t="inlineStr">
        <is>
          <t>30 degrees</t>
        </is>
      </c>
      <c r="E3" s="4" t="inlineStr">
        <is>
          <t>Varus testing is performed near extension and at 30 degrees, because the structures differ between the two.</t>
        </is>
      </c>
      <c r="F3" s="4" t="inlineStr"/>
      <c r="G3" s="4" t="inlineStr"/>
      <c r="H3" s="4" t="inlineStr"/>
    </row>
    <row r="4">
      <c r="A4" s="4" t="inlineStr">
        <is>
          <t>3.10.1-F2</t>
        </is>
      </c>
      <c r="B4" s="4" t="inlineStr">
        <is>
          <t>3.10.1</t>
        </is>
      </c>
      <c r="C4" s="4" t="inlineStr">
        <is>
          <t>mrcs</t>
        </is>
      </c>
      <c r="D4" s="4" t="inlineStr">
        <is>
          <t>55 to 70 per cent</t>
        </is>
      </c>
      <c r="E4" s="4" t="inlineStr">
        <is>
          <t>Conventional teaching gives the lateral collateral ligament roughly 55 to 70 per cent of the varus restraint near full extension, with its share falling through flexion.</t>
        </is>
      </c>
      <c r="F4" s="4" t="inlineStr"/>
      <c r="G4" s="4" t="inlineStr"/>
      <c r="H4" s="4" t="inlineStr"/>
    </row>
    <row r="5">
      <c r="A5" s="4" t="inlineStr">
        <is>
          <t>3.10.2-F1</t>
        </is>
      </c>
      <c r="B5" s="4" t="inlineStr">
        <is>
          <t>3.10.2</t>
        </is>
      </c>
      <c r="C5" s="4" t="inlineStr">
        <is>
          <t>medical_student</t>
        </is>
      </c>
      <c r="D5" s="4" t="inlineStr">
        <is>
          <t>30 and 90 degrees</t>
        </is>
      </c>
      <c r="E5" s="4" t="inlineStr">
        <is>
          <t>Testing at 30 and 90 degrees separates a corner injury from a combined corner and posterior cruciate injury.</t>
        </is>
      </c>
      <c r="F5" s="4" t="inlineStr"/>
      <c r="G5" s="4" t="inlineStr"/>
      <c r="H5" s="4" t="inlineStr"/>
    </row>
    <row r="6">
      <c r="A6" s="4" t="inlineStr">
        <is>
          <t>3.10.2-F2</t>
        </is>
      </c>
      <c r="B6" s="4" t="inlineStr">
        <is>
          <t>3.10.2</t>
        </is>
      </c>
      <c r="C6" s="4" t="inlineStr">
        <is>
          <t>mrcs</t>
        </is>
      </c>
      <c r="D6" s="4" t="inlineStr">
        <is>
          <t>30 degrees</t>
        </is>
      </c>
      <c r="E6" s="4" t="inlineStr">
        <is>
          <t>If rotation is lax at 30 degrees and not worse at 90, the corner alone is injured; if it is worse at 90, the posterior cruciate is involved too.</t>
        </is>
      </c>
      <c r="F6" s="4" t="inlineStr"/>
      <c r="G6" s="4" t="inlineStr"/>
      <c r="H6" s="4" t="inlineStr"/>
    </row>
    <row r="7">
      <c r="A7" s="4" t="inlineStr">
        <is>
          <t>3.10.2-F3</t>
        </is>
      </c>
      <c r="B7" s="4" t="inlineStr">
        <is>
          <t>3.10.2</t>
        </is>
      </c>
      <c r="C7" s="4" t="inlineStr">
        <is>
          <t>mrcs</t>
        </is>
      </c>
      <c r="D7" s="4" t="inlineStr">
        <is>
          <t>90</t>
        </is>
      </c>
      <c r="E7" s="4" t="inlineStr">
        <is>
          <t>If rotation is lax at 30 degrees and not worse at 90, the corner alone is injured; if it is worse at 90, the posterior cruciate is involved too.</t>
        </is>
      </c>
      <c r="F7" s="4" t="inlineStr"/>
      <c r="G7" s="4" t="inlineStr"/>
      <c r="H7" s="4" t="inlineStr"/>
    </row>
    <row r="8">
      <c r="A8" s="4" t="inlineStr">
        <is>
          <t>3.10.2-F4</t>
        </is>
      </c>
      <c r="B8" s="4" t="inlineStr">
        <is>
          <t>3.10.2</t>
        </is>
      </c>
      <c r="C8" s="4" t="inlineStr">
        <is>
          <t>mrcs</t>
        </is>
      </c>
      <c r="D8" s="4" t="inlineStr">
        <is>
          <t>90 degrees</t>
        </is>
      </c>
      <c r="E8" s="4" t="inlineStr">
        <is>
          <t>The posterior cruciate's contribution to external rotation restraint increases with flexion, which is why an increase at 90 degrees implicates it.</t>
        </is>
      </c>
      <c r="F8" s="4" t="inlineStr"/>
      <c r="G8" s="4" t="inlineStr"/>
      <c r="H8" s="4" t="inlineStr"/>
    </row>
    <row r="9">
      <c r="A9" s="4" t="inlineStr">
        <is>
          <t>3.10.2-F5</t>
        </is>
      </c>
      <c r="B9" s="4" t="inlineStr">
        <is>
          <t>3.10.2</t>
        </is>
      </c>
      <c r="C9" s="4" t="inlineStr">
        <is>
          <t>frcs</t>
        </is>
      </c>
      <c r="D9" s="4" t="inlineStr">
        <is>
          <t>30 and 90 degree</t>
        </is>
      </c>
      <c r="E9" s="4" t="inlineStr">
        <is>
          <t>Read the 30 and 90 degree comparison to establish what else is injured.</t>
        </is>
      </c>
      <c r="F9" s="4" t="inlineStr"/>
      <c r="G9" s="4" t="inlineStr"/>
      <c r="H9" s="4" t="inlineStr"/>
    </row>
    <row r="10">
      <c r="A10" s="4" t="inlineStr">
        <is>
          <t>3.10.5-F1</t>
        </is>
      </c>
      <c r="B10" s="4" t="inlineStr">
        <is>
          <t>3.10.5</t>
        </is>
      </c>
      <c r="C10" s="4" t="inlineStr">
        <is>
          <t>mrcs</t>
        </is>
      </c>
      <c r="D10" s="4" t="inlineStr">
        <is>
          <t>30 degrees</t>
        </is>
      </c>
      <c r="E10" s="4" t="inlineStr">
        <is>
          <t>Conventional teaching describes anterior and posterior divisions, with the posterior division the larger, and gives the ligament a major share of the external rotation restraint at 30 degrees of flexion.</t>
        </is>
      </c>
      <c r="F10" s="4" t="inlineStr"/>
      <c r="G10" s="4" t="inlineStr"/>
      <c r="H10" s="4" t="inlineStr"/>
    </row>
    <row r="11">
      <c r="A11" s="4" t="inlineStr">
        <is>
          <t>3.10.7-F1</t>
        </is>
      </c>
      <c r="B11" s="4" t="inlineStr">
        <is>
          <t>3.10.7</t>
        </is>
      </c>
      <c r="C11" s="4" t="inlineStr">
        <is>
          <t>medical_student</t>
        </is>
      </c>
      <c r="D11" s="4" t="inlineStr">
        <is>
          <t>30 degrees</t>
        </is>
      </c>
      <c r="E11" s="4" t="inlineStr">
        <is>
          <t>External rotation of the tibia is resisted mainly by the posterolateral corner at 30 degrees of flexion and increasingly by the posterior cruciate as flexion increases.</t>
        </is>
      </c>
      <c r="F11" s="4" t="inlineStr"/>
      <c r="G11" s="4" t="inlineStr"/>
      <c r="H11" s="4" t="inlineStr"/>
    </row>
    <row r="12">
      <c r="A12" s="4" t="inlineStr">
        <is>
          <t>3.10.7-F2</t>
        </is>
      </c>
      <c r="B12" s="4" t="inlineStr">
        <is>
          <t>3.10.7</t>
        </is>
      </c>
      <c r="C12" s="4" t="inlineStr">
        <is>
          <t>medical_student</t>
        </is>
      </c>
      <c r="D12" s="4" t="inlineStr">
        <is>
          <t>30</t>
        </is>
      </c>
      <c r="E12" s="4" t="inlineStr">
        <is>
          <t>Measuring external rotation at 30 and at 90 degrees therefore separates a corner injury from a combined corner and posterior cruciate injury.</t>
        </is>
      </c>
      <c r="F12" s="4" t="inlineStr"/>
      <c r="G12" s="4" t="inlineStr"/>
      <c r="H12" s="4" t="inlineStr"/>
    </row>
    <row r="13">
      <c r="A13" s="4" t="inlineStr">
        <is>
          <t>3.10.7-F3</t>
        </is>
      </c>
      <c r="B13" s="4" t="inlineStr">
        <is>
          <t>3.10.7</t>
        </is>
      </c>
      <c r="C13" s="4" t="inlineStr">
        <is>
          <t>medical_student</t>
        </is>
      </c>
      <c r="D13" s="4" t="inlineStr">
        <is>
          <t>90 degrees</t>
        </is>
      </c>
      <c r="E13" s="4" t="inlineStr">
        <is>
          <t>Measuring external rotation at 30 and at 90 degrees therefore separates a corner injury from a combined corner and posterior cruciate injury.</t>
        </is>
      </c>
      <c r="F13" s="4" t="inlineStr"/>
      <c r="G13" s="4" t="inlineStr"/>
      <c r="H13" s="4" t="inlineStr"/>
    </row>
    <row r="14">
      <c r="A14" s="4" t="inlineStr">
        <is>
          <t>3.10.7-F4</t>
        </is>
      </c>
      <c r="B14" s="4" t="inlineStr">
        <is>
          <t>3.10.7</t>
        </is>
      </c>
      <c r="C14" s="4" t="inlineStr">
        <is>
          <t>medical_student</t>
        </is>
      </c>
      <c r="D14" s="4" t="inlineStr">
        <is>
          <t>90</t>
        </is>
      </c>
      <c r="E14" s="4" t="inlineStr">
        <is>
          <t>Increased rotation at both, worse at 90, indicates the posterior cruciate as well.</t>
        </is>
      </c>
      <c r="F14" s="4" t="inlineStr"/>
      <c r="G14" s="4" t="inlineStr"/>
      <c r="H14" s="4" t="inlineStr"/>
    </row>
    <row r="15">
      <c r="A15" s="4" t="inlineStr">
        <is>
          <t>3.10.7-F5</t>
        </is>
      </c>
      <c r="B15" s="4" t="inlineStr">
        <is>
          <t>3.10.7</t>
        </is>
      </c>
      <c r="C15" s="4" t="inlineStr">
        <is>
          <t>mrcs</t>
        </is>
      </c>
      <c r="D15" s="4" t="inlineStr">
        <is>
          <t>10 degrees</t>
        </is>
      </c>
      <c r="E15" s="4" t="inlineStr">
        <is>
          <t>Conventional teaching reads an increase of more than 10 degrees of external rotation compared with the uninjured side as significant.</t>
        </is>
      </c>
      <c r="F15" s="4" t="inlineStr"/>
      <c r="G15" s="4" t="inlineStr"/>
      <c r="H15" s="4" t="inlineStr"/>
    </row>
    <row r="16">
      <c r="A16" s="4" t="inlineStr">
        <is>
          <t>3.10.9-F1</t>
        </is>
      </c>
      <c r="B16" s="4" t="inlineStr">
        <is>
          <t>3.10.9</t>
        </is>
      </c>
      <c r="C16" s="4" t="inlineStr">
        <is>
          <t>mrcs</t>
        </is>
      </c>
      <c r="D16" s="4" t="inlineStr">
        <is>
          <t>30 and 90 degrees</t>
        </is>
      </c>
      <c r="E16" s="4" t="inlineStr">
        <is>
          <t>The dial test at 30 and 90 degrees is the clinical separation: worse at 90 implicates the cruciate and a finding at 30 implicates the corner.</t>
        </is>
      </c>
      <c r="F16" s="4" t="inlineStr"/>
      <c r="G16" s="4" t="inlineStr"/>
      <c r="H16" s="4" t="inlineStr"/>
    </row>
    <row r="17">
      <c r="A17" s="4" t="inlineStr">
        <is>
          <t>3.10.9-F2</t>
        </is>
      </c>
      <c r="B17" s="4" t="inlineStr">
        <is>
          <t>3.10.9</t>
        </is>
      </c>
      <c r="C17" s="4" t="inlineStr">
        <is>
          <t>mrcs</t>
        </is>
      </c>
      <c r="D17" s="4" t="inlineStr">
        <is>
          <t>90</t>
        </is>
      </c>
      <c r="E17" s="4" t="inlineStr">
        <is>
          <t>The dial test at 30 and 90 degrees is the clinical separation: worse at 90 implicates the cruciate and a finding at 30 implicates the corner.</t>
        </is>
      </c>
      <c r="F17" s="4" t="inlineStr"/>
      <c r="G17" s="4" t="inlineStr"/>
      <c r="H17" s="4" t="inlineStr"/>
    </row>
    <row r="18">
      <c r="A18" s="4" t="inlineStr">
        <is>
          <t>3.10.9-F3</t>
        </is>
      </c>
      <c r="B18" s="4" t="inlineStr">
        <is>
          <t>3.10.9</t>
        </is>
      </c>
      <c r="C18" s="4" t="inlineStr">
        <is>
          <t>mrcs</t>
        </is>
      </c>
      <c r="D18" s="4" t="inlineStr">
        <is>
          <t>30</t>
        </is>
      </c>
      <c r="E18" s="4" t="inlineStr">
        <is>
          <t>The dial test at 30 and 90 degrees is the clinical separation: worse at 90 implicates the cruciate and a finding at 30 implicates the corner.</t>
        </is>
      </c>
      <c r="F18" s="4" t="inlineStr"/>
      <c r="G18" s="4" t="inlineStr"/>
      <c r="H18" s="4" t="inlineStr"/>
    </row>
  </sheetData>
  <dataValidations count="1">
    <dataValidation sqref="F3:F18"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59</f>
        <v/>
      </c>
      <c r="C2" s="3">
        <f>16</f>
        <v/>
      </c>
    </row>
    <row r="3">
      <c r="A3" s="2" t="inlineStr">
        <is>
          <t>Decided</t>
        </is>
      </c>
      <c r="B3" s="3">
        <f>COUNTIF(Recommendations!E3:E61,"&lt;&gt;")</f>
        <v/>
      </c>
      <c r="C3" s="3">
        <f>COUNTIF(Measurements!F3:F18,"&lt;&gt;")</f>
        <v/>
      </c>
    </row>
    <row r="4">
      <c r="A4" s="2" t="inlineStr">
        <is>
          <t>Still blank</t>
        </is>
      </c>
      <c r="B4" s="3">
        <f>B2-B3</f>
        <v/>
      </c>
      <c r="C4" s="3">
        <f>C2-C3</f>
        <v/>
      </c>
    </row>
    <row r="5">
      <c r="A5" s="2" t="inlineStr">
        <is>
          <t>CONFIRMED</t>
        </is>
      </c>
      <c r="B5" s="3">
        <f>COUNTIF(Recommendations!E3:E61,"CONFIRMED")</f>
        <v/>
      </c>
      <c r="C5" s="3" t="inlineStr"/>
    </row>
    <row r="6">
      <c r="A6" s="2" t="inlineStr">
        <is>
          <t>AMENDED</t>
        </is>
      </c>
      <c r="B6" s="3">
        <f>COUNTIF(Recommendations!E3:E61,"AMENDED")</f>
        <v/>
      </c>
      <c r="C6" s="3" t="inlineStr"/>
    </row>
    <row r="7">
      <c r="A7" s="2" t="inlineStr">
        <is>
          <t>WITHDRAWN</t>
        </is>
      </c>
      <c r="B7" s="3">
        <f>COUNTIF(Recommendations!E3:E61,"WITHDRAWN")</f>
        <v/>
      </c>
      <c r="C7" s="3" t="inlineStr"/>
    </row>
    <row r="8">
      <c r="A8" s="2" t="inlineStr">
        <is>
          <t>NOT_CLINICAL</t>
        </is>
      </c>
      <c r="B8" s="3">
        <f>COUNTIF(Recommendations!E3:E61,"NOT_CLINICAL")</f>
        <v/>
      </c>
      <c r="C8" s="3" t="inlineStr"/>
    </row>
    <row r="9">
      <c r="A9" s="2" t="inlineStr">
        <is>
          <t>VERIFIED</t>
        </is>
      </c>
      <c r="B9" s="3" t="inlineStr"/>
      <c r="C9" s="3">
        <f>COUNTIF(Measurements!F3:F18,"VERIFIED")</f>
        <v/>
      </c>
    </row>
    <row r="10">
      <c r="A10" s="2" t="inlineStr">
        <is>
          <t>CORRECTED</t>
        </is>
      </c>
      <c r="B10" s="3" t="inlineStr"/>
      <c r="C10" s="3">
        <f>COUNTIF(Measurements!F3:F18,"CORRECTED")</f>
        <v/>
      </c>
    </row>
    <row r="11">
      <c r="A11" s="2" t="inlineStr">
        <is>
          <t>REMOVED</t>
        </is>
      </c>
      <c r="B11" s="3" t="inlineStr"/>
      <c r="C11" s="3">
        <f>COUNTIF(Measurements!F3:F18,"REMOVED")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2026-10-10T12:20:01Z</dcterms:created>
  <dcterms:modified xmlns:dcterms="http://purl.org/dc/terms/" xmlns:xsi="http://www.w3.org/2001/XMLSchema-instance" xsi:type="dcterms:W3CDTF">2026-10-10T12:20:01Z</dcterms:modified>
</cp:coreProperties>
</file>