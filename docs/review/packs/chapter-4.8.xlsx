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4.8 Effusion Assessment</t>
        </is>
      </c>
    </row>
    <row r="3">
      <c r="A3" s="2" t="inlineStr">
        <is>
          <t>Section</t>
        </is>
      </c>
      <c r="B3" s="3" t="inlineStr">
        <is>
          <t>4</t>
        </is>
      </c>
    </row>
    <row r="4">
      <c r="A4" s="2" t="inlineStr">
        <is>
          <t>Chapter</t>
        </is>
      </c>
      <c r="B4" s="3" t="inlineStr">
        <is>
          <t>4.8 Effusion Assessment</t>
        </is>
      </c>
    </row>
    <row r="5">
      <c r="A5" s="2" t="inlineStr">
        <is>
          <t>Pages</t>
        </is>
      </c>
      <c r="B5" s="3" t="n">
        <v>10</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14,520</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4.8.1</t>
        </is>
      </c>
      <c r="B2" s="6" t="inlineStr">
        <is>
          <t>Normal Fluid Physiology</t>
        </is>
      </c>
      <c r="C2" s="6" t="n">
        <v>4</v>
      </c>
      <c r="D2" s="6" t="n">
        <v>1500</v>
      </c>
      <c r="E2" s="6" t="inlineStr">
        <is>
          <t>examination/normal-fluid-physiology.html</t>
        </is>
      </c>
    </row>
    <row r="3">
      <c r="A3" s="6" t="inlineStr">
        <is>
          <t>4.8.2</t>
        </is>
      </c>
      <c r="B3" s="6" t="inlineStr">
        <is>
          <t>Clinical Significance</t>
        </is>
      </c>
      <c r="C3" s="6" t="n">
        <v>4</v>
      </c>
      <c r="D3" s="6" t="n">
        <v>1459</v>
      </c>
      <c r="E3" s="6" t="inlineStr">
        <is>
          <t>examination/clinical-significance-of-effusion.html</t>
        </is>
      </c>
    </row>
    <row r="4">
      <c r="A4" s="6" t="inlineStr">
        <is>
          <t>4.8.3</t>
        </is>
      </c>
      <c r="B4" s="6" t="inlineStr">
        <is>
          <t>Bulge Sign</t>
        </is>
      </c>
      <c r="C4" s="6" t="n">
        <v>4</v>
      </c>
      <c r="D4" s="6" t="n">
        <v>1485</v>
      </c>
      <c r="E4" s="6" t="inlineStr">
        <is>
          <t>examination/bulge-sign.html</t>
        </is>
      </c>
    </row>
    <row r="5">
      <c r="A5" s="6" t="inlineStr">
        <is>
          <t>4.8.4</t>
        </is>
      </c>
      <c r="B5" s="6" t="inlineStr">
        <is>
          <t>Patellar Tap</t>
        </is>
      </c>
      <c r="C5" s="6" t="n">
        <v>4</v>
      </c>
      <c r="D5" s="6" t="n">
        <v>1410</v>
      </c>
      <c r="E5" s="6" t="inlineStr">
        <is>
          <t>examination/patellar-tap.html</t>
        </is>
      </c>
    </row>
    <row r="6">
      <c r="A6" s="6" t="inlineStr">
        <is>
          <t>4.8.5</t>
        </is>
      </c>
      <c r="B6" s="6" t="inlineStr">
        <is>
          <t>Sweep Test</t>
        </is>
      </c>
      <c r="C6" s="6" t="n">
        <v>4</v>
      </c>
      <c r="D6" s="6" t="n">
        <v>1500</v>
      </c>
      <c r="E6" s="6" t="inlineStr">
        <is>
          <t>examination/sweep-test.html</t>
        </is>
      </c>
    </row>
    <row r="7">
      <c r="A7" s="6" t="inlineStr">
        <is>
          <t>4.8.6</t>
        </is>
      </c>
      <c r="B7" s="6" t="inlineStr">
        <is>
          <t>Ballottement</t>
        </is>
      </c>
      <c r="C7" s="6" t="n">
        <v>4</v>
      </c>
      <c r="D7" s="6" t="n">
        <v>1403</v>
      </c>
      <c r="E7" s="6" t="inlineStr">
        <is>
          <t>examination/ballottement.html</t>
        </is>
      </c>
    </row>
    <row r="8">
      <c r="A8" s="6" t="inlineStr">
        <is>
          <t>4.8.7</t>
        </is>
      </c>
      <c r="B8" s="6" t="inlineStr">
        <is>
          <t>Acute Haemarthrosis</t>
        </is>
      </c>
      <c r="C8" s="6" t="n">
        <v>4</v>
      </c>
      <c r="D8" s="6" t="n">
        <v>1433</v>
      </c>
      <c r="E8" s="6" t="inlineStr">
        <is>
          <t>examination/acute-haemarthrosis.html</t>
        </is>
      </c>
    </row>
    <row r="9">
      <c r="A9" s="6" t="inlineStr">
        <is>
          <t>4.8.8</t>
        </is>
      </c>
      <c r="B9" s="6" t="inlineStr">
        <is>
          <t>Chronic Effusions</t>
        </is>
      </c>
      <c r="C9" s="6" t="n">
        <v>4</v>
      </c>
      <c r="D9" s="6" t="n">
        <v>1460</v>
      </c>
      <c r="E9" s="6" t="inlineStr">
        <is>
          <t>examination/chronic-effusions.html</t>
        </is>
      </c>
    </row>
    <row r="10">
      <c r="A10" s="6" t="inlineStr">
        <is>
          <t>4.8.9</t>
        </is>
      </c>
      <c r="B10" s="6" t="inlineStr">
        <is>
          <t>Synovitis</t>
        </is>
      </c>
      <c r="C10" s="6" t="n">
        <v>4</v>
      </c>
      <c r="D10" s="6" t="n">
        <v>1406</v>
      </c>
      <c r="E10" s="6" t="inlineStr">
        <is>
          <t>examination/synovitis.html</t>
        </is>
      </c>
    </row>
    <row r="11">
      <c r="A11" s="6" t="inlineStr">
        <is>
          <t>4.8.10</t>
        </is>
      </c>
      <c r="B11" s="6" t="inlineStr">
        <is>
          <t>Crystal Arthropathy</t>
        </is>
      </c>
      <c r="C11" s="6" t="n">
        <v>4</v>
      </c>
      <c r="D11" s="6" t="n">
        <v>1464</v>
      </c>
      <c r="E11" s="6" t="inlineStr">
        <is>
          <t>examination/crystal-arthropathy.html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4.8.1</t>
        </is>
      </c>
      <c r="B2" s="4" t="inlineStr">
        <is>
          <t>Normal Fluid Physiology</t>
        </is>
      </c>
      <c r="C2" s="4" t="inlineStr">
        <is>
          <t>A knee producing fluid faster than it clears it has a synovial process.</t>
        </is>
      </c>
    </row>
    <row r="3">
      <c r="A3" s="4" t="inlineStr">
        <is>
          <t>4.8.1</t>
        </is>
      </c>
      <c r="B3" s="4" t="inlineStr">
        <is>
          <t>Normal Fluid Physiology</t>
        </is>
      </c>
      <c r="C3" s="4" t="inlineStr">
        <is>
          <t>A popliteal cyst's behaviour reflects the joint's production, so treating the cyst alone recurs.</t>
        </is>
      </c>
    </row>
    <row r="4">
      <c r="A4" s="4" t="inlineStr">
        <is>
          <t>4.8.1</t>
        </is>
      </c>
      <c r="B4" s="4" t="inlineStr">
        <is>
          <t>Normal Fluid Physiology</t>
        </is>
      </c>
      <c r="C4" s="4" t="inlineStr">
        <is>
          <t>Repeated aspiration without addressing the cause refills predictably.</t>
        </is>
      </c>
    </row>
    <row r="5">
      <c r="A5" s="4" t="inlineStr">
        <is>
          <t>4.8.1</t>
        </is>
      </c>
      <c r="B5" s="4" t="inlineStr">
        <is>
          <t>Normal Fluid Physiology</t>
        </is>
      </c>
      <c r="C5" s="4" t="inlineStr">
        <is>
          <t>A scarred capsule alters the usual relationship between volume and tension.</t>
        </is>
      </c>
    </row>
    <row r="6">
      <c r="A6" s="4" t="inlineStr">
        <is>
          <t>4.8.1</t>
        </is>
      </c>
      <c r="B6" s="4" t="inlineStr">
        <is>
          <t>Normal Fluid Physiology</t>
        </is>
      </c>
      <c r="C6" s="4" t="inlineStr">
        <is>
          <t>The quadriceps cannot be rebuilt while the effusion persists.</t>
        </is>
      </c>
    </row>
    <row r="7">
      <c r="A7" s="4" t="inlineStr">
        <is>
          <t>4.8.2</t>
        </is>
      </c>
      <c r="B7" s="4" t="inlineStr">
        <is>
          <t>Clinical Significance</t>
        </is>
      </c>
      <c r="C7" s="4" t="inlineStr">
        <is>
          <t>A persistent effusion with normal ligaments means a mechanical opinion about a non mechanical problem.</t>
        </is>
      </c>
    </row>
    <row r="8">
      <c r="A8" s="4" t="inlineStr">
        <is>
          <t>4.8.2</t>
        </is>
      </c>
      <c r="B8" s="4" t="inlineStr">
        <is>
          <t>Clinical Significance</t>
        </is>
      </c>
      <c r="C8" s="4" t="inlineStr">
        <is>
          <t>Stalled rehabilitation with an effusion needs the effusion addressed first.</t>
        </is>
      </c>
    </row>
    <row r="9">
      <c r="A9" s="4" t="inlineStr">
        <is>
          <t>4.8.2</t>
        </is>
      </c>
      <c r="B9" s="4" t="inlineStr">
        <is>
          <t>Clinical Significance</t>
        </is>
      </c>
      <c r="C9" s="4" t="inlineStr">
        <is>
          <t>An effusion with a reconstruction is infection, a mechanical lesion, or compartment change.</t>
        </is>
      </c>
    </row>
    <row r="10">
      <c r="A10" s="4" t="inlineStr">
        <is>
          <t>4.8.2</t>
        </is>
      </c>
      <c r="B10" s="4" t="inlineStr">
        <is>
          <t>Clinical Significance</t>
        </is>
      </c>
      <c r="C10" s="4" t="inlineStr">
        <is>
          <t>A ligament examination performed on an effused knee may be understated and is worth repeating.</t>
        </is>
      </c>
    </row>
    <row r="11">
      <c r="A11" s="4" t="inlineStr">
        <is>
          <t>4.8.2</t>
        </is>
      </c>
      <c r="B11" s="4" t="inlineStr">
        <is>
          <t>Clinical Significance</t>
        </is>
      </c>
      <c r="C11" s="4" t="inlineStr">
        <is>
          <t>The documented timing of the first effusion is often the most useful fact in the record.</t>
        </is>
      </c>
    </row>
    <row r="12">
      <c r="A12" s="4" t="inlineStr">
        <is>
          <t>4.8.3</t>
        </is>
      </c>
      <c r="B12" s="4" t="inlineStr">
        <is>
          <t>Bulge Sign</t>
        </is>
      </c>
      <c r="C12" s="4" t="inlineStr">
        <is>
          <t>It explains the knee recorded as dry at every visit and still not settling.</t>
        </is>
      </c>
    </row>
    <row r="13">
      <c r="A13" s="4" t="inlineStr">
        <is>
          <t>4.8.3</t>
        </is>
      </c>
      <c r="B13" s="4" t="inlineStr">
        <is>
          <t>Bulge Sign</t>
        </is>
      </c>
      <c r="C13" s="4" t="inlineStr">
        <is>
          <t>A persistent small effusion through rehabilitation means the joint is being irritated.</t>
        </is>
      </c>
    </row>
    <row r="14">
      <c r="A14" s="4" t="inlineStr">
        <is>
          <t>4.8.3</t>
        </is>
      </c>
      <c r="B14" s="4" t="inlineStr">
        <is>
          <t>Bulge Sign</t>
        </is>
      </c>
      <c r="C14" s="4" t="inlineStr">
        <is>
          <t>A stalled post-operative range with a small effusion has a treatable reason.</t>
        </is>
      </c>
    </row>
    <row r="15">
      <c r="A15" s="4" t="inlineStr">
        <is>
          <t>4.8.3</t>
        </is>
      </c>
      <c r="B15" s="4" t="inlineStr">
        <is>
          <t>Bulge Sign</t>
        </is>
      </c>
      <c r="C15" s="4" t="inlineStr">
        <is>
          <t>Repeated normal mechanical examinations with a small effusion are a clue, not reassurance.</t>
        </is>
      </c>
    </row>
    <row r="16">
      <c r="A16" s="4" t="inlineStr">
        <is>
          <t>4.8.3</t>
        </is>
      </c>
      <c r="B16" s="4" t="inlineStr">
        <is>
          <t>Bulge Sign</t>
        </is>
      </c>
      <c r="C16" s="4" t="inlineStr">
        <is>
          <t>A scarred capsule makes a negative result less informative.</t>
        </is>
      </c>
    </row>
    <row r="17">
      <c r="A17" s="4" t="inlineStr">
        <is>
          <t>4.8.4</t>
        </is>
      </c>
      <c r="B17" s="4" t="inlineStr">
        <is>
          <t>Patellar Tap</t>
        </is>
      </c>
      <c r="C17" s="4" t="inlineStr">
        <is>
          <t>The tap is often the test that produced the dry knee recorded in the notes.</t>
        </is>
      </c>
    </row>
    <row r="18">
      <c r="A18" s="4" t="inlineStr">
        <is>
          <t>4.8.4</t>
        </is>
      </c>
      <c r="B18" s="4" t="inlineStr">
        <is>
          <t>Patellar Tap</t>
        </is>
      </c>
      <c r="C18" s="4" t="inlineStr">
        <is>
          <t>A persistent small effusion recorded as dry explains a stalled range.</t>
        </is>
      </c>
    </row>
    <row r="19">
      <c r="A19" s="4" t="inlineStr">
        <is>
          <t>4.8.4</t>
        </is>
      </c>
      <c r="B19" s="4" t="inlineStr">
        <is>
          <t>Patellar Tap</t>
        </is>
      </c>
      <c r="C19" s="4" t="inlineStr">
        <is>
          <t>A tense effusion that cannot be tapped may need aspirating for diagnosis and relief.</t>
        </is>
      </c>
    </row>
    <row r="20">
      <c r="A20" s="4" t="inlineStr">
        <is>
          <t>4.8.4</t>
        </is>
      </c>
      <c r="B20" s="4" t="inlineStr">
        <is>
          <t>Patellar Tap</t>
        </is>
      </c>
      <c r="C20" s="4" t="inlineStr">
        <is>
          <t>A grinding patella is an incidental but useful finding.</t>
        </is>
      </c>
    </row>
    <row r="21">
      <c r="A21" s="4" t="inlineStr">
        <is>
          <t>4.8.4</t>
        </is>
      </c>
      <c r="B21" s="4" t="inlineStr">
        <is>
          <t>Patellar Tap</t>
        </is>
      </c>
      <c r="C21" s="4" t="inlineStr">
        <is>
          <t>An effusion recorded as absent on a tap alone is a weaker observation than it looks.</t>
        </is>
      </c>
    </row>
    <row r="22">
      <c r="A22" s="4" t="inlineStr">
        <is>
          <t>4.8.5</t>
        </is>
      </c>
      <c r="B22" s="4" t="inlineStr">
        <is>
          <t>Sweep Test</t>
        </is>
      </c>
      <c r="C22" s="4" t="inlineStr">
        <is>
          <t>This test and the bulge sign change the record from a dry knee to an effused one.</t>
        </is>
      </c>
    </row>
    <row r="23">
      <c r="A23" s="4" t="inlineStr">
        <is>
          <t>4.8.5</t>
        </is>
      </c>
      <c r="B23" s="4" t="inlineStr">
        <is>
          <t>Sweep Test</t>
        </is>
      </c>
      <c r="C23" s="4" t="inlineStr">
        <is>
          <t>A persistent small effusion through rehabilitation means the programme cannot succeed yet.</t>
        </is>
      </c>
    </row>
    <row r="24">
      <c r="A24" s="4" t="inlineStr">
        <is>
          <t>4.8.5</t>
        </is>
      </c>
      <c r="B24" s="4" t="inlineStr">
        <is>
          <t>Sweep Test</t>
        </is>
      </c>
      <c r="C24" s="4" t="inlineStr">
        <is>
          <t>A record of dry knees based on the tap alone cannot be relied on.</t>
        </is>
      </c>
    </row>
    <row r="25">
      <c r="A25" s="4" t="inlineStr">
        <is>
          <t>4.8.5</t>
        </is>
      </c>
      <c r="B25" s="4" t="inlineStr">
        <is>
          <t>Sweep Test</t>
        </is>
      </c>
      <c r="C25" s="4" t="inlineStr">
        <is>
          <t>A scarred suprapatellar pouch makes a negative result less informative.</t>
        </is>
      </c>
    </row>
    <row r="26">
      <c r="A26" s="4" t="inlineStr">
        <is>
          <t>4.8.5</t>
        </is>
      </c>
      <c r="B26" s="4" t="inlineStr">
        <is>
          <t>Sweep Test</t>
        </is>
      </c>
      <c r="C26" s="4" t="inlineStr">
        <is>
          <t>The distinction between absent and not looked for is rarely recoverable from a record.</t>
        </is>
      </c>
    </row>
    <row r="27">
      <c r="A27" s="4" t="inlineStr">
        <is>
          <t>4.8.6</t>
        </is>
      </c>
      <c r="B27" s="4" t="inlineStr">
        <is>
          <t>Ballottement</t>
        </is>
      </c>
      <c r="C27" s="4" t="inlineStr">
        <is>
          <t>A tense effusion is usually acute and a large compliant one usually chronic.</t>
        </is>
      </c>
    </row>
    <row r="28">
      <c r="A28" s="4" t="inlineStr">
        <is>
          <t>4.8.6</t>
        </is>
      </c>
      <c r="B28" s="4" t="inlineStr">
        <is>
          <t>Ballottement</t>
        </is>
      </c>
      <c r="C28" s="4" t="inlineStr">
        <is>
          <t>A tense effusion after a reconstruction is bleeding or infection.</t>
        </is>
      </c>
    </row>
    <row r="29">
      <c r="A29" s="4" t="inlineStr">
        <is>
          <t>4.8.6</t>
        </is>
      </c>
      <c r="B29" s="4" t="inlineStr">
        <is>
          <t>Ballottement</t>
        </is>
      </c>
      <c r="C29" s="4" t="inlineStr">
        <is>
          <t>A large compliant effusion with a normal mechanical examination is a synovial process.</t>
        </is>
      </c>
    </row>
    <row r="30">
      <c r="A30" s="4" t="inlineStr">
        <is>
          <t>4.8.6</t>
        </is>
      </c>
      <c r="B30" s="4" t="inlineStr">
        <is>
          <t>Ballottement</t>
        </is>
      </c>
      <c r="C30" s="4" t="inlineStr">
        <is>
          <t>A tense effusion with a locked knee raises a displaced tear with bleeding.</t>
        </is>
      </c>
    </row>
    <row r="31">
      <c r="A31" s="4" t="inlineStr">
        <is>
          <t>4.8.6</t>
        </is>
      </c>
      <c r="B31" s="4" t="inlineStr">
        <is>
          <t>Ballottement</t>
        </is>
      </c>
      <c r="C31" s="4" t="inlineStr">
        <is>
          <t>A scarred capsule means a modest volume can be tense.</t>
        </is>
      </c>
    </row>
    <row r="32">
      <c r="A32" s="4" t="inlineStr">
        <is>
          <t>4.8.7</t>
        </is>
      </c>
      <c r="B32" s="4" t="inlineStr">
        <is>
          <t>Acute Haemarthrosis</t>
        </is>
      </c>
      <c r="C32" s="4" t="inlineStr">
        <is>
          <t>A haemarthrosis attributed to a cruciate rupture may have been a patellar dislocation.</t>
        </is>
      </c>
    </row>
    <row r="33">
      <c r="A33" s="4" t="inlineStr">
        <is>
          <t>4.8.7</t>
        </is>
      </c>
      <c r="B33" s="4" t="inlineStr">
        <is>
          <t>Acute Haemarthrosis</t>
        </is>
      </c>
      <c r="C33" s="4" t="inlineStr">
        <is>
          <t>An osteochondral fragment identified late has lost its repair window.</t>
        </is>
      </c>
    </row>
    <row r="34">
      <c r="A34" s="4" t="inlineStr">
        <is>
          <t>4.8.7</t>
        </is>
      </c>
      <c r="B34" s="4" t="inlineStr">
        <is>
          <t>Acute Haemarthrosis</t>
        </is>
      </c>
      <c r="C34" s="4" t="inlineStr">
        <is>
          <t>A ligament examination normal acutely and abnormal at six weeks was unreliable the first time.</t>
        </is>
      </c>
    </row>
    <row r="35">
      <c r="A35" s="4" t="inlineStr">
        <is>
          <t>4.8.7</t>
        </is>
      </c>
      <c r="B35" s="4" t="inlineStr">
        <is>
          <t>Acute Haemarthrosis</t>
        </is>
      </c>
      <c r="C35" s="4" t="inlineStr">
        <is>
          <t>A recurrent haemarthrosis without injury has a vascular or haematological cause.</t>
        </is>
      </c>
    </row>
    <row r="36">
      <c r="A36" s="4" t="inlineStr">
        <is>
          <t>4.8.7</t>
        </is>
      </c>
      <c r="B36" s="4" t="inlineStr">
        <is>
          <t>Acute Haemarthrosis</t>
        </is>
      </c>
      <c r="C36" s="4" t="inlineStr">
        <is>
          <t>A vague recorded timing is one of the commonest weaknesses in a record.</t>
        </is>
      </c>
    </row>
    <row r="37">
      <c r="A37" s="4" t="inlineStr">
        <is>
          <t>4.8.8</t>
        </is>
      </c>
      <c r="B37" s="4" t="inlineStr">
        <is>
          <t>Chronic Effusions</t>
        </is>
      </c>
      <c r="C37" s="4" t="inlineStr">
        <is>
          <t>The chronic effusion is the commonest presentation in which the referral's premise is wrong.</t>
        </is>
      </c>
    </row>
    <row r="38">
      <c r="A38" s="4" t="inlineStr">
        <is>
          <t>4.8.8</t>
        </is>
      </c>
      <c r="B38" s="4" t="inlineStr">
        <is>
          <t>Chronic Effusions</t>
        </is>
      </c>
      <c r="C38" s="4" t="inlineStr">
        <is>
          <t>Several arthroscopies for a recurrent effusion is a history that is itself the diagnosis.</t>
        </is>
      </c>
    </row>
    <row r="39">
      <c r="A39" s="4" t="inlineStr">
        <is>
          <t>4.8.8</t>
        </is>
      </c>
      <c r="B39" s="4" t="inlineStr">
        <is>
          <t>Chronic Effusions</t>
        </is>
      </c>
      <c r="C39" s="4" t="inlineStr">
        <is>
          <t>A chronic effusion after surgery is infection until excluded, however many years have passed.</t>
        </is>
      </c>
    </row>
    <row r="40">
      <c r="A40" s="4" t="inlineStr">
        <is>
          <t>4.8.8</t>
        </is>
      </c>
      <c r="B40" s="4" t="inlineStr">
        <is>
          <t>Chronic Effusions</t>
        </is>
      </c>
      <c r="C40" s="4" t="inlineStr">
        <is>
          <t>An excised and recurred cyst means the consequence was treated twice.</t>
        </is>
      </c>
    </row>
    <row r="41">
      <c r="A41" s="4" t="inlineStr">
        <is>
          <t>4.8.8</t>
        </is>
      </c>
      <c r="B41" s="4" t="inlineStr">
        <is>
          <t>Chronic Effusions</t>
        </is>
      </c>
      <c r="C41" s="4" t="inlineStr">
        <is>
          <t>Attribution to an old injury is hard to support without a demonstrable mechanical cause.</t>
        </is>
      </c>
    </row>
    <row r="42">
      <c r="A42" s="4" t="inlineStr">
        <is>
          <t>4.8.9</t>
        </is>
      </c>
      <c r="B42" s="4" t="inlineStr">
        <is>
          <t>Synovitis</t>
        </is>
      </c>
      <c r="C42" s="4" t="inlineStr">
        <is>
          <t>Synovitis explains the knee with several normal arthroscopies.</t>
        </is>
      </c>
    </row>
    <row r="43">
      <c r="A43" s="4" t="inlineStr">
        <is>
          <t>4.8.9</t>
        </is>
      </c>
      <c r="B43" s="4" t="inlineStr">
        <is>
          <t>Synovitis</t>
        </is>
      </c>
      <c r="C43" s="4" t="inlineStr">
        <is>
          <t>Synovitis after a reconstruction is infection, a reaction, or an inflammatory process, in that order of exclusion.</t>
        </is>
      </c>
    </row>
    <row r="44">
      <c r="A44" s="4" t="inlineStr">
        <is>
          <t>4.8.9</t>
        </is>
      </c>
      <c r="B44" s="4" t="inlineStr">
        <is>
          <t>Synovitis</t>
        </is>
      </c>
      <c r="C44" s="4" t="inlineStr">
        <is>
          <t>Localised rather than generalised synovitis raises a focal process.</t>
        </is>
      </c>
    </row>
    <row r="45">
      <c r="A45" s="4" t="inlineStr">
        <is>
          <t>4.8.9</t>
        </is>
      </c>
      <c r="B45" s="4" t="inlineStr">
        <is>
          <t>Synovitis</t>
        </is>
      </c>
      <c r="C45" s="4" t="inlineStr">
        <is>
          <t>A haemorrhagic synovitis has its own differential, distinguished by aspiration.</t>
        </is>
      </c>
    </row>
    <row r="46">
      <c r="A46" s="4" t="inlineStr">
        <is>
          <t>4.8.9</t>
        </is>
      </c>
      <c r="B46" s="4" t="inlineStr">
        <is>
          <t>Synovitis</t>
        </is>
      </c>
      <c r="C46" s="4" t="inlineStr">
        <is>
          <t>The distinction between a post traumatic and a systemic process is the usual contested point.</t>
        </is>
      </c>
    </row>
    <row r="47">
      <c r="A47" s="4" t="inlineStr">
        <is>
          <t>4.8.10</t>
        </is>
      </c>
      <c r="B47" s="4" t="inlineStr">
        <is>
          <t>Crystal Arthropathy</t>
        </is>
      </c>
      <c r="C47" s="4" t="inlineStr">
        <is>
          <t>It explains the knee whose effusions never fitted a mechanical pattern.</t>
        </is>
      </c>
    </row>
    <row r="48">
      <c r="A48" s="4" t="inlineStr">
        <is>
          <t>4.8.10</t>
        </is>
      </c>
      <c r="B48" s="4" t="inlineStr">
        <is>
          <t>Crystal Arthropathy</t>
        </is>
      </c>
      <c r="C48" s="4" t="inlineStr">
        <is>
          <t>Chronic crystal disease damages cartilage, so a mechanical complaint on top is compound.</t>
        </is>
      </c>
    </row>
    <row r="49">
      <c r="A49" s="4" t="inlineStr">
        <is>
          <t>4.8.10</t>
        </is>
      </c>
      <c r="B49" s="4" t="inlineStr">
        <is>
          <t>Crystal Arthropathy</t>
        </is>
      </c>
      <c r="C49" s="4" t="inlineStr">
        <is>
          <t>With a prosthesis every hot episode is possible infection and the history offers a tempting alternative.</t>
        </is>
      </c>
    </row>
    <row r="50">
      <c r="A50" s="4" t="inlineStr">
        <is>
          <t>4.8.10</t>
        </is>
      </c>
      <c r="B50" s="4" t="inlineStr">
        <is>
          <t>Crystal Arthropathy</t>
        </is>
      </c>
      <c r="C50" s="4" t="inlineStr">
        <is>
          <t>Chondrocalcinosis with a mechanical complaint is two findings, not one.</t>
        </is>
      </c>
    </row>
    <row r="51">
      <c r="A51" s="4" t="inlineStr">
        <is>
          <t>4.8.10</t>
        </is>
      </c>
      <c r="B51" s="4" t="inlineStr">
        <is>
          <t>Crystal Arthropathy</t>
        </is>
      </c>
      <c r="C51" s="4" t="inlineStr">
        <is>
          <t>A septic knee treated as crystal disease is criticised on the absent aspiration.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4.8.2-P1</t>
        </is>
      </c>
      <c r="B3" s="4" t="inlineStr">
        <is>
          <t>4.8.2</t>
        </is>
      </c>
      <c r="C3" s="4" t="inlineStr">
        <is>
          <t>medical_student</t>
        </is>
      </c>
      <c r="D3" s="4" t="inlineStr">
        <is>
          <t>Measure the range and the extension lag, and record that an effusion was present when they were measured.</t>
        </is>
      </c>
      <c r="E3" s="4" t="inlineStr"/>
      <c r="F3" s="4" t="inlineStr"/>
      <c r="G3" s="4" t="inlineStr"/>
    </row>
    <row r="4">
      <c r="A4" s="4" t="inlineStr">
        <is>
          <t>4.8.2-P2</t>
        </is>
      </c>
      <c r="B4" s="4" t="inlineStr">
        <is>
          <t>4.8.2</t>
        </is>
      </c>
      <c r="C4" s="4" t="inlineStr">
        <is>
          <t>medical_student</t>
        </is>
      </c>
      <c r="D4" s="4" t="inlineStr">
        <is>
          <t>An effusion present at the time of the examination means the quadriceps findings and the range are provisional, and that should be recorded rather than left implied.</t>
        </is>
      </c>
      <c r="E4" s="4" t="inlineStr"/>
      <c r="F4" s="4" t="inlineStr"/>
      <c r="G4" s="4" t="inlineStr"/>
    </row>
    <row r="5">
      <c r="A5" s="4" t="inlineStr">
        <is>
          <t>4.8.3-P1</t>
        </is>
      </c>
      <c r="B5" s="4" t="inlineStr">
        <is>
          <t>4.8.3</t>
        </is>
      </c>
      <c r="C5" s="4" t="inlineStr">
        <is>
          <t>medical_student</t>
        </is>
      </c>
      <c r="D5" s="4" t="inlineStr">
        <is>
          <t>Place a hand above the patella and milk the suprapatellar pouch downwards, which brings any fluid into the parapatellar region.</t>
        </is>
      </c>
      <c r="E5" s="4" t="inlineStr"/>
      <c r="F5" s="4" t="inlineStr"/>
      <c r="G5" s="4" t="inlineStr"/>
    </row>
    <row r="6">
      <c r="A6" s="4" t="inlineStr">
        <is>
          <t>4.8.3-P2</t>
        </is>
      </c>
      <c r="B6" s="4" t="inlineStr">
        <is>
          <t>4.8.3</t>
        </is>
      </c>
      <c r="C6" s="4" t="inlineStr">
        <is>
          <t>mrcs</t>
        </is>
      </c>
      <c r="D6" s="4" t="inlineStr">
        <is>
          <t>A small volume distributes to the most compliant part, so it must be moved to be seen.</t>
        </is>
      </c>
      <c r="E6" s="4" t="inlineStr"/>
      <c r="F6" s="4" t="inlineStr"/>
      <c r="G6" s="4" t="inlineStr"/>
    </row>
    <row r="7">
      <c r="A7" s="4" t="inlineStr">
        <is>
          <t>4.8.4-P1</t>
        </is>
      </c>
      <c r="B7" s="4" t="inlineStr">
        <is>
          <t>4.8.4</t>
        </is>
      </c>
      <c r="C7" s="4" t="inlineStr">
        <is>
          <t>medical_student</t>
        </is>
      </c>
      <c r="D7" s="4" t="inlineStr">
        <is>
          <t>Place a hand above the patella and milk the suprapatellar pouch downwards, which brings fluid under the patella.</t>
        </is>
      </c>
      <c r="E7" s="4" t="inlineStr"/>
      <c r="F7" s="4" t="inlineStr"/>
      <c r="G7" s="4" t="inlineStr"/>
    </row>
    <row r="8">
      <c r="A8" s="4" t="inlineStr">
        <is>
          <t>4.8.4-P2</t>
        </is>
      </c>
      <c r="B8" s="4" t="inlineStr">
        <is>
          <t>4.8.4</t>
        </is>
      </c>
      <c r="C8" s="4" t="inlineStr">
        <is>
          <t>medical_student</t>
        </is>
      </c>
      <c r="D8" s="4" t="inlineStr">
        <is>
          <t>Compare with the other knee, since the patella's mobility varies between people.</t>
        </is>
      </c>
      <c r="E8" s="4" t="inlineStr"/>
      <c r="F8" s="4" t="inlineStr"/>
      <c r="G8" s="4" t="inlineStr"/>
    </row>
    <row r="9">
      <c r="A9" s="4" t="inlineStr">
        <is>
          <t>4.8.4-P3</t>
        </is>
      </c>
      <c r="B9" s="4" t="inlineStr">
        <is>
          <t>4.8.4</t>
        </is>
      </c>
      <c r="C9" s="4" t="inlineStr">
        <is>
          <t>medical_student</t>
        </is>
      </c>
      <c r="D9" s="4" t="inlineStr">
        <is>
          <t>A negative tap does not exclude an effusion, and the bulge sign should be performed before concluding the knee is dry.</t>
        </is>
      </c>
      <c r="E9" s="4" t="inlineStr"/>
      <c r="F9" s="4" t="inlineStr"/>
      <c r="G9" s="4" t="inlineStr"/>
    </row>
    <row r="10">
      <c r="A10" s="4" t="inlineStr">
        <is>
          <t>4.8.5-P1</t>
        </is>
      </c>
      <c r="B10" s="4" t="inlineStr">
        <is>
          <t>4.8.5</t>
        </is>
      </c>
      <c r="C10" s="4" t="inlineStr">
        <is>
          <t>medical_student</t>
        </is>
      </c>
      <c r="D10" s="4" t="inlineStr">
        <is>
          <t>Place a hand below the medial joint line and sweep upwards along the medial side and across the suprapatellar region, carrying any fluid with it.</t>
        </is>
      </c>
      <c r="E10" s="4" t="inlineStr"/>
      <c r="F10" s="4" t="inlineStr"/>
      <c r="G10" s="4" t="inlineStr"/>
    </row>
    <row r="11">
      <c r="A11" s="4" t="inlineStr">
        <is>
          <t>4.8.5-P2</t>
        </is>
      </c>
      <c r="B11" s="4" t="inlineStr">
        <is>
          <t>4.8.5</t>
        </is>
      </c>
      <c r="C11" s="4" t="inlineStr">
        <is>
          <t>medical_student</t>
        </is>
      </c>
      <c r="D11" s="4" t="inlineStr">
        <is>
          <t>Repeat in the opposite direction, since a knee that produces a finding in one direction and not the other is worth checking twice.</t>
        </is>
      </c>
      <c r="E11" s="4" t="inlineStr"/>
      <c r="F11" s="4" t="inlineStr"/>
      <c r="G11" s="4" t="inlineStr"/>
    </row>
    <row r="12">
      <c r="A12" s="4" t="inlineStr">
        <is>
          <t>4.8.6-P1</t>
        </is>
      </c>
      <c r="B12" s="4" t="inlineStr">
        <is>
          <t>4.8.6</t>
        </is>
      </c>
      <c r="C12" s="4" t="inlineStr">
        <is>
          <t>medical_student</t>
        </is>
      </c>
      <c r="D12" s="4" t="inlineStr">
        <is>
          <t>Place a hand above the patella to compress the suprapatellar pouch gently, which loads the retropatellar space.</t>
        </is>
      </c>
      <c r="E12" s="4" t="inlineStr"/>
      <c r="F12" s="4" t="inlineStr"/>
      <c r="G12" s="4" t="inlineStr"/>
    </row>
    <row r="13">
      <c r="A13" s="4" t="inlineStr">
        <is>
          <t>4.8.7-P1</t>
        </is>
      </c>
      <c r="B13" s="4" t="inlineStr">
        <is>
          <t>4.8.7</t>
        </is>
      </c>
      <c r="C13" s="4" t="inlineStr">
        <is>
          <t>medical_student</t>
        </is>
      </c>
      <c r="D13" s="4" t="inlineStr">
        <is>
          <t>Assess the effusion's size and tension, since a tense effusion is the characteristic finding.</t>
        </is>
      </c>
      <c r="E13" s="4" t="inlineStr"/>
      <c r="F13" s="4" t="inlineStr"/>
      <c r="G13" s="4" t="inlineStr"/>
    </row>
    <row r="14">
      <c r="A14" s="4" t="inlineStr">
        <is>
          <t>4.8.7-P2</t>
        </is>
      </c>
      <c r="B14" s="4" t="inlineStr">
        <is>
          <t>4.8.7</t>
        </is>
      </c>
      <c r="C14" s="4" t="inlineStr">
        <is>
          <t>medical_student</t>
        </is>
      </c>
      <c r="D14" s="4" t="inlineStr">
        <is>
          <t>Assess the range, which will be limited by the tension, and record that the effusion was present when it was measured.</t>
        </is>
      </c>
      <c r="E14" s="4" t="inlineStr"/>
      <c r="F14" s="4" t="inlineStr"/>
      <c r="G14" s="4" t="inlineStr"/>
    </row>
    <row r="15">
      <c r="A15" s="4" t="inlineStr">
        <is>
          <t>4.8.7-P3</t>
        </is>
      </c>
      <c r="B15" s="4" t="inlineStr">
        <is>
          <t>4.8.7</t>
        </is>
      </c>
      <c r="C15" s="4" t="inlineStr">
        <is>
          <t>medical_student</t>
        </is>
      </c>
      <c r="D15" s="4" t="inlineStr">
        <is>
          <t>Examine the ligaments, accepting that the examination is less reliable in this setting and that guarding produces false reassurance.</t>
        </is>
      </c>
      <c r="E15" s="4" t="inlineStr"/>
      <c r="F15" s="4" t="inlineStr"/>
      <c r="G15" s="4" t="inlineStr"/>
    </row>
    <row r="16">
      <c r="A16" s="4" t="inlineStr">
        <is>
          <t>4.8.7-P4</t>
        </is>
      </c>
      <c r="B16" s="4" t="inlineStr">
        <is>
          <t>4.8.7</t>
        </is>
      </c>
      <c r="C16" s="4" t="inlineStr">
        <is>
          <t>medical_student</t>
        </is>
      </c>
      <c r="D16" s="4" t="inlineStr">
        <is>
          <t>Examine for a patellar dislocation: medial retinacular tenderness, apprehension and a palpable defect.</t>
        </is>
      </c>
      <c r="E16" s="4" t="inlineStr"/>
      <c r="F16" s="4" t="inlineStr"/>
      <c r="G16" s="4" t="inlineStr"/>
    </row>
    <row r="17">
      <c r="A17" s="4" t="inlineStr">
        <is>
          <t>4.8.8-P1</t>
        </is>
      </c>
      <c r="B17" s="4" t="inlineStr">
        <is>
          <t>4.8.8</t>
        </is>
      </c>
      <c r="C17" s="4" t="inlineStr">
        <is>
          <t>medical_student</t>
        </is>
      </c>
      <c r="D17" s="4" t="inlineStr">
        <is>
          <t>Assess the effusion's size and compliance, since a large compliant effusion suggests a slow accumulation.</t>
        </is>
      </c>
      <c r="E17" s="4" t="inlineStr"/>
      <c r="F17" s="4" t="inlineStr"/>
      <c r="G17" s="4" t="inlineStr"/>
    </row>
    <row r="18">
      <c r="A18" s="4" t="inlineStr">
        <is>
          <t>4.8.8-P2</t>
        </is>
      </c>
      <c r="B18" s="4" t="inlineStr">
        <is>
          <t>4.8.8</t>
        </is>
      </c>
      <c r="C18" s="4" t="inlineStr">
        <is>
          <t>medical_student</t>
        </is>
      </c>
      <c r="D18" s="4" t="inlineStr">
        <is>
          <t>Assess the temperature, because warmth moves the differential towards inflammation, crystal disease or infection.</t>
        </is>
      </c>
      <c r="E18" s="4" t="inlineStr"/>
      <c r="F18" s="4" t="inlineStr"/>
      <c r="G18" s="4" t="inlineStr"/>
    </row>
    <row r="19">
      <c r="A19" s="4" t="inlineStr">
        <is>
          <t>4.8.8-P3</t>
        </is>
      </c>
      <c r="B19" s="4" t="inlineStr">
        <is>
          <t>4.8.8</t>
        </is>
      </c>
      <c r="C19" s="4" t="inlineStr">
        <is>
          <t>medical_student</t>
        </is>
      </c>
      <c r="D19" s="4" t="inlineStr">
        <is>
          <t>Examine the other joints and ask about systemic symptoms, since a knee is one joint of several in inflammatory disease.</t>
        </is>
      </c>
      <c r="E19" s="4" t="inlineStr"/>
      <c r="F19" s="4" t="inlineStr"/>
      <c r="G19" s="4" t="inlineStr"/>
    </row>
    <row r="20">
      <c r="A20" s="4" t="inlineStr">
        <is>
          <t>4.8.8-P4</t>
        </is>
      </c>
      <c r="B20" s="4" t="inlineStr">
        <is>
          <t>4.8.8</t>
        </is>
      </c>
      <c r="C20" s="4" t="inlineStr">
        <is>
          <t>medical_student</t>
        </is>
      </c>
      <c r="D20" s="4" t="inlineStr">
        <is>
          <t>Examine the popliteal fossa, since a chronic effusion commonly fills a cyst.</t>
        </is>
      </c>
      <c r="E20" s="4" t="inlineStr"/>
      <c r="F20" s="4" t="inlineStr"/>
      <c r="G20" s="4" t="inlineStr"/>
    </row>
    <row r="21">
      <c r="A21" s="4" t="inlineStr">
        <is>
          <t>4.8.9-P1</t>
        </is>
      </c>
      <c r="B21" s="4" t="inlineStr">
        <is>
          <t>4.8.9</t>
        </is>
      </c>
      <c r="C21" s="4" t="inlineStr">
        <is>
          <t>medical_student</t>
        </is>
      </c>
      <c r="D21" s="4" t="inlineStr">
        <is>
          <t>Assess the effusion in the usual way, noting its size and compliance.</t>
        </is>
      </c>
      <c r="E21" s="4" t="inlineStr"/>
      <c r="F21" s="4" t="inlineStr"/>
      <c r="G21" s="4" t="inlineStr"/>
    </row>
    <row r="22">
      <c r="A22" s="4" t="inlineStr">
        <is>
          <t>4.8.9-P2</t>
        </is>
      </c>
      <c r="B22" s="4" t="inlineStr">
        <is>
          <t>4.8.9</t>
        </is>
      </c>
      <c r="C22" s="4" t="inlineStr">
        <is>
          <t>medical_student</t>
        </is>
      </c>
      <c r="D22" s="4" t="inlineStr">
        <is>
          <t>Assess the temperature, comparing both knees and the limb above and below.</t>
        </is>
      </c>
      <c r="E22" s="4" t="inlineStr"/>
      <c r="F22" s="4" t="inlineStr"/>
      <c r="G22" s="4" t="inlineStr"/>
    </row>
    <row r="23">
      <c r="A23" s="4" t="inlineStr">
        <is>
          <t>4.8.9-P3</t>
        </is>
      </c>
      <c r="B23" s="4" t="inlineStr">
        <is>
          <t>4.8.9</t>
        </is>
      </c>
      <c r="C23" s="4" t="inlineStr">
        <is>
          <t>medical_student</t>
        </is>
      </c>
      <c r="D23" s="4" t="inlineStr">
        <is>
          <t>Examine the other joints and the skin, and ask about systemic symptoms, morning stiffness and family history.</t>
        </is>
      </c>
      <c r="E23" s="4" t="inlineStr"/>
      <c r="F23" s="4" t="inlineStr"/>
      <c r="G23" s="4" t="inlineStr"/>
    </row>
    <row r="24">
      <c r="A24" s="4" t="inlineStr">
        <is>
          <t>4.8.9-P4</t>
        </is>
      </c>
      <c r="B24" s="4" t="inlineStr">
        <is>
          <t>4.8.9</t>
        </is>
      </c>
      <c r="C24" s="4" t="inlineStr">
        <is>
          <t>frcs</t>
        </is>
      </c>
      <c r="D24" s="4" t="inlineStr">
        <is>
          <t>A knee with synovitis and no mechanical findings should not be arthroscoped, and the examination is what establishes that.</t>
        </is>
      </c>
      <c r="E24" s="4" t="inlineStr"/>
      <c r="F24" s="4" t="inlineStr"/>
      <c r="G24" s="4" t="inlineStr"/>
    </row>
    <row r="25">
      <c r="A25" s="4" t="inlineStr">
        <is>
          <t>4.8.9-P5</t>
        </is>
      </c>
      <c r="B25" s="4" t="inlineStr">
        <is>
          <t>4.8.9</t>
        </is>
      </c>
      <c r="C25" s="4" t="inlineStr">
        <is>
          <t>frcs</t>
        </is>
      </c>
      <c r="D25" s="4" t="inlineStr">
        <is>
          <t>- A knee with synovitis and no mechanical findings should not be arthroscoped.</t>
        </is>
      </c>
      <c r="E25" s="4" t="inlineStr"/>
      <c r="F25" s="4" t="inlineStr"/>
      <c r="G25" s="4" t="inlineStr"/>
    </row>
    <row r="26">
      <c r="A26" s="4" t="inlineStr">
        <is>
          <t>4.8.10-P1</t>
        </is>
      </c>
      <c r="B26" s="4" t="inlineStr">
        <is>
          <t>4.8.10</t>
        </is>
      </c>
      <c r="C26" s="4" t="inlineStr">
        <is>
          <t>medical_student</t>
        </is>
      </c>
      <c r="D26" s="4" t="inlineStr">
        <is>
          <t>Assess the effusion's size and tension.</t>
        </is>
      </c>
      <c r="E26" s="4" t="inlineStr"/>
      <c r="F26" s="4" t="inlineStr"/>
      <c r="G26" s="4" t="inlineStr"/>
    </row>
    <row r="27">
      <c r="A27" s="4" t="inlineStr">
        <is>
          <t>4.8.10-P2</t>
        </is>
      </c>
      <c r="B27" s="4" t="inlineStr">
        <is>
          <t>4.8.10</t>
        </is>
      </c>
      <c r="C27" s="4" t="inlineStr">
        <is>
          <t>medical_student</t>
        </is>
      </c>
      <c r="D27" s="4" t="inlineStr">
        <is>
          <t>Assess the temperature of the knee and of the limb, and take the patient's temperature.</t>
        </is>
      </c>
      <c r="E27" s="4" t="inlineStr"/>
      <c r="F27" s="4" t="inlineStr"/>
      <c r="G27" s="4" t="inlineStr"/>
    </row>
    <row r="28">
      <c r="A28" s="4" t="inlineStr">
        <is>
          <t>4.8.10-P3</t>
        </is>
      </c>
      <c r="B28" s="4" t="inlineStr">
        <is>
          <t>4.8.10</t>
        </is>
      </c>
      <c r="C28" s="4" t="inlineStr">
        <is>
          <t>medical_student</t>
        </is>
      </c>
      <c r="D28" s="4" t="inlineStr">
        <is>
          <t>Assess the range, which is usually severely limited by pain rather than by any structural restriction.</t>
        </is>
      </c>
      <c r="E28" s="4" t="inlineStr"/>
      <c r="F28" s="4" t="inlineStr"/>
      <c r="G28" s="4" t="inlineStr"/>
    </row>
    <row r="29">
      <c r="A29" s="4" t="inlineStr">
        <is>
          <t>4.8.10-P4</t>
        </is>
      </c>
      <c r="B29" s="4" t="inlineStr">
        <is>
          <t>4.8.10</t>
        </is>
      </c>
      <c r="C29" s="4" t="inlineStr">
        <is>
          <t>medical_student</t>
        </is>
      </c>
      <c r="D29" s="4" t="inlineStr">
        <is>
          <t>Examine the other joints, since crystal disease is often polyarticular and a history of a similar attack elsewhere is strongly suggestive.</t>
        </is>
      </c>
      <c r="E29" s="4" t="inlineStr"/>
      <c r="F29" s="4" t="inlineStr"/>
      <c r="G29" s="4" t="inlineStr"/>
    </row>
    <row r="30">
      <c r="A30" s="4" t="inlineStr">
        <is>
          <t>4.8.10-P5</t>
        </is>
      </c>
      <c r="B30" s="4" t="inlineStr">
        <is>
          <t>4.8.10</t>
        </is>
      </c>
      <c r="C30" s="4" t="inlineStr">
        <is>
          <t>medical_student</t>
        </is>
      </c>
      <c r="D30" s="4" t="inlineStr">
        <is>
          <t>Ask about previous attacks, diet, alcohol, diuretics and renal function, since the history carries the diagnosis more than the examination does.</t>
        </is>
      </c>
      <c r="E30" s="4" t="inlineStr"/>
      <c r="F30" s="4" t="inlineStr"/>
      <c r="G30" s="4" t="inlineStr"/>
    </row>
    <row r="31">
      <c r="A31" s="4" t="inlineStr">
        <is>
          <t>4.8.10-P6</t>
        </is>
      </c>
      <c r="B31" s="4" t="inlineStr">
        <is>
          <t>4.8.10</t>
        </is>
      </c>
      <c r="C31" s="4" t="inlineStr">
        <is>
          <t>frcs</t>
        </is>
      </c>
      <c r="D31" s="4" t="inlineStr">
        <is>
          <t>A knee with crystal disease should not be arthroscoped for its effusion, and the recognisable futility in this area is a mechanical operation on a crystal knee.</t>
        </is>
      </c>
      <c r="E31" s="4" t="inlineStr"/>
      <c r="F31" s="4" t="inlineStr"/>
      <c r="G31" s="4" t="inlineStr"/>
    </row>
  </sheetData>
  <dataValidations count="1">
    <dataValidation sqref="E3:E3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29</f>
        <v/>
      </c>
      <c r="C2" s="3">
        <f>0</f>
        <v/>
      </c>
    </row>
    <row r="3">
      <c r="A3" s="2" t="inlineStr">
        <is>
          <t>Decided</t>
        </is>
      </c>
      <c r="B3" s="3">
        <f>COUNTIF(Recommendations!E3:E31,"&lt;&gt;")</f>
        <v/>
      </c>
      <c r="C3" s="3">
        <f>COUNTIF(Measurements!F3:F2,"&lt;&gt;")</f>
        <v/>
      </c>
    </row>
    <row r="4">
      <c r="A4" s="2" t="inlineStr">
        <is>
          <t>Still blank</t>
        </is>
      </c>
      <c r="B4" s="3">
        <f>B2-B3</f>
        <v/>
      </c>
      <c r="C4" s="3">
        <f>C2-C3</f>
        <v/>
      </c>
    </row>
    <row r="5">
      <c r="A5" s="2" t="inlineStr">
        <is>
          <t>CONFIRMED</t>
        </is>
      </c>
      <c r="B5" s="3">
        <f>COUNTIF(Recommendations!E3:E31,"CONFIRMED")</f>
        <v/>
      </c>
      <c r="C5" s="3" t="inlineStr"/>
    </row>
    <row r="6">
      <c r="A6" s="2" t="inlineStr">
        <is>
          <t>AMENDED</t>
        </is>
      </c>
      <c r="B6" s="3">
        <f>COUNTIF(Recommendations!E3:E31,"AMENDED")</f>
        <v/>
      </c>
      <c r="C6" s="3" t="inlineStr"/>
    </row>
    <row r="7">
      <c r="A7" s="2" t="inlineStr">
        <is>
          <t>WITHDRAWN</t>
        </is>
      </c>
      <c r="B7" s="3">
        <f>COUNTIF(Recommendations!E3:E31,"WITHDRAWN")</f>
        <v/>
      </c>
      <c r="C7" s="3" t="inlineStr"/>
    </row>
    <row r="8">
      <c r="A8" s="2" t="inlineStr">
        <is>
          <t>NOT_CLINICAL</t>
        </is>
      </c>
      <c r="B8" s="3">
        <f>COUNTIF(Recommendations!E3:E31,"NOT_CLINICAL")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2026-10-12T21:22:17Z</dcterms:created>
  <dcterms:modified xmlns:dcterms="http://purl.org/dc/terms/" xmlns:xsi="http://www.w3.org/2001/XMLSchema-instance" xsi:type="dcterms:W3CDTF">2026-10-12T21:22:17Z</dcterms:modified>
</cp:coreProperties>
</file>