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4.5 Alignment Assessment</t>
        </is>
      </c>
    </row>
    <row r="3">
      <c r="A3" s="2" t="inlineStr">
        <is>
          <t>Section</t>
        </is>
      </c>
      <c r="B3" s="3" t="inlineStr">
        <is>
          <t>4</t>
        </is>
      </c>
    </row>
    <row r="4">
      <c r="A4" s="2" t="inlineStr">
        <is>
          <t>Chapter</t>
        </is>
      </c>
      <c r="B4" s="3" t="inlineStr">
        <is>
          <t>4.5 Alignment Assessment</t>
        </is>
      </c>
    </row>
    <row r="5">
      <c r="A5" s="2" t="inlineStr">
        <is>
          <t>Pages</t>
        </is>
      </c>
      <c r="B5" s="3" t="n">
        <v>8</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11,825</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2</v>
      </c>
    </row>
    <row r="12">
      <c r="A12" s="2" t="inlineStr">
        <is>
          <t>Recommendations to sign</t>
        </is>
      </c>
      <c r="B12" s="3" t="n">
        <v>14</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4.5.1</t>
        </is>
      </c>
      <c r="B2" s="6" t="inlineStr">
        <is>
          <t>Mechanical Axis Assessment</t>
        </is>
      </c>
      <c r="C2" s="6" t="n">
        <v>4</v>
      </c>
      <c r="D2" s="6" t="n">
        <v>1505</v>
      </c>
      <c r="E2" s="6" t="inlineStr">
        <is>
          <t>examination/mechanical-axis-assessment.html</t>
        </is>
      </c>
    </row>
    <row r="3">
      <c r="A3" s="6" t="inlineStr">
        <is>
          <t>4.5.2</t>
        </is>
      </c>
      <c r="B3" s="6" t="inlineStr">
        <is>
          <t>Varus Alignment</t>
        </is>
      </c>
      <c r="C3" s="6" t="n">
        <v>4</v>
      </c>
      <c r="D3" s="6" t="n">
        <v>1474</v>
      </c>
      <c r="E3" s="6" t="inlineStr">
        <is>
          <t>examination/varus-alignment.html</t>
        </is>
      </c>
    </row>
    <row r="4">
      <c r="A4" s="6" t="inlineStr">
        <is>
          <t>4.5.3</t>
        </is>
      </c>
      <c r="B4" s="6" t="inlineStr">
        <is>
          <t>Valgus Alignment</t>
        </is>
      </c>
      <c r="C4" s="6" t="n">
        <v>4</v>
      </c>
      <c r="D4" s="6" t="n">
        <v>1453</v>
      </c>
      <c r="E4" s="6" t="inlineStr">
        <is>
          <t>examination/valgus-alignment.html</t>
        </is>
      </c>
    </row>
    <row r="5">
      <c r="A5" s="6" t="inlineStr">
        <is>
          <t>4.5.4</t>
        </is>
      </c>
      <c r="B5" s="6" t="inlineStr">
        <is>
          <t>Flexion Deformity</t>
        </is>
      </c>
      <c r="C5" s="6" t="n">
        <v>4</v>
      </c>
      <c r="D5" s="6" t="n">
        <v>1500</v>
      </c>
      <c r="E5" s="6" t="inlineStr">
        <is>
          <t>examination/flexion-deformity.html</t>
        </is>
      </c>
    </row>
    <row r="6">
      <c r="A6" s="6" t="inlineStr">
        <is>
          <t>4.5.5</t>
        </is>
      </c>
      <c r="B6" s="6" t="inlineStr">
        <is>
          <t>Hyperextension</t>
        </is>
      </c>
      <c r="C6" s="6" t="n">
        <v>4</v>
      </c>
      <c r="D6" s="6" t="n">
        <v>1430</v>
      </c>
      <c r="E6" s="6" t="inlineStr">
        <is>
          <t>examination/hyperextension-alignment.html</t>
        </is>
      </c>
    </row>
    <row r="7">
      <c r="A7" s="6" t="inlineStr">
        <is>
          <t>4.5.6</t>
        </is>
      </c>
      <c r="B7" s="6" t="inlineStr">
        <is>
          <t>Rotational Alignment</t>
        </is>
      </c>
      <c r="C7" s="6" t="n">
        <v>4</v>
      </c>
      <c r="D7" s="6" t="n">
        <v>1506</v>
      </c>
      <c r="E7" s="6" t="inlineStr">
        <is>
          <t>examination/rotational-alignment.html</t>
        </is>
      </c>
    </row>
    <row r="8">
      <c r="A8" s="6" t="inlineStr">
        <is>
          <t>4.5.7</t>
        </is>
      </c>
      <c r="B8" s="6" t="inlineStr">
        <is>
          <t>Dynamic Alignment</t>
        </is>
      </c>
      <c r="C8" s="6" t="n">
        <v>4</v>
      </c>
      <c r="D8" s="6" t="n">
        <v>1496</v>
      </c>
      <c r="E8" s="6" t="inlineStr">
        <is>
          <t>examination/dynamic-alignment.html</t>
        </is>
      </c>
    </row>
    <row r="9">
      <c r="A9" s="6" t="inlineStr">
        <is>
          <t>4.5.8</t>
        </is>
      </c>
      <c r="B9" s="6" t="inlineStr">
        <is>
          <t>Limb Length Assessment</t>
        </is>
      </c>
      <c r="C9" s="6" t="n">
        <v>4</v>
      </c>
      <c r="D9" s="6" t="n">
        <v>1461</v>
      </c>
      <c r="E9" s="6" t="inlineStr">
        <is>
          <t>examination/limb-length-assessment.html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4.5.1</t>
        </is>
      </c>
      <c r="B2" s="4" t="inlineStr">
        <is>
          <t>Mechanical Axis Assessment</t>
        </is>
      </c>
      <c r="C2" s="4" t="inlineStr">
        <is>
          <t>The alignment is the commonest reason a soft tissue question has a bony answer.</t>
        </is>
      </c>
    </row>
    <row r="3">
      <c r="A3" s="4" t="inlineStr">
        <is>
          <t>4.5.1</t>
        </is>
      </c>
      <c r="B3" s="4" t="inlineStr">
        <is>
          <t>Mechanical Axis Assessment</t>
        </is>
      </c>
      <c r="C3" s="4" t="inlineStr">
        <is>
          <t>Two competent reconstructions with a persisting complaint usually means alignment or slope.</t>
        </is>
      </c>
    </row>
    <row r="4">
      <c r="A4" s="4" t="inlineStr">
        <is>
          <t>4.5.1</t>
        </is>
      </c>
      <c r="B4" s="4" t="inlineStr">
        <is>
          <t>Mechanical Axis Assessment</t>
        </is>
      </c>
      <c r="C4" s="4" t="inlineStr">
        <is>
          <t>A stretched lateral reconstruction in a varus limb had the operations in the wrong order.</t>
        </is>
      </c>
    </row>
    <row r="5">
      <c r="A5" s="4" t="inlineStr">
        <is>
          <t>4.5.1</t>
        </is>
      </c>
      <c r="B5" s="4" t="inlineStr">
        <is>
          <t>Mechanical Axis Assessment</t>
        </is>
      </c>
      <c r="C5" s="4" t="inlineStr">
        <is>
          <t>After an osteotomy the question is whether the correction achieved the plan.</t>
        </is>
      </c>
    </row>
    <row r="6">
      <c r="A6" s="4" t="inlineStr">
        <is>
          <t>4.5.1</t>
        </is>
      </c>
      <c r="B6" s="4" t="inlineStr">
        <is>
          <t>Mechanical Axis Assessment</t>
        </is>
      </c>
      <c r="C6" s="4" t="inlineStr">
        <is>
          <t>Correcting a constitutional varus to a neutral axis is a judgement, not an obvious target.</t>
        </is>
      </c>
    </row>
    <row r="7">
      <c r="A7" s="4" t="inlineStr">
        <is>
          <t>4.5.2</t>
        </is>
      </c>
      <c r="B7" s="4" t="inlineStr">
        <is>
          <t>Varus Alignment</t>
        </is>
      </c>
      <c r="C7" s="4" t="inlineStr">
        <is>
          <t>Varus alignment most often explains a failed lateral reconstruction and is usually missing from the first assessment.</t>
        </is>
      </c>
    </row>
    <row r="8">
      <c r="A8" s="4" t="inlineStr">
        <is>
          <t>4.5.2</t>
        </is>
      </c>
      <c r="B8" s="4" t="inlineStr">
        <is>
          <t>Varus Alignment</t>
        </is>
      </c>
      <c r="C8" s="4" t="inlineStr">
        <is>
          <t>A stretched lateral graft with a varus thrust needs a correction, not another graft.</t>
        </is>
      </c>
    </row>
    <row r="9">
      <c r="A9" s="4" t="inlineStr">
        <is>
          <t>4.5.2</t>
        </is>
      </c>
      <c r="B9" s="4" t="inlineStr">
        <is>
          <t>Varus Alignment</t>
        </is>
      </c>
      <c r="C9" s="4" t="inlineStr">
        <is>
          <t>With a stretched posterior cruciate graft the tibial slope is the finding most often missed.</t>
        </is>
      </c>
    </row>
    <row r="10">
      <c r="A10" s="4" t="inlineStr">
        <is>
          <t>4.5.2</t>
        </is>
      </c>
      <c r="B10" s="4" t="inlineStr">
        <is>
          <t>Varus Alignment</t>
        </is>
      </c>
      <c r="C10" s="4" t="inlineStr">
        <is>
          <t>A thrust after an osteotomy is under correction or a ligament problem the correction exposed.</t>
        </is>
      </c>
    </row>
    <row r="11">
      <c r="A11" s="4" t="inlineStr">
        <is>
          <t>4.5.2</t>
        </is>
      </c>
      <c r="B11" s="4" t="inlineStr">
        <is>
          <t>Varus Alignment</t>
        </is>
      </c>
      <c r="C11" s="4" t="inlineStr">
        <is>
          <t>Correcting a constitutional varus in an athlete has costs to set against the ligament gain.</t>
        </is>
      </c>
    </row>
    <row r="12">
      <c r="A12" s="4" t="inlineStr">
        <is>
          <t>4.5.3</t>
        </is>
      </c>
      <c r="B12" s="4" t="inlineStr">
        <is>
          <t>Valgus Alignment</t>
        </is>
      </c>
      <c r="C12" s="4" t="inlineStr">
        <is>
          <t>A medial reconstruction that becomes lax over two years in a valgus limb is a creep problem.</t>
        </is>
      </c>
    </row>
    <row r="13">
      <c r="A13" s="4" t="inlineStr">
        <is>
          <t>4.5.3</t>
        </is>
      </c>
      <c r="B13" s="4" t="inlineStr">
        <is>
          <t>Valgus Alignment</t>
        </is>
      </c>
      <c r="C13" s="4" t="inlineStr">
        <is>
          <t>The same mechanism acts on a cruciate graft, and the correction is part of the revision.</t>
        </is>
      </c>
    </row>
    <row r="14">
      <c r="A14" s="4" t="inlineStr">
        <is>
          <t>4.5.3</t>
        </is>
      </c>
      <c r="B14" s="4" t="inlineStr">
        <is>
          <t>Valgus Alignment</t>
        </is>
      </c>
      <c r="C14" s="4" t="inlineStr">
        <is>
          <t>After a lateral arthroplasty or osteotomy the pre-operative films are needed.</t>
        </is>
      </c>
    </row>
    <row r="15">
      <c r="A15" s="4" t="inlineStr">
        <is>
          <t>4.5.3</t>
        </is>
      </c>
      <c r="B15" s="4" t="inlineStr">
        <is>
          <t>Valgus Alignment</t>
        </is>
      </c>
      <c r="C15" s="4" t="inlineStr">
        <is>
          <t>In an uncontrolled inflammatory arthritis a correction recurs.</t>
        </is>
      </c>
    </row>
    <row r="16">
      <c r="A16" s="4" t="inlineStr">
        <is>
          <t>4.5.3</t>
        </is>
      </c>
      <c r="B16" s="4" t="inlineStr">
        <is>
          <t>Valgus Alignment</t>
        </is>
      </c>
      <c r="C16" s="4" t="inlineStr">
        <is>
          <t>A valgus deformity is almost never attributable to a single injury.</t>
        </is>
      </c>
    </row>
    <row r="17">
      <c r="A17" s="4" t="inlineStr">
        <is>
          <t>4.5.4</t>
        </is>
      </c>
      <c r="B17" s="4" t="inlineStr">
        <is>
          <t>Flexion Deformity</t>
        </is>
      </c>
      <c r="C17" s="4" t="inlineStr">
        <is>
          <t>A persisting deformity after reconstruction is a common cause of dissatisfaction and is rarely followed.</t>
        </is>
      </c>
    </row>
    <row r="18">
      <c r="A18" s="4" t="inlineStr">
        <is>
          <t>4.5.4</t>
        </is>
      </c>
      <c r="B18" s="4" t="inlineStr">
        <is>
          <t>Flexion Deformity</t>
        </is>
      </c>
      <c r="C18" s="4" t="inlineStr">
        <is>
          <t>A firm block with a reconstruction has a straightforward treatment and is often referred late.</t>
        </is>
      </c>
    </row>
    <row r="19">
      <c r="A19" s="4" t="inlineStr">
        <is>
          <t>4.5.4</t>
        </is>
      </c>
      <c r="B19" s="4" t="inlineStr">
        <is>
          <t>Flexion Deformity</t>
        </is>
      </c>
      <c r="C19" s="4" t="inlineStr">
        <is>
          <t>A soft contracture after reconstruction is arthrofibrosis, with a less certain result.</t>
        </is>
      </c>
    </row>
    <row r="20">
      <c r="A20" s="4" t="inlineStr">
        <is>
          <t>4.5.4</t>
        </is>
      </c>
      <c r="B20" s="4" t="inlineStr">
        <is>
          <t>Flexion Deformity</t>
        </is>
      </c>
      <c r="C20" s="4" t="inlineStr">
        <is>
          <t>A deformity with posterior cruciate deficiency makes every laxity measurement unreliable.</t>
        </is>
      </c>
    </row>
    <row r="21">
      <c r="A21" s="4" t="inlineStr">
        <is>
          <t>4.5.4</t>
        </is>
      </c>
      <c r="B21" s="4" t="inlineStr">
        <is>
          <t>Flexion Deformity</t>
        </is>
      </c>
      <c r="C21" s="4" t="inlineStr">
        <is>
          <t>The absence of any recorded extension figure is the commonest reason a stiffness claim cannot be assessed.</t>
        </is>
      </c>
    </row>
    <row r="22">
      <c r="A22" s="4" t="inlineStr">
        <is>
          <t>4.5.5</t>
        </is>
      </c>
      <c r="B22" s="4" t="inlineStr">
        <is>
          <t>Hyperextension</t>
        </is>
      </c>
      <c r="C22" s="4" t="inlineStr">
        <is>
          <t>It is one of the few findings easy to reproduce exactly, which makes it good to follow.</t>
        </is>
      </c>
    </row>
    <row r="23">
      <c r="A23" s="4" t="inlineStr">
        <is>
          <t>4.5.5</t>
        </is>
      </c>
      <c r="B23" s="4" t="inlineStr">
        <is>
          <t>Hyperextension</t>
        </is>
      </c>
      <c r="C23" s="4" t="inlineStr">
        <is>
          <t>Increasing hyperextension after a corner reconstruction is clearer evidence of stretch than rotation is.</t>
        </is>
      </c>
    </row>
    <row r="24">
      <c r="A24" s="4" t="inlineStr">
        <is>
          <t>4.5.5</t>
        </is>
      </c>
      <c r="B24" s="4" t="inlineStr">
        <is>
          <t>Hyperextension</t>
        </is>
      </c>
      <c r="C24" s="4" t="inlineStr">
        <is>
          <t>A recurvatum preceding the injury is constitutional, and attribution matters.</t>
        </is>
      </c>
    </row>
    <row r="25">
      <c r="A25" s="4" t="inlineStr">
        <is>
          <t>4.5.5</t>
        </is>
      </c>
      <c r="B25" s="4" t="inlineStr">
        <is>
          <t>Hyperextension</t>
        </is>
      </c>
      <c r="C25" s="4" t="inlineStr">
        <is>
          <t>Hyperextension with posterior cruciate deficiency progresses, since each permits the other.</t>
        </is>
      </c>
    </row>
    <row r="26">
      <c r="A26" s="4" t="inlineStr">
        <is>
          <t>4.5.5</t>
        </is>
      </c>
      <c r="B26" s="4" t="inlineStr">
        <is>
          <t>Hyperextension</t>
        </is>
      </c>
      <c r="C26" s="4" t="inlineStr">
        <is>
          <t>In hypermobility, tensioning to the other side reproduces the hyperextension.</t>
        </is>
      </c>
    </row>
    <row r="27">
      <c r="A27" s="4" t="inlineStr">
        <is>
          <t>4.5.6</t>
        </is>
      </c>
      <c r="B27" s="4" t="inlineStr">
        <is>
          <t>Rotational Alignment</t>
        </is>
      </c>
      <c r="C27" s="4" t="inlineStr">
        <is>
          <t>Malrotation is the diagnosis that was not considered, after several operations that could not have helped.</t>
        </is>
      </c>
    </row>
    <row r="28">
      <c r="A28" s="4" t="inlineStr">
        <is>
          <t>4.5.6</t>
        </is>
      </c>
      <c r="B28" s="4" t="inlineStr">
        <is>
          <t>Rotational Alignment</t>
        </is>
      </c>
      <c r="C28" s="4" t="inlineStr">
        <is>
          <t>Persisting pain after a tibial osteotomy may be a rotational malunion.</t>
        </is>
      </c>
    </row>
    <row r="29">
      <c r="A29" s="4" t="inlineStr">
        <is>
          <t>4.5.6</t>
        </is>
      </c>
      <c r="B29" s="4" t="inlineStr">
        <is>
          <t>Rotational Alignment</t>
        </is>
      </c>
      <c r="C29" s="4" t="inlineStr">
        <is>
          <t>An asymmetrical baseline torsion can produce a false positive dial test with real consequences.</t>
        </is>
      </c>
    </row>
    <row r="30">
      <c r="A30" s="4" t="inlineStr">
        <is>
          <t>4.5.6</t>
        </is>
      </c>
      <c r="B30" s="4" t="inlineStr">
        <is>
          <t>Rotational Alignment</t>
        </is>
      </c>
      <c r="C30" s="4" t="inlineStr">
        <is>
          <t>A reconstruction in an abnormal rotational position is tensioned wrongly.</t>
        </is>
      </c>
    </row>
    <row r="31">
      <c r="A31" s="4" t="inlineStr">
        <is>
          <t>4.5.6</t>
        </is>
      </c>
      <c r="B31" s="4" t="inlineStr">
        <is>
          <t>Rotational Alignment</t>
        </is>
      </c>
      <c r="C31" s="4" t="inlineStr">
        <is>
          <t>Pre-injury rotational alignment is almost never recorded, which complicates attribution.</t>
        </is>
      </c>
    </row>
    <row r="32">
      <c r="A32" s="4" t="inlineStr">
        <is>
          <t>4.5.7</t>
        </is>
      </c>
      <c r="B32" s="4" t="inlineStr">
        <is>
          <t>Dynamic Alignment</t>
        </is>
      </c>
      <c r="C32" s="4" t="inlineStr">
        <is>
          <t>The thrust explains the failed reconstruction and is usually the finding nobody looked for.</t>
        </is>
      </c>
    </row>
    <row r="33">
      <c r="A33" s="4" t="inlineStr">
        <is>
          <t>4.5.7</t>
        </is>
      </c>
      <c r="B33" s="4" t="inlineStr">
        <is>
          <t>Dynamic Alignment</t>
        </is>
      </c>
      <c r="C33" s="4" t="inlineStr">
        <is>
          <t>A stretched lateral reconstruction with a varus thrust needs a correction, not a graft.</t>
        </is>
      </c>
    </row>
    <row r="34">
      <c r="A34" s="4" t="inlineStr">
        <is>
          <t>4.5.7</t>
        </is>
      </c>
      <c r="B34" s="4" t="inlineStr">
        <is>
          <t>Dynamic Alignment</t>
        </is>
      </c>
      <c r="C34" s="4" t="inlineStr">
        <is>
          <t>A thrust after an osteotomy is under correction or a ligament problem the correction exposed.</t>
        </is>
      </c>
    </row>
    <row r="35">
      <c r="A35" s="4" t="inlineStr">
        <is>
          <t>4.5.7</t>
        </is>
      </c>
      <c r="B35" s="4" t="inlineStr">
        <is>
          <t>Dynamic Alignment</t>
        </is>
      </c>
      <c r="C35" s="4" t="inlineStr">
        <is>
          <t>An unrecovered nerve palsy resembles a thrust and is not ligamentous.</t>
        </is>
      </c>
    </row>
    <row r="36">
      <c r="A36" s="4" t="inlineStr">
        <is>
          <t>4.5.7</t>
        </is>
      </c>
      <c r="B36" s="4" t="inlineStr">
        <is>
          <t>Dynamic Alignment</t>
        </is>
      </c>
      <c r="C36" s="4" t="inlineStr">
        <is>
          <t>A new thrust in a deficient knee is the clearest sign the compartment has changed.</t>
        </is>
      </c>
    </row>
    <row r="37">
      <c r="A37" s="4" t="inlineStr">
        <is>
          <t>4.5.8</t>
        </is>
      </c>
      <c r="B37" s="4" t="inlineStr">
        <is>
          <t>Limb Length Assessment</t>
        </is>
      </c>
      <c r="C37" s="4" t="inlineStr">
        <is>
          <t>Limb length is most often relevant as something a previous operation changed and nobody recorded.</t>
        </is>
      </c>
    </row>
    <row r="38">
      <c r="A38" s="4" t="inlineStr">
        <is>
          <t>4.5.8</t>
        </is>
      </c>
      <c r="B38" s="4" t="inlineStr">
        <is>
          <t>Limb Length Assessment</t>
        </is>
      </c>
      <c r="C38" s="4" t="inlineStr">
        <is>
          <t>A length complaint after arthroplasty is easier to manage with a raise than to revise.</t>
        </is>
      </c>
    </row>
    <row r="39">
      <c r="A39" s="4" t="inlineStr">
        <is>
          <t>4.5.8</t>
        </is>
      </c>
      <c r="B39" s="4" t="inlineStr">
        <is>
          <t>Limb Length Assessment</t>
        </is>
      </c>
      <c r="C39" s="4" t="inlineStr">
        <is>
          <t>A fixed flexion deformity gains length from correction, which is the accurate way to frame it.</t>
        </is>
      </c>
    </row>
    <row r="40">
      <c r="A40" s="4" t="inlineStr">
        <is>
          <t>4.5.8</t>
        </is>
      </c>
      <c r="B40" s="4" t="inlineStr">
        <is>
          <t>Limb Length Assessment</t>
        </is>
      </c>
      <c r="C40" s="4" t="inlineStr">
        <is>
          <t>In a multiply operated knee the length may limit what further surgery can achieve.</t>
        </is>
      </c>
    </row>
    <row r="41">
      <c r="A41" s="4" t="inlineStr">
        <is>
          <t>4.5.8</t>
        </is>
      </c>
      <c r="B41" s="4" t="inlineStr">
        <is>
          <t>Limb Length Assessment</t>
        </is>
      </c>
      <c r="C41" s="4" t="inlineStr">
        <is>
          <t>A length difference attributed to an injury needs a pre-injury measurement that rarely exists.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4.5.2-P1</t>
        </is>
      </c>
      <c r="B3" s="4" t="inlineStr">
        <is>
          <t>4.5.2</t>
        </is>
      </c>
      <c r="C3" s="4" t="inlineStr">
        <is>
          <t>medical_student</t>
        </is>
      </c>
      <c r="D3" s="4" t="inlineStr">
        <is>
          <t>Examine the lateral ligaments, since a correctable varus in an adult usually means lateral laxity rather than bony change.</t>
        </is>
      </c>
      <c r="E3" s="4" t="inlineStr"/>
      <c r="F3" s="4" t="inlineStr"/>
      <c r="G3" s="4" t="inlineStr"/>
    </row>
    <row r="4">
      <c r="A4" s="4" t="inlineStr">
        <is>
          <t>4.5.3-P1</t>
        </is>
      </c>
      <c r="B4" s="4" t="inlineStr">
        <is>
          <t>4.5.3</t>
        </is>
      </c>
      <c r="C4" s="4" t="inlineStr">
        <is>
          <t>medical_student</t>
        </is>
      </c>
      <c r="D4" s="4" t="inlineStr">
        <is>
          <t>Examine the medial ligaments, since a correctable valgus usually means medial laxity rather than bony change.</t>
        </is>
      </c>
      <c r="E4" s="4" t="inlineStr"/>
      <c r="F4" s="4" t="inlineStr"/>
      <c r="G4" s="4" t="inlineStr"/>
    </row>
    <row r="5">
      <c r="A5" s="4" t="inlineStr">
        <is>
          <t>4.5.4-P1</t>
        </is>
      </c>
      <c r="B5" s="4" t="inlineStr">
        <is>
          <t>4.5.4</t>
        </is>
      </c>
      <c r="C5" s="4" t="inlineStr">
        <is>
          <t>medical_student</t>
        </is>
      </c>
      <c r="D5" s="4" t="inlineStr">
        <is>
          <t>Ask the patient to straighten the knee actively and note how far it goes.</t>
        </is>
      </c>
      <c r="E5" s="4" t="inlineStr"/>
      <c r="F5" s="4" t="inlineStr"/>
      <c r="G5" s="4" t="inlineStr"/>
    </row>
    <row r="6">
      <c r="A6" s="4" t="inlineStr">
        <is>
          <t>4.5.4-P2</t>
        </is>
      </c>
      <c r="B6" s="4" t="inlineStr">
        <is>
          <t>4.5.4</t>
        </is>
      </c>
      <c r="C6" s="4" t="inlineStr">
        <is>
          <t>medical_student</t>
        </is>
      </c>
      <c r="D6" s="4" t="inlineStr">
        <is>
          <t>Measure the deficit in degrees with the knee at its passive limit, and record both the active and the passive figures.</t>
        </is>
      </c>
      <c r="E6" s="4" t="inlineStr"/>
      <c r="F6" s="4" t="inlineStr"/>
      <c r="G6" s="4" t="inlineStr"/>
    </row>
    <row r="7">
      <c r="A7" s="4" t="inlineStr">
        <is>
          <t>4.5.5-P1</t>
        </is>
      </c>
      <c r="B7" s="4" t="inlineStr">
        <is>
          <t>4.5.5</t>
        </is>
      </c>
      <c r="C7" s="4" t="inlineStr">
        <is>
          <t>medical_student</t>
        </is>
      </c>
      <c r="D7" s="4" t="inlineStr">
        <is>
          <t>Measure the hyperextension in degrees on each side and record both figures.</t>
        </is>
      </c>
      <c r="E7" s="4" t="inlineStr"/>
      <c r="F7" s="4" t="inlineStr"/>
      <c r="G7" s="4" t="inlineStr"/>
    </row>
    <row r="8">
      <c r="A8" s="4" t="inlineStr">
        <is>
          <t>4.5.5-P2</t>
        </is>
      </c>
      <c r="B8" s="4" t="inlineStr">
        <is>
          <t>4.5.5</t>
        </is>
      </c>
      <c r="C8" s="4" t="inlineStr">
        <is>
          <t>medical_student</t>
        </is>
      </c>
      <c r="D8" s="4" t="inlineStr">
        <is>
          <t>Assess the other joints for hypermobility, since a generalised pattern changes the interpretation entirely.</t>
        </is>
      </c>
      <c r="E8" s="4" t="inlineStr"/>
      <c r="F8" s="4" t="inlineStr"/>
      <c r="G8" s="4" t="inlineStr"/>
    </row>
    <row r="9">
      <c r="A9" s="4" t="inlineStr">
        <is>
          <t>4.5.5-P3</t>
        </is>
      </c>
      <c r="B9" s="4" t="inlineStr">
        <is>
          <t>4.5.5</t>
        </is>
      </c>
      <c r="C9" s="4" t="inlineStr">
        <is>
          <t>medical_student</t>
        </is>
      </c>
      <c r="D9" s="4" t="inlineStr">
        <is>
          <t>Symmetrical hyperextension of a few degrees is normal and should be recorded as the patient's baseline rather than as a finding.</t>
        </is>
      </c>
      <c r="E9" s="4" t="inlineStr"/>
      <c r="F9" s="4" t="inlineStr"/>
      <c r="G9" s="4" t="inlineStr"/>
    </row>
    <row r="10">
      <c r="A10" s="4" t="inlineStr">
        <is>
          <t>4.5.6-P1</t>
        </is>
      </c>
      <c r="B10" s="4" t="inlineStr">
        <is>
          <t>4.5.6</t>
        </is>
      </c>
      <c r="C10" s="4" t="inlineStr">
        <is>
          <t>medical_student</t>
        </is>
      </c>
      <c r="D10" s="4" t="inlineStr">
        <is>
          <t>Assess femoral rotation by rotating each hip internally and externally and comparing the ranges, since increased internal rotation with reduced external rotation suggests femoral anteversion.</t>
        </is>
      </c>
      <c r="E10" s="4" t="inlineStr"/>
      <c r="F10" s="4" t="inlineStr"/>
      <c r="G10" s="4" t="inlineStr"/>
    </row>
    <row r="11">
      <c r="A11" s="4" t="inlineStr">
        <is>
          <t>4.5.6-P2</t>
        </is>
      </c>
      <c r="B11" s="4" t="inlineStr">
        <is>
          <t>4.5.6</t>
        </is>
      </c>
      <c r="C11" s="4" t="inlineStr">
        <is>
          <t>medical_student</t>
        </is>
      </c>
      <c r="D11" s="4" t="inlineStr">
        <is>
          <t>Assess tibial rotation by looking at the thigh foot angle: the angle between the axis of the thigh and the axis of the foot, with the ankle in neutral.</t>
        </is>
      </c>
      <c r="E11" s="4" t="inlineStr"/>
      <c r="F11" s="4" t="inlineStr"/>
      <c r="G11" s="4" t="inlineStr"/>
    </row>
    <row r="12">
      <c r="A12" s="4" t="inlineStr">
        <is>
          <t>4.5.6-P3</t>
        </is>
      </c>
      <c r="B12" s="4" t="inlineStr">
        <is>
          <t>4.5.6</t>
        </is>
      </c>
      <c r="C12" s="4" t="inlineStr">
        <is>
          <t>medical_student</t>
        </is>
      </c>
      <c r="D12" s="4" t="inlineStr">
        <is>
          <t>Compare both sides and record both figures, since the comparison is the finding.</t>
        </is>
      </c>
      <c r="E12" s="4" t="inlineStr"/>
      <c r="F12" s="4" t="inlineStr"/>
      <c r="G12" s="4" t="inlineStr"/>
    </row>
    <row r="13">
      <c r="A13" s="4" t="inlineStr">
        <is>
          <t>4.5.6-P4</t>
        </is>
      </c>
      <c r="B13" s="4" t="inlineStr">
        <is>
          <t>4.5.6</t>
        </is>
      </c>
      <c r="C13" s="4" t="inlineStr">
        <is>
          <t>frcs</t>
        </is>
      </c>
      <c r="D13" s="4" t="inlineStr">
        <is>
          <t>In ligament assessment the finding is a caveat rather than a decision, but a consequential one: an asymmetrical thigh foot angle makes the dial test unreliable and the measurement must be baselined.</t>
        </is>
      </c>
      <c r="E13" s="4" t="inlineStr"/>
      <c r="F13" s="4" t="inlineStr"/>
      <c r="G13" s="4" t="inlineStr"/>
    </row>
    <row r="14">
      <c r="A14" s="4" t="inlineStr">
        <is>
          <t>4.5.7-P1</t>
        </is>
      </c>
      <c r="B14" s="4" t="inlineStr">
        <is>
          <t>4.5.7</t>
        </is>
      </c>
      <c r="C14" s="4" t="inlineStr">
        <is>
          <t>medical_student</t>
        </is>
      </c>
      <c r="D14" s="4" t="inlineStr">
        <is>
          <t>Compare the static standing alignment with what you see walking, because the difference between the two is the finding.</t>
        </is>
      </c>
      <c r="E14" s="4" t="inlineStr"/>
      <c r="F14" s="4" t="inlineStr"/>
      <c r="G14" s="4" t="inlineStr"/>
    </row>
    <row r="15">
      <c r="A15" s="4" t="inlineStr">
        <is>
          <t>4.5.8-P1</t>
        </is>
      </c>
      <c r="B15" s="4" t="inlineStr">
        <is>
          <t>4.5.8</t>
        </is>
      </c>
      <c r="C15" s="4" t="inlineStr">
        <is>
          <t>medical_student</t>
        </is>
      </c>
      <c r="D15" s="4" t="inlineStr">
        <is>
          <t>Measure the true length from the anterior superior iliac spine to the medial malleolus on each side, using the same landmarks.</t>
        </is>
      </c>
      <c r="E15" s="4" t="inlineStr"/>
      <c r="F15" s="4" t="inlineStr"/>
      <c r="G15" s="4" t="inlineStr"/>
    </row>
    <row r="16">
      <c r="A16" s="4" t="inlineStr">
        <is>
          <t>4.5.8-P2</t>
        </is>
      </c>
      <c r="B16" s="4" t="inlineStr">
        <is>
          <t>4.5.8</t>
        </is>
      </c>
      <c r="C16" s="4" t="inlineStr">
        <is>
          <t>medical_student</t>
        </is>
      </c>
      <c r="D16" s="4" t="inlineStr">
        <is>
          <t>Measure the apparent length from the umbilicus to the medial malleolus, which differs from the true length when the pelvis is tilted or a hip is contracted.</t>
        </is>
      </c>
      <c r="E16" s="4" t="inlineStr"/>
      <c r="F16" s="4" t="inlineStr"/>
      <c r="G16" s="4" t="inlineStr"/>
    </row>
  </sheetData>
  <dataValidations count="1">
    <dataValidation sqref="E3:E16"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4.5.6-F1</t>
        </is>
      </c>
      <c r="B3" s="4" t="inlineStr">
        <is>
          <t>4.5.6</t>
        </is>
      </c>
      <c r="C3" s="4" t="inlineStr">
        <is>
          <t>medical_student</t>
        </is>
      </c>
      <c r="D3" s="4" t="inlineStr">
        <is>
          <t>ninety degrees</t>
        </is>
      </c>
      <c r="E3" s="4" t="inlineStr">
        <is>
          <t>Lay the patient prone with the knees flexed to ninety degrees and the feet upwards.</t>
        </is>
      </c>
      <c r="F3" s="4" t="inlineStr"/>
      <c r="G3" s="4" t="inlineStr"/>
      <c r="H3" s="4" t="inlineStr"/>
    </row>
    <row r="4">
      <c r="A4" s="4" t="inlineStr">
        <is>
          <t>4.5.8-F1</t>
        </is>
      </c>
      <c r="B4" s="4" t="inlineStr">
        <is>
          <t>4.5.8</t>
        </is>
      </c>
      <c r="C4" s="4" t="inlineStr">
        <is>
          <t>medical_student</t>
        </is>
      </c>
      <c r="D4" s="4" t="inlineStr">
        <is>
          <t>ninety degrees</t>
        </is>
      </c>
      <c r="E4" s="4" t="inlineStr">
        <is>
          <t>Flex both knees to ninety degrees with the patient supine and look from the side, which localises a difference to the femur or the tibia.</t>
        </is>
      </c>
      <c r="F4" s="4" t="inlineStr"/>
      <c r="G4" s="4" t="inlineStr"/>
      <c r="H4" s="4" t="inlineStr"/>
    </row>
  </sheetData>
  <dataValidations count="1">
    <dataValidation sqref="F3:F4"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14</f>
        <v/>
      </c>
      <c r="C2" s="3">
        <f>2</f>
        <v/>
      </c>
    </row>
    <row r="3">
      <c r="A3" s="2" t="inlineStr">
        <is>
          <t>Decided</t>
        </is>
      </c>
      <c r="B3" s="3">
        <f>COUNTIF(Recommendations!E3:E16,"&lt;&gt;")</f>
        <v/>
      </c>
      <c r="C3" s="3">
        <f>COUNTIF(Measurements!F3:F4,"&lt;&gt;")</f>
        <v/>
      </c>
    </row>
    <row r="4">
      <c r="A4" s="2" t="inlineStr">
        <is>
          <t>Still blank</t>
        </is>
      </c>
      <c r="B4" s="3">
        <f>B2-B3</f>
        <v/>
      </c>
      <c r="C4" s="3">
        <f>C2-C3</f>
        <v/>
      </c>
    </row>
    <row r="5">
      <c r="A5" s="2" t="inlineStr">
        <is>
          <t>CONFIRMED</t>
        </is>
      </c>
      <c r="B5" s="3">
        <f>COUNTIF(Recommendations!E3:E16,"CONFIRMED")</f>
        <v/>
      </c>
      <c r="C5" s="3" t="inlineStr"/>
    </row>
    <row r="6">
      <c r="A6" s="2" t="inlineStr">
        <is>
          <t>AMENDED</t>
        </is>
      </c>
      <c r="B6" s="3">
        <f>COUNTIF(Recommendations!E3:E16,"AMENDED")</f>
        <v/>
      </c>
      <c r="C6" s="3" t="inlineStr"/>
    </row>
    <row r="7">
      <c r="A7" s="2" t="inlineStr">
        <is>
          <t>WITHDRAWN</t>
        </is>
      </c>
      <c r="B7" s="3">
        <f>COUNTIF(Recommendations!E3:E16,"WITHDRAWN")</f>
        <v/>
      </c>
      <c r="C7" s="3" t="inlineStr"/>
    </row>
    <row r="8">
      <c r="A8" s="2" t="inlineStr">
        <is>
          <t>NOT_CLINICAL</t>
        </is>
      </c>
      <c r="B8" s="3">
        <f>COUNTIF(Recommendations!E3:E16,"NOT_CLINICAL")</f>
        <v/>
      </c>
      <c r="C8" s="3" t="inlineStr"/>
    </row>
    <row r="9">
      <c r="A9" s="2" t="inlineStr">
        <is>
          <t>VERIFIED</t>
        </is>
      </c>
      <c r="B9" s="3" t="inlineStr"/>
      <c r="C9" s="3">
        <f>COUNTIF(Measurements!F3:F4,"VERIFIED")</f>
        <v/>
      </c>
    </row>
    <row r="10">
      <c r="A10" s="2" t="inlineStr">
        <is>
          <t>CORRECTED</t>
        </is>
      </c>
      <c r="B10" s="3" t="inlineStr"/>
      <c r="C10" s="3">
        <f>COUNTIF(Measurements!F3:F4,"CORRECTED")</f>
        <v/>
      </c>
    </row>
    <row r="11">
      <c r="A11" s="2" t="inlineStr">
        <is>
          <t>REMOVED</t>
        </is>
      </c>
      <c r="B11" s="3" t="inlineStr"/>
      <c r="C11" s="3">
        <f>COUNTIF(Measurements!F3:F4,"REMOVED")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2026-10-12T21:22:16Z</dcterms:created>
  <dcterms:modified xmlns:dcterms="http://purl.org/dc/terms/" xmlns:xsi="http://www.w3.org/2001/XMLSchema-instance" xsi:type="dcterms:W3CDTF">2026-10-12T21:22:16Z</dcterms:modified>
</cp:coreProperties>
</file>