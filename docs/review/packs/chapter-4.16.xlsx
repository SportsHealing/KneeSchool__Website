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4.16 Tendon Examination</t>
        </is>
      </c>
    </row>
    <row r="3">
      <c r="A3" s="2" t="inlineStr">
        <is>
          <t>Section</t>
        </is>
      </c>
      <c r="B3" s="3" t="inlineStr">
        <is>
          <t>4</t>
        </is>
      </c>
    </row>
    <row r="4">
      <c r="A4" s="2" t="inlineStr">
        <is>
          <t>Chapter</t>
        </is>
      </c>
      <c r="B4" s="3" t="inlineStr">
        <is>
          <t>4.16 Tendon Examination</t>
        </is>
      </c>
    </row>
    <row r="5">
      <c r="A5" s="2" t="inlineStr">
        <is>
          <t>Pages</t>
        </is>
      </c>
      <c r="B5" s="3" t="n">
        <v>7</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10,362</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20</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4.16.1</t>
        </is>
      </c>
      <c r="B2" s="6" t="inlineStr">
        <is>
          <t>Quadriceps Tendon</t>
        </is>
      </c>
      <c r="C2" s="6" t="n">
        <v>4</v>
      </c>
      <c r="D2" s="6" t="n">
        <v>1508</v>
      </c>
      <c r="E2" s="6" t="inlineStr">
        <is>
          <t>examination/quadriceps-tendon.html</t>
        </is>
      </c>
    </row>
    <row r="3">
      <c r="A3" s="6" t="inlineStr">
        <is>
          <t>4.16.2</t>
        </is>
      </c>
      <c r="B3" s="6" t="inlineStr">
        <is>
          <t>Patellar Tendon</t>
        </is>
      </c>
      <c r="C3" s="6" t="n">
        <v>4</v>
      </c>
      <c r="D3" s="6" t="n">
        <v>1465</v>
      </c>
      <c r="E3" s="6" t="inlineStr">
        <is>
          <t>examination/patellar-tendon.html</t>
        </is>
      </c>
    </row>
    <row r="4">
      <c r="A4" s="6" t="inlineStr">
        <is>
          <t>4.16.3</t>
        </is>
      </c>
      <c r="B4" s="6" t="inlineStr">
        <is>
          <t>Jumper's Knee</t>
        </is>
      </c>
      <c r="C4" s="6" t="n">
        <v>4</v>
      </c>
      <c r="D4" s="6" t="n">
        <v>1487</v>
      </c>
      <c r="E4" s="6" t="inlineStr">
        <is>
          <t>examination/jumpers-knee.html</t>
        </is>
      </c>
    </row>
    <row r="5">
      <c r="A5" s="6" t="inlineStr">
        <is>
          <t>4.16.4</t>
        </is>
      </c>
      <c r="B5" s="6" t="inlineStr">
        <is>
          <t>Osgood-Schlatter Disease</t>
        </is>
      </c>
      <c r="C5" s="6" t="n">
        <v>4</v>
      </c>
      <c r="D5" s="6" t="n">
        <v>1402</v>
      </c>
      <c r="E5" s="6" t="inlineStr">
        <is>
          <t>examination/osgood-schlatter-disease.html</t>
        </is>
      </c>
    </row>
    <row r="6">
      <c r="A6" s="6" t="inlineStr">
        <is>
          <t>4.16.5</t>
        </is>
      </c>
      <c r="B6" s="6" t="inlineStr">
        <is>
          <t>Sinding-Larsen-Johansson Syndrome</t>
        </is>
      </c>
      <c r="C6" s="6" t="n">
        <v>4</v>
      </c>
      <c r="D6" s="6" t="n">
        <v>1443</v>
      </c>
      <c r="E6" s="6" t="inlineStr">
        <is>
          <t>examination/sinding-larsen-johansson-syndrome.html</t>
        </is>
      </c>
    </row>
    <row r="7">
      <c r="A7" s="6" t="inlineStr">
        <is>
          <t>4.16.6</t>
        </is>
      </c>
      <c r="B7" s="6" t="inlineStr">
        <is>
          <t>Hamstring Tendinopathy</t>
        </is>
      </c>
      <c r="C7" s="6" t="n">
        <v>4</v>
      </c>
      <c r="D7" s="6" t="n">
        <v>1540</v>
      </c>
      <c r="E7" s="6" t="inlineStr">
        <is>
          <t>examination/hamstring-tendinopathy.html</t>
        </is>
      </c>
    </row>
    <row r="8">
      <c r="A8" s="6" t="inlineStr">
        <is>
          <t>4.16.7</t>
        </is>
      </c>
      <c r="B8" s="6" t="inlineStr">
        <is>
          <t>Pes Anserinus Pathology</t>
        </is>
      </c>
      <c r="C8" s="6" t="n">
        <v>4</v>
      </c>
      <c r="D8" s="6" t="n">
        <v>1517</v>
      </c>
      <c r="E8" s="6" t="inlineStr">
        <is>
          <t>examination/pes-anserinus-pathology.html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4.16.1</t>
        </is>
      </c>
      <c r="B2" s="4" t="inlineStr">
        <is>
          <t>Quadriceps Tendon</t>
        </is>
      </c>
      <c r="C2" s="4" t="inlineStr">
        <is>
          <t>A missed rupture gives a harder repair and a worse result.</t>
        </is>
      </c>
    </row>
    <row r="3">
      <c r="A3" s="4" t="inlineStr">
        <is>
          <t>4.16.1</t>
        </is>
      </c>
      <c r="B3" s="4" t="inlineStr">
        <is>
          <t>Quadriceps Tendon</t>
        </is>
      </c>
      <c r="C3" s="4" t="inlineStr">
        <is>
          <t>An extension lag after arthroplasty may be a tendon problem, separated by palpation.</t>
        </is>
      </c>
    </row>
    <row r="4">
      <c r="A4" s="4" t="inlineStr">
        <is>
          <t>4.16.1</t>
        </is>
      </c>
      <c r="B4" s="4" t="inlineStr">
        <is>
          <t>Quadriceps Tendon</t>
        </is>
      </c>
      <c r="C4" s="4" t="inlineStr">
        <is>
          <t>A quadriceps graft harvest leaves a tender donor site that is not a reconstruction failure.</t>
        </is>
      </c>
    </row>
    <row r="5">
      <c r="A5" s="4" t="inlineStr">
        <is>
          <t>4.16.1</t>
        </is>
      </c>
      <c r="B5" s="4" t="inlineStr">
        <is>
          <t>Quadriceps Tendon</t>
        </is>
      </c>
      <c r="C5" s="4" t="inlineStr">
        <is>
          <t>Bilateral spontaneous ruptures mean a systemic problem.</t>
        </is>
      </c>
    </row>
    <row r="6">
      <c r="A6" s="4" t="inlineStr">
        <is>
          <t>4.16.1</t>
        </is>
      </c>
      <c r="B6" s="4" t="inlineStr">
        <is>
          <t>Quadriceps Tendon</t>
        </is>
      </c>
      <c r="C6" s="4" t="inlineStr">
        <is>
          <t>A missed rupture traces to the absent active extension test.</t>
        </is>
      </c>
    </row>
    <row r="7">
      <c r="A7" s="4" t="inlineStr">
        <is>
          <t>4.16.2</t>
        </is>
      </c>
      <c r="B7" s="4" t="inlineStr">
        <is>
          <t>Patellar Tendon</t>
        </is>
      </c>
      <c r="C7" s="4" t="inlineStr">
        <is>
          <t>Donor site pain after a graft harvest is common, under recognised and not a reconstruction failure.</t>
        </is>
      </c>
    </row>
    <row r="8">
      <c r="A8" s="4" t="inlineStr">
        <is>
          <t>4.16.2</t>
        </is>
      </c>
      <c r="B8" s="4" t="inlineStr">
        <is>
          <t>Patellar Tendon</t>
        </is>
      </c>
      <c r="C8" s="4" t="inlineStr">
        <is>
          <t>A normal arthroscopy with lower pole tenderness is a tendinopathy the arthroscopy could not address.</t>
        </is>
      </c>
    </row>
    <row r="9">
      <c r="A9" s="4" t="inlineStr">
        <is>
          <t>4.16.2</t>
        </is>
      </c>
      <c r="B9" s="4" t="inlineStr">
        <is>
          <t>Patellar Tendon</t>
        </is>
      </c>
      <c r="C9" s="4" t="inlineStr">
        <is>
          <t>A rupture after a previous harvest is a different repair proposition.</t>
        </is>
      </c>
    </row>
    <row r="10">
      <c r="A10" s="4" t="inlineStr">
        <is>
          <t>4.16.2</t>
        </is>
      </c>
      <c r="B10" s="4" t="inlineStr">
        <is>
          <t>Patellar Tendon</t>
        </is>
      </c>
      <c r="C10" s="4" t="inlineStr">
        <is>
          <t>Bilateral insertional symptoms with systemic features is an enthesopathy.</t>
        </is>
      </c>
    </row>
    <row r="11">
      <c r="A11" s="4" t="inlineStr">
        <is>
          <t>4.16.2</t>
        </is>
      </c>
      <c r="B11" s="4" t="inlineStr">
        <is>
          <t>Patellar Tendon</t>
        </is>
      </c>
      <c r="C11" s="4" t="inlineStr">
        <is>
          <t>A missed rupture traces to the same absent test as at the quadriceps tendon.</t>
        </is>
      </c>
    </row>
    <row r="12">
      <c r="A12" s="4" t="inlineStr">
        <is>
          <t>4.16.3</t>
        </is>
      </c>
      <c r="B12" s="4" t="inlineStr">
        <is>
          <t>Jumper's Knee</t>
        </is>
      </c>
      <c r="C12" s="4" t="inlineStr">
        <is>
          <t>A normal arthroscopy with lower pole tenderness had the diagnosis available at the first consultation.</t>
        </is>
      </c>
    </row>
    <row r="13">
      <c r="A13" s="4" t="inlineStr">
        <is>
          <t>4.16.3</t>
        </is>
      </c>
      <c r="B13" s="4" t="inlineStr">
        <is>
          <t>Jumper's Knee</t>
        </is>
      </c>
      <c r="C13" s="4" t="inlineStr">
        <is>
          <t>An athlete whose programme failed may not have had a programme.</t>
        </is>
      </c>
    </row>
    <row r="14">
      <c r="A14" s="4" t="inlineStr">
        <is>
          <t>4.16.3</t>
        </is>
      </c>
      <c r="B14" s="4" t="inlineStr">
        <is>
          <t>Jumper's Knee</t>
        </is>
      </c>
      <c r="C14" s="4" t="inlineStr">
        <is>
          <t>Donor site pain after a graft harvest is a different problem with a different prognosis.</t>
        </is>
      </c>
    </row>
    <row r="15">
      <c r="A15" s="4" t="inlineStr">
        <is>
          <t>4.16.3</t>
        </is>
      </c>
      <c r="B15" s="4" t="inlineStr">
        <is>
          <t>Jumper's Knee</t>
        </is>
      </c>
      <c r="C15" s="4" t="inlineStr">
        <is>
          <t>In an elite athlete the surgeon's role is the surgical decision rather than the programme.</t>
        </is>
      </c>
    </row>
    <row r="16">
      <c r="A16" s="4" t="inlineStr">
        <is>
          <t>4.16.3</t>
        </is>
      </c>
      <c r="B16" s="4" t="inlineStr">
        <is>
          <t>Jumper's Knee</t>
        </is>
      </c>
      <c r="C16" s="4" t="inlineStr">
        <is>
          <t>As an overload condition it is hard to attribute to a single event.</t>
        </is>
      </c>
    </row>
    <row r="17">
      <c r="A17" s="4" t="inlineStr">
        <is>
          <t>4.16.4</t>
        </is>
      </c>
      <c r="B17" s="4" t="inlineStr">
        <is>
          <t>Osgood-Schlatter Disease</t>
        </is>
      </c>
      <c r="C17" s="4" t="inlineStr">
        <is>
          <t>Tubercle pain with an effusion and night pain in a growing patient needs a different assessment.</t>
        </is>
      </c>
    </row>
    <row r="18">
      <c r="A18" s="4" t="inlineStr">
        <is>
          <t>4.16.4</t>
        </is>
      </c>
      <c r="B18" s="4" t="inlineStr">
        <is>
          <t>Osgood-Schlatter Disease</t>
        </is>
      </c>
      <c r="C18" s="4" t="inlineStr">
        <is>
          <t>Persistent symptoms after maturity suggest a separate ossicle, a tendinopathy or something unrelated.</t>
        </is>
      </c>
    </row>
    <row r="19">
      <c r="A19" s="4" t="inlineStr">
        <is>
          <t>4.16.4</t>
        </is>
      </c>
      <c r="B19" s="4" t="inlineStr">
        <is>
          <t>Osgood-Schlatter Disease</t>
        </is>
      </c>
      <c r="C19" s="4" t="inlineStr">
        <is>
          <t>A prominent tubercle with pain on kneeling is a mechanical consequence, not an active apophysitis.</t>
        </is>
      </c>
    </row>
    <row r="20">
      <c r="A20" s="4" t="inlineStr">
        <is>
          <t>4.16.4</t>
        </is>
      </c>
      <c r="B20" s="4" t="inlineStr">
        <is>
          <t>Osgood-Schlatter Disease</t>
        </is>
      </c>
      <c r="C20" s="4" t="inlineStr">
        <is>
          <t>A normal joint is what allows load to be worked with rather than rest alone.</t>
        </is>
      </c>
    </row>
    <row r="21">
      <c r="A21" s="4" t="inlineStr">
        <is>
          <t>4.16.4</t>
        </is>
      </c>
      <c r="B21" s="4" t="inlineStr">
        <is>
          <t>Osgood-Schlatter Disease</t>
        </is>
      </c>
      <c r="C21" s="4" t="inlineStr">
        <is>
          <t>The condition is developmental and is not attributable to an injury.</t>
        </is>
      </c>
    </row>
    <row r="22">
      <c r="A22" s="4" t="inlineStr">
        <is>
          <t>4.16.5</t>
        </is>
      </c>
      <c r="B22" s="4" t="inlineStr">
        <is>
          <t>Sinding-Larsen-Johansson Syndrome</t>
        </is>
      </c>
      <c r="C22" s="4" t="inlineStr">
        <is>
          <t>The referral usually needs explanation rather than investigation.</t>
        </is>
      </c>
    </row>
    <row r="23">
      <c r="A23" s="4" t="inlineStr">
        <is>
          <t>4.16.5</t>
        </is>
      </c>
      <c r="B23" s="4" t="inlineStr">
        <is>
          <t>Sinding-Larsen-Johansson Syndrome</t>
        </is>
      </c>
      <c r="C23" s="4" t="inlineStr">
        <is>
          <t>A separate ossicle persisting after maturity is a mechanical residue, not an apophysitis.</t>
        </is>
      </c>
    </row>
    <row r="24">
      <c r="A24" s="4" t="inlineStr">
        <is>
          <t>4.16.5</t>
        </is>
      </c>
      <c r="B24" s="4" t="inlineStr">
        <is>
          <t>Sinding-Larsen-Johansson Syndrome</t>
        </is>
      </c>
      <c r="C24" s="4" t="inlineStr">
        <is>
          <t>Bilateral symptoms with systemic features and several tender insertions is an enthesopathy.</t>
        </is>
      </c>
    </row>
    <row r="25">
      <c r="A25" s="4" t="inlineStr">
        <is>
          <t>4.16.5</t>
        </is>
      </c>
      <c r="B25" s="4" t="inlineStr">
        <is>
          <t>Sinding-Larsen-Johansson Syndrome</t>
        </is>
      </c>
      <c r="C25" s="4" t="inlineStr">
        <is>
          <t>Symptoms recurring each season are a load pattern problem rather than a recurring disease.</t>
        </is>
      </c>
    </row>
    <row r="26">
      <c r="A26" s="4" t="inlineStr">
        <is>
          <t>4.16.5</t>
        </is>
      </c>
      <c r="B26" s="4" t="inlineStr">
        <is>
          <t>Sinding-Larsen-Johansson Syndrome</t>
        </is>
      </c>
      <c r="C26" s="4" t="inlineStr">
        <is>
          <t>It is developmental and is not attributable to an injury.</t>
        </is>
      </c>
    </row>
    <row r="27">
      <c r="A27" s="4" t="inlineStr">
        <is>
          <t>4.16.6</t>
        </is>
      </c>
      <c r="B27" s="4" t="inlineStr">
        <is>
          <t>Hamstring Tendinopathy</t>
        </is>
      </c>
      <c r="C27" s="4" t="inlineStr">
        <is>
          <t>Hamstring problems usually explain posterior pain investigated as meniscal.</t>
        </is>
      </c>
    </row>
    <row r="28">
      <c r="A28" s="4" t="inlineStr">
        <is>
          <t>4.16.6</t>
        </is>
      </c>
      <c r="B28" s="4" t="inlineStr">
        <is>
          <t>Hamstring Tendinopathy</t>
        </is>
      </c>
      <c r="C28" s="4" t="inlineStr">
        <is>
          <t>Donor site symptoms after a graft harvest are common and not a reconstruction failure.</t>
        </is>
      </c>
    </row>
    <row r="29">
      <c r="A29" s="4" t="inlineStr">
        <is>
          <t>4.16.6</t>
        </is>
      </c>
      <c r="B29" s="4" t="inlineStr">
        <is>
          <t>Hamstring Tendinopathy</t>
        </is>
      </c>
      <c r="C29" s="4" t="inlineStr">
        <is>
          <t>Biceps tenderness with a nerve palsy after corner surgery needs the operation note to separate.</t>
        </is>
      </c>
    </row>
    <row r="30">
      <c r="A30" s="4" t="inlineStr">
        <is>
          <t>4.16.6</t>
        </is>
      </c>
      <c r="B30" s="4" t="inlineStr">
        <is>
          <t>Hamstring Tendinopathy</t>
        </is>
      </c>
      <c r="C30" s="4" t="inlineStr">
        <is>
          <t>Recurrent hamstring problems in a cruciate deficient knee may be substitution rather than coincidence.</t>
        </is>
      </c>
    </row>
    <row r="31">
      <c r="A31" s="4" t="inlineStr">
        <is>
          <t>4.16.6</t>
        </is>
      </c>
      <c r="B31" s="4" t="inlineStr">
        <is>
          <t>Hamstring Tendinopathy</t>
        </is>
      </c>
      <c r="C31" s="4" t="inlineStr">
        <is>
          <t>As an overload condition it is hard to attribute to a single event.</t>
        </is>
      </c>
    </row>
    <row r="32">
      <c r="A32" s="4" t="inlineStr">
        <is>
          <t>4.16.7</t>
        </is>
      </c>
      <c r="B32" s="4" t="inlineStr">
        <is>
          <t>Pes Anserinus Pathology</t>
        </is>
      </c>
      <c r="C32" s="4" t="inlineStr">
        <is>
          <t>The pes explains medial pain in a patient whose joint has been found acceptable.</t>
        </is>
      </c>
    </row>
    <row r="33">
      <c r="A33" s="4" t="inlineStr">
        <is>
          <t>4.16.7</t>
        </is>
      </c>
      <c r="B33" s="4" t="inlineStr">
        <is>
          <t>Pes Anserinus Pathology</t>
        </is>
      </c>
      <c r="C33" s="4" t="inlineStr">
        <is>
          <t>Donor site symptoms after a hamstring harvest sit here and are under recognised.</t>
        </is>
      </c>
    </row>
    <row r="34">
      <c r="A34" s="4" t="inlineStr">
        <is>
          <t>4.16.7</t>
        </is>
      </c>
      <c r="B34" s="4" t="inlineStr">
        <is>
          <t>Pes Anserinus Pathology</t>
        </is>
      </c>
      <c r="C34" s="4" t="inlineStr">
        <is>
          <t>With medial compartment arthritis, an operation on the joint only partly addresses the complaint.</t>
        </is>
      </c>
    </row>
    <row r="35">
      <c r="A35" s="4" t="inlineStr">
        <is>
          <t>4.16.7</t>
        </is>
      </c>
      <c r="B35" s="4" t="inlineStr">
        <is>
          <t>Pes Anserinus Pathology</t>
        </is>
      </c>
      <c r="C35" s="4" t="inlineStr">
        <is>
          <t>After a medial reconstruction the tenderness may be at a fixation point.</t>
        </is>
      </c>
    </row>
    <row r="36">
      <c r="A36" s="4" t="inlineStr">
        <is>
          <t>4.16.7</t>
        </is>
      </c>
      <c r="B36" s="4" t="inlineStr">
        <is>
          <t>Pes Anserinus Pathology</t>
        </is>
      </c>
      <c r="C36" s="4" t="inlineStr">
        <is>
          <t>As an overload condition it is hard to attribute to a single event.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4.16.1-P1</t>
        </is>
      </c>
      <c r="B3" s="4" t="inlineStr">
        <is>
          <t>4.16.1</t>
        </is>
      </c>
      <c r="C3" s="4" t="inlineStr">
        <is>
          <t>medical_student</t>
        </is>
      </c>
      <c r="D3" s="4" t="inlineStr">
        <is>
          <t>Ask the patient to straighten the knee, then to hold the straightened leg lifted against gravity, which is the test that identifies a rupture.</t>
        </is>
      </c>
      <c r="E3" s="4" t="inlineStr"/>
      <c r="F3" s="4" t="inlineStr"/>
      <c r="G3" s="4" t="inlineStr"/>
    </row>
    <row r="4">
      <c r="A4" s="4" t="inlineStr">
        <is>
          <t>4.16.1-P2</t>
        </is>
      </c>
      <c r="B4" s="4" t="inlineStr">
        <is>
          <t>4.16.1</t>
        </is>
      </c>
      <c r="C4" s="4" t="inlineStr">
        <is>
          <t>medical_student</t>
        </is>
      </c>
      <c r="D4" s="4" t="inlineStr">
        <is>
          <t>Measure the active and the passive extension separately, since the difference is the finding.</t>
        </is>
      </c>
      <c r="E4" s="4" t="inlineStr"/>
      <c r="F4" s="4" t="inlineStr"/>
      <c r="G4" s="4" t="inlineStr"/>
    </row>
    <row r="5">
      <c r="A5" s="4" t="inlineStr">
        <is>
          <t>4.16.2-P1</t>
        </is>
      </c>
      <c r="B5" s="4" t="inlineStr">
        <is>
          <t>4.16.2</t>
        </is>
      </c>
      <c r="C5" s="4" t="inlineStr">
        <is>
          <t>medical_student</t>
        </is>
      </c>
      <c r="D5" s="4" t="inlineStr">
        <is>
          <t>Repeat the palpation with the knee flexed and the tendon under tension, since tenderness changes with tension and both readings are useful.</t>
        </is>
      </c>
      <c r="E5" s="4" t="inlineStr"/>
      <c r="F5" s="4" t="inlineStr"/>
      <c r="G5" s="4" t="inlineStr"/>
    </row>
    <row r="6">
      <c r="A6" s="4" t="inlineStr">
        <is>
          <t>4.16.2-P2</t>
        </is>
      </c>
      <c r="B6" s="4" t="inlineStr">
        <is>
          <t>4.16.2</t>
        </is>
      </c>
      <c r="C6" s="4" t="inlineStr">
        <is>
          <t>medical_student</t>
        </is>
      </c>
      <c r="D6" s="4" t="inlineStr">
        <is>
          <t>Ask the patient to extend the knee and then to hold the straight leg lifted, which identifies a rupture.</t>
        </is>
      </c>
      <c r="E6" s="4" t="inlineStr"/>
      <c r="F6" s="4" t="inlineStr"/>
      <c r="G6" s="4" t="inlineStr"/>
    </row>
    <row r="7">
      <c r="A7" s="4" t="inlineStr">
        <is>
          <t>4.16.3-P1</t>
        </is>
      </c>
      <c r="B7" s="4" t="inlineStr">
        <is>
          <t>4.16.3</t>
        </is>
      </c>
      <c r="C7" s="4" t="inlineStr">
        <is>
          <t>medical_student</t>
        </is>
      </c>
      <c r="D7" s="4" t="inlineStr">
        <is>
          <t>Take the history: pain at the front of the knee that comes on with jumping or landing, worse at the start of activity, and worse after rather than during in the early stages.</t>
        </is>
      </c>
      <c r="E7" s="4" t="inlineStr"/>
      <c r="F7" s="4" t="inlineStr"/>
      <c r="G7" s="4" t="inlineStr"/>
    </row>
    <row r="8">
      <c r="A8" s="4" t="inlineStr">
        <is>
          <t>4.16.3-P2</t>
        </is>
      </c>
      <c r="B8" s="4" t="inlineStr">
        <is>
          <t>4.16.3</t>
        </is>
      </c>
      <c r="C8" s="4" t="inlineStr">
        <is>
          <t>medical_student</t>
        </is>
      </c>
      <c r="D8" s="4" t="inlineStr">
        <is>
          <t>Repeat with the knee flexed and the tendon tensioned, where the tenderness typically reduces.</t>
        </is>
      </c>
      <c r="E8" s="4" t="inlineStr"/>
      <c r="F8" s="4" t="inlineStr"/>
      <c r="G8" s="4" t="inlineStr"/>
    </row>
    <row r="9">
      <c r="A9" s="4" t="inlineStr">
        <is>
          <t>4.16.3-P3</t>
        </is>
      </c>
      <c r="B9" s="4" t="inlineStr">
        <is>
          <t>4.16.3</t>
        </is>
      </c>
      <c r="C9" s="4" t="inlineStr">
        <is>
          <t>medical_student</t>
        </is>
      </c>
      <c r="D9" s="4" t="inlineStr">
        <is>
          <t>Ask the patient to perform a single leg decline squat or a single leg squat, and note whether it reproduces the pain.</t>
        </is>
      </c>
      <c r="E9" s="4" t="inlineStr"/>
      <c r="F9" s="4" t="inlineStr"/>
      <c r="G9" s="4" t="inlineStr"/>
    </row>
    <row r="10">
      <c r="A10" s="4" t="inlineStr">
        <is>
          <t>4.16.3-P4</t>
        </is>
      </c>
      <c r="B10" s="4" t="inlineStr">
        <is>
          <t>4.16.3</t>
        </is>
      </c>
      <c r="C10" s="4" t="inlineStr">
        <is>
          <t>medical_student</t>
        </is>
      </c>
      <c r="D10" s="4" t="inlineStr">
        <is>
          <t>Assess the quadriceps and the proximal control, since both contribute to the load the tendon carries.</t>
        </is>
      </c>
      <c r="E10" s="4" t="inlineStr"/>
      <c r="F10" s="4" t="inlineStr"/>
      <c r="G10" s="4" t="inlineStr"/>
    </row>
    <row r="11">
      <c r="A11" s="4" t="inlineStr">
        <is>
          <t>4.16.4-P1</t>
        </is>
      </c>
      <c r="B11" s="4" t="inlineStr">
        <is>
          <t>4.16.4</t>
        </is>
      </c>
      <c r="C11" s="4" t="inlineStr">
        <is>
          <t>medical_student</t>
        </is>
      </c>
      <c r="D11" s="4" t="inlineStr">
        <is>
          <t>Ask the patient to extend the knee against resistance and note whether that reproduces the pain.</t>
        </is>
      </c>
      <c r="E11" s="4" t="inlineStr"/>
      <c r="F11" s="4" t="inlineStr"/>
      <c r="G11" s="4" t="inlineStr"/>
    </row>
    <row r="12">
      <c r="A12" s="4" t="inlineStr">
        <is>
          <t>4.16.4-P2</t>
        </is>
      </c>
      <c r="B12" s="4" t="inlineStr">
        <is>
          <t>4.16.4</t>
        </is>
      </c>
      <c r="C12" s="4" t="inlineStr">
        <is>
          <t>medical_student</t>
        </is>
      </c>
      <c r="D12" s="4" t="inlineStr">
        <is>
          <t>Assess the range and look for an effusion, because both should be normal and an abnormal finding points elsewhere.</t>
        </is>
      </c>
      <c r="E12" s="4" t="inlineStr"/>
      <c r="F12" s="4" t="inlineStr"/>
      <c r="G12" s="4" t="inlineStr"/>
    </row>
    <row r="13">
      <c r="A13" s="4" t="inlineStr">
        <is>
          <t>4.16.4-P3</t>
        </is>
      </c>
      <c r="B13" s="4" t="inlineStr">
        <is>
          <t>4.16.4</t>
        </is>
      </c>
      <c r="C13" s="4" t="inlineStr">
        <is>
          <t>medical_student</t>
        </is>
      </c>
      <c r="D13" s="4" t="inlineStr">
        <is>
          <t>An effusion, a limited range or night pain points away from this diagnosis and should be pursued.</t>
        </is>
      </c>
      <c r="E13" s="4" t="inlineStr"/>
      <c r="F13" s="4" t="inlineStr"/>
      <c r="G13" s="4" t="inlineStr"/>
    </row>
    <row r="14">
      <c r="A14" s="4" t="inlineStr">
        <is>
          <t>4.16.5-P1</t>
        </is>
      </c>
      <c r="B14" s="4" t="inlineStr">
        <is>
          <t>4.16.5</t>
        </is>
      </c>
      <c r="C14" s="4" t="inlineStr">
        <is>
          <t>medical_student</t>
        </is>
      </c>
      <c r="D14" s="4" t="inlineStr">
        <is>
          <t>Assess the range and look for an effusion, both of which should be normal.</t>
        </is>
      </c>
      <c r="E14" s="4" t="inlineStr"/>
      <c r="F14" s="4" t="inlineStr"/>
      <c r="G14" s="4" t="inlineStr"/>
    </row>
    <row r="15">
      <c r="A15" s="4" t="inlineStr">
        <is>
          <t>4.16.5-P2</t>
        </is>
      </c>
      <c r="B15" s="4" t="inlineStr">
        <is>
          <t>4.16.5</t>
        </is>
      </c>
      <c r="C15" s="4" t="inlineStr">
        <is>
          <t>medical_student</t>
        </is>
      </c>
      <c r="D15" s="4" t="inlineStr">
        <is>
          <t>Ask about the activity pattern, since this is an overload condition in an active child.</t>
        </is>
      </c>
      <c r="E15" s="4" t="inlineStr"/>
      <c r="F15" s="4" t="inlineStr"/>
      <c r="G15" s="4" t="inlineStr"/>
    </row>
    <row r="16">
      <c r="A16" s="4" t="inlineStr">
        <is>
          <t>4.16.5-P3</t>
        </is>
      </c>
      <c r="B16" s="4" t="inlineStr">
        <is>
          <t>4.16.5</t>
        </is>
      </c>
      <c r="C16" s="4" t="inlineStr">
        <is>
          <t>medical_student</t>
        </is>
      </c>
      <c r="D16" s="4" t="inlineStr">
        <is>
          <t>An effusion, night pain or a limited range points away from this diagnosis entirely and should be pursued.</t>
        </is>
      </c>
      <c r="E16" s="4" t="inlineStr"/>
      <c r="F16" s="4" t="inlineStr"/>
      <c r="G16" s="4" t="inlineStr"/>
    </row>
    <row r="17">
      <c r="A17" s="4" t="inlineStr">
        <is>
          <t>4.16.6-P1</t>
        </is>
      </c>
      <c r="B17" s="4" t="inlineStr">
        <is>
          <t>4.16.6</t>
        </is>
      </c>
      <c r="C17" s="4" t="inlineStr">
        <is>
          <t>medical_student</t>
        </is>
      </c>
      <c r="D17" s="4" t="inlineStr">
        <is>
          <t>Ask the patient to flex the knee against resistance and note whether that reproduces the pain, which localises it to the hamstrings.</t>
        </is>
      </c>
      <c r="E17" s="4" t="inlineStr"/>
      <c r="F17" s="4" t="inlineStr"/>
      <c r="G17" s="4" t="inlineStr"/>
    </row>
    <row r="18">
      <c r="A18" s="4" t="inlineStr">
        <is>
          <t>4.16.6-P2</t>
        </is>
      </c>
      <c r="B18" s="4" t="inlineStr">
        <is>
          <t>4.16.6</t>
        </is>
      </c>
      <c r="C18" s="4" t="inlineStr">
        <is>
          <t>medical_student</t>
        </is>
      </c>
      <c r="D18" s="4" t="inlineStr">
        <is>
          <t>Repeat with the knee in different flexion angles, since a tendon's tenderness changes with tension.</t>
        </is>
      </c>
      <c r="E18" s="4" t="inlineStr"/>
      <c r="F18" s="4" t="inlineStr"/>
      <c r="G18" s="4" t="inlineStr"/>
    </row>
    <row r="19">
      <c r="A19" s="4" t="inlineStr">
        <is>
          <t>4.16.6-P3</t>
        </is>
      </c>
      <c r="B19" s="4" t="inlineStr">
        <is>
          <t>4.16.6</t>
        </is>
      </c>
      <c r="C19" s="4" t="inlineStr">
        <is>
          <t>medical_student</t>
        </is>
      </c>
      <c r="D19" s="4" t="inlineStr">
        <is>
          <t>Assess the joint line and the posterior joint line separately, because a posterior horn tear produces pain in the same region.</t>
        </is>
      </c>
      <c r="E19" s="4" t="inlineStr"/>
      <c r="F19" s="4" t="inlineStr"/>
      <c r="G19" s="4" t="inlineStr"/>
    </row>
    <row r="20">
      <c r="A20" s="4" t="inlineStr">
        <is>
          <t>4.16.7-P1</t>
        </is>
      </c>
      <c r="B20" s="4" t="inlineStr">
        <is>
          <t>4.16.7</t>
        </is>
      </c>
      <c r="C20" s="4" t="inlineStr">
        <is>
          <t>medical_student</t>
        </is>
      </c>
      <c r="D20" s="4" t="inlineStr">
        <is>
          <t>Compare the tenderness there with the tenderness at the joint line itself, and record which is greater, because that comparison is the finding.</t>
        </is>
      </c>
      <c r="E20" s="4" t="inlineStr"/>
      <c r="F20" s="4" t="inlineStr"/>
      <c r="G20" s="4" t="inlineStr"/>
    </row>
    <row r="21">
      <c r="A21" s="4" t="inlineStr">
        <is>
          <t>4.16.7-P2</t>
        </is>
      </c>
      <c r="B21" s="4" t="inlineStr">
        <is>
          <t>4.16.7</t>
        </is>
      </c>
      <c r="C21" s="4" t="inlineStr">
        <is>
          <t>medical_student</t>
        </is>
      </c>
      <c r="D21" s="4" t="inlineStr">
        <is>
          <t>Ask the patient to flex the knee against resistance and note whether that reproduces the pain, which implicates the hamstring insertion.</t>
        </is>
      </c>
      <c r="E21" s="4" t="inlineStr"/>
      <c r="F21" s="4" t="inlineStr"/>
      <c r="G21" s="4" t="inlineStr"/>
    </row>
    <row r="22">
      <c r="A22" s="4" t="inlineStr">
        <is>
          <t>4.16.7-P3</t>
        </is>
      </c>
      <c r="B22" s="4" t="inlineStr">
        <is>
          <t>4.16.7</t>
        </is>
      </c>
      <c r="C22" s="4" t="inlineStr">
        <is>
          <t>medical_student</t>
        </is>
      </c>
      <c r="D22" s="4" t="inlineStr">
        <is>
          <t>Tenderness at both the pes and the joint line means two possible sources, which is common in a degenerative knee and should be recorded as both.</t>
        </is>
      </c>
      <c r="E22" s="4" t="inlineStr"/>
      <c r="F22" s="4" t="inlineStr"/>
      <c r="G22" s="4" t="inlineStr"/>
    </row>
  </sheetData>
  <dataValidations count="1">
    <dataValidation sqref="E3:E22"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20</f>
        <v/>
      </c>
      <c r="C2" s="3">
        <f>0</f>
        <v/>
      </c>
    </row>
    <row r="3">
      <c r="A3" s="2" t="inlineStr">
        <is>
          <t>Decided</t>
        </is>
      </c>
      <c r="B3" s="3">
        <f>COUNTIF(Recommendations!E3:E22,"&lt;&gt;")</f>
        <v/>
      </c>
      <c r="C3" s="3">
        <f>COUNTIF(Measurements!F3:F2,"&lt;&gt;")</f>
        <v/>
      </c>
    </row>
    <row r="4">
      <c r="A4" s="2" t="inlineStr">
        <is>
          <t>Still blank</t>
        </is>
      </c>
      <c r="B4" s="3">
        <f>B2-B3</f>
        <v/>
      </c>
      <c r="C4" s="3">
        <f>C2-C3</f>
        <v/>
      </c>
    </row>
    <row r="5">
      <c r="A5" s="2" t="inlineStr">
        <is>
          <t>CONFIRMED</t>
        </is>
      </c>
      <c r="B5" s="3">
        <f>COUNTIF(Recommendations!E3:E22,"CONFIRMED")</f>
        <v/>
      </c>
      <c r="C5" s="3" t="inlineStr"/>
    </row>
    <row r="6">
      <c r="A6" s="2" t="inlineStr">
        <is>
          <t>AMENDED</t>
        </is>
      </c>
      <c r="B6" s="3">
        <f>COUNTIF(Recommendations!E3:E22,"AMENDED")</f>
        <v/>
      </c>
      <c r="C6" s="3" t="inlineStr"/>
    </row>
    <row r="7">
      <c r="A7" s="2" t="inlineStr">
        <is>
          <t>WITHDRAWN</t>
        </is>
      </c>
      <c r="B7" s="3">
        <f>COUNTIF(Recommendations!E3:E22,"WITHDRAWN")</f>
        <v/>
      </c>
      <c r="C7" s="3" t="inlineStr"/>
    </row>
    <row r="8">
      <c r="A8" s="2" t="inlineStr">
        <is>
          <t>NOT_CLINICAL</t>
        </is>
      </c>
      <c r="B8" s="3">
        <f>COUNTIF(Recommendations!E3:E22,"NOT_CLINICAL")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2026-10-13T20:51:43Z</dcterms:created>
  <dcterms:modified xmlns:dcterms="http://purl.org/dc/terms/" xmlns:xsi="http://www.w3.org/2001/XMLSchema-instance" xsi:type="dcterms:W3CDTF">2026-10-13T20:51:43Z</dcterms:modified>
</cp:coreProperties>
</file>