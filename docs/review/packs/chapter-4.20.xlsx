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4.20 Examination of the Post-operative Knee</t>
        </is>
      </c>
    </row>
    <row r="3">
      <c r="A3" s="2" t="inlineStr">
        <is>
          <t>Section</t>
        </is>
      </c>
      <c r="B3" s="3" t="inlineStr">
        <is>
          <t>4</t>
        </is>
      </c>
    </row>
    <row r="4">
      <c r="A4" s="2" t="inlineStr">
        <is>
          <t>Chapter</t>
        </is>
      </c>
      <c r="B4" s="3" t="inlineStr">
        <is>
          <t>4.20 Examination of the Post-operative Knee</t>
        </is>
      </c>
    </row>
    <row r="5">
      <c r="A5" s="2" t="inlineStr">
        <is>
          <t>Pages</t>
        </is>
      </c>
      <c r="B5" s="3" t="n">
        <v>9</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12,591</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45</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4.20.1</t>
        </is>
      </c>
      <c r="B2" s="6" t="inlineStr">
        <is>
          <t>ACL Reconstruction</t>
        </is>
      </c>
      <c r="C2" s="6" t="n">
        <v>4</v>
      </c>
      <c r="D2" s="6" t="n">
        <v>1474</v>
      </c>
      <c r="E2" s="6" t="inlineStr">
        <is>
          <t>examination/postop-acl-reconstruction.html</t>
        </is>
      </c>
    </row>
    <row r="3">
      <c r="A3" s="6" t="inlineStr">
        <is>
          <t>4.20.2</t>
        </is>
      </c>
      <c r="B3" s="6" t="inlineStr">
        <is>
          <t>Meniscal Repair</t>
        </is>
      </c>
      <c r="C3" s="6" t="n">
        <v>4</v>
      </c>
      <c r="D3" s="6" t="n">
        <v>1351</v>
      </c>
      <c r="E3" s="6" t="inlineStr">
        <is>
          <t>examination/postop-meniscal-repair.html</t>
        </is>
      </c>
    </row>
    <row r="4">
      <c r="A4" s="6" t="inlineStr">
        <is>
          <t>4.20.3</t>
        </is>
      </c>
      <c r="B4" s="6" t="inlineStr">
        <is>
          <t>Root Repair</t>
        </is>
      </c>
      <c r="C4" s="6" t="n">
        <v>4</v>
      </c>
      <c r="D4" s="6" t="n">
        <v>1422</v>
      </c>
      <c r="E4" s="6" t="inlineStr">
        <is>
          <t>examination/postop-root-repair.html</t>
        </is>
      </c>
    </row>
    <row r="5">
      <c r="A5" s="6" t="inlineStr">
        <is>
          <t>4.20.4</t>
        </is>
      </c>
      <c r="B5" s="6" t="inlineStr">
        <is>
          <t>Osteotomy</t>
        </is>
      </c>
      <c r="C5" s="6" t="n">
        <v>4</v>
      </c>
      <c r="D5" s="6" t="n">
        <v>1381</v>
      </c>
      <c r="E5" s="6" t="inlineStr">
        <is>
          <t>examination/postop-osteotomy.html</t>
        </is>
      </c>
    </row>
    <row r="6">
      <c r="A6" s="6" t="inlineStr">
        <is>
          <t>4.20.5</t>
        </is>
      </c>
      <c r="B6" s="6" t="inlineStr">
        <is>
          <t>Cartilage Surgery</t>
        </is>
      </c>
      <c r="C6" s="6" t="n">
        <v>4</v>
      </c>
      <c r="D6" s="6" t="n">
        <v>1398</v>
      </c>
      <c r="E6" s="6" t="inlineStr">
        <is>
          <t>examination/postop-cartilage-surgery.html</t>
        </is>
      </c>
    </row>
    <row r="7">
      <c r="A7" s="6" t="inlineStr">
        <is>
          <t>4.20.6</t>
        </is>
      </c>
      <c r="B7" s="6" t="inlineStr">
        <is>
          <t>MPFL Reconstruction</t>
        </is>
      </c>
      <c r="C7" s="6" t="n">
        <v>4</v>
      </c>
      <c r="D7" s="6" t="n">
        <v>1326</v>
      </c>
      <c r="E7" s="6" t="inlineStr">
        <is>
          <t>examination/postop-mpfl-reconstruction.html</t>
        </is>
      </c>
    </row>
    <row r="8">
      <c r="A8" s="6" t="inlineStr">
        <is>
          <t>4.20.7</t>
        </is>
      </c>
      <c r="B8" s="6" t="inlineStr">
        <is>
          <t>Partial Knee Replacement</t>
        </is>
      </c>
      <c r="C8" s="6" t="n">
        <v>4</v>
      </c>
      <c r="D8" s="6" t="n">
        <v>1372</v>
      </c>
      <c r="E8" s="6" t="inlineStr">
        <is>
          <t>examination/partial-knee-replacement.html</t>
        </is>
      </c>
    </row>
    <row r="9">
      <c r="A9" s="6" t="inlineStr">
        <is>
          <t>4.20.8</t>
        </is>
      </c>
      <c r="B9" s="6" t="inlineStr">
        <is>
          <t>Total Knee Replacement</t>
        </is>
      </c>
      <c r="C9" s="6" t="n">
        <v>4</v>
      </c>
      <c r="D9" s="6" t="n">
        <v>1433</v>
      </c>
      <c r="E9" s="6" t="inlineStr">
        <is>
          <t>examination/total-knee-replacement.html</t>
        </is>
      </c>
    </row>
    <row r="10">
      <c r="A10" s="6" t="inlineStr">
        <is>
          <t>4.20.9</t>
        </is>
      </c>
      <c r="B10" s="6" t="inlineStr">
        <is>
          <t>Revision Knee Surgery</t>
        </is>
      </c>
      <c r="C10" s="6" t="n">
        <v>4</v>
      </c>
      <c r="D10" s="6" t="n">
        <v>1434</v>
      </c>
      <c r="E10" s="6" t="inlineStr">
        <is>
          <t>examination/revision-knee-surgery.html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4.20.1</t>
        </is>
      </c>
      <c r="B2" s="4" t="inlineStr">
        <is>
          <t>ACL Reconstruction</t>
        </is>
      </c>
      <c r="C2" s="4" t="inlineStr">
        <is>
          <t>Graft laxity is judged against the same knee's earlier examinations.</t>
        </is>
      </c>
    </row>
    <row r="3">
      <c r="A3" s="4" t="inlineStr">
        <is>
          <t>4.20.1</t>
        </is>
      </c>
      <c r="B3" s="4" t="inlineStr">
        <is>
          <t>ACL Reconstruction</t>
        </is>
      </c>
      <c r="C3" s="4" t="inlineStr">
        <is>
          <t>An intact but malpositioned graft produces stiffness rather than laxity.</t>
        </is>
      </c>
    </row>
    <row r="4">
      <c r="A4" s="4" t="inlineStr">
        <is>
          <t>4.20.1</t>
        </is>
      </c>
      <c r="B4" s="4" t="inlineStr">
        <is>
          <t>ACL Reconstruction</t>
        </is>
      </c>
      <c r="C4" s="4" t="inlineStr">
        <is>
          <t>Residual rotational instability has several sources the examination cannot separate.</t>
        </is>
      </c>
    </row>
    <row r="5">
      <c r="A5" s="4" t="inlineStr">
        <is>
          <t>4.20.1</t>
        </is>
      </c>
      <c r="B5" s="4" t="inlineStr">
        <is>
          <t>ACL Reconstruction</t>
        </is>
      </c>
      <c r="C5" s="4" t="inlineStr">
        <is>
          <t>Alignment contributes to graft load and is examined alongside it.</t>
        </is>
      </c>
    </row>
    <row r="6">
      <c r="A6" s="4" t="inlineStr">
        <is>
          <t>4.20.1</t>
        </is>
      </c>
      <c r="B6" s="4" t="inlineStr">
        <is>
          <t>ACL Reconstruction</t>
        </is>
      </c>
      <c r="C6" s="4" t="inlineStr">
        <is>
          <t>Laxity and readiness to return to sport are different judgements.</t>
        </is>
      </c>
    </row>
    <row r="7">
      <c r="A7" s="4" t="inlineStr">
        <is>
          <t>4.20.2</t>
        </is>
      </c>
      <c r="B7" s="4" t="inlineStr">
        <is>
          <t>Meniscal Repair</t>
        </is>
      </c>
      <c r="C7" s="4" t="inlineStr">
        <is>
          <t>Clinical success and structural healing diverge.</t>
        </is>
      </c>
    </row>
    <row r="8">
      <c r="A8" s="4" t="inlineStr">
        <is>
          <t>4.20.2</t>
        </is>
      </c>
      <c r="B8" s="4" t="inlineStr">
        <is>
          <t>Meniscal Repair</t>
        </is>
      </c>
      <c r="C8" s="4" t="inlineStr">
        <is>
          <t>Joint line tenderness after meniscal surgery has little discriminating value.</t>
        </is>
      </c>
    </row>
    <row r="9">
      <c r="A9" s="4" t="inlineStr">
        <is>
          <t>4.20.2</t>
        </is>
      </c>
      <c r="B9" s="4" t="inlineStr">
        <is>
          <t>Meniscal Repair</t>
        </is>
      </c>
      <c r="C9" s="4" t="inlineStr">
        <is>
          <t>A re-tear and an unhealed repair present identically.</t>
        </is>
      </c>
    </row>
    <row r="10">
      <c r="A10" s="4" t="inlineStr">
        <is>
          <t>4.20.2</t>
        </is>
      </c>
      <c r="B10" s="4" t="inlineStr">
        <is>
          <t>Meniscal Repair</t>
        </is>
      </c>
      <c r="C10" s="4" t="inlineStr">
        <is>
          <t>A concurrent reconstruction makes attribution unreliable.</t>
        </is>
      </c>
    </row>
    <row r="11">
      <c r="A11" s="4" t="inlineStr">
        <is>
          <t>4.20.2</t>
        </is>
      </c>
      <c r="B11" s="4" t="inlineStr">
        <is>
          <t>Meniscal Repair</t>
        </is>
      </c>
      <c r="C11" s="4" t="inlineStr">
        <is>
          <t>Root repairs and peripheral repairs are not the same examination.</t>
        </is>
      </c>
    </row>
    <row r="12">
      <c r="A12" s="4" t="inlineStr">
        <is>
          <t>4.20.3</t>
        </is>
      </c>
      <c r="B12" s="4" t="inlineStr">
        <is>
          <t>Root Repair</t>
        </is>
      </c>
      <c r="C12" s="4" t="inlineStr">
        <is>
          <t>A repair can heal while the compartment continues to deteriorate.</t>
        </is>
      </c>
    </row>
    <row r="13">
      <c r="A13" s="4" t="inlineStr">
        <is>
          <t>4.20.3</t>
        </is>
      </c>
      <c r="B13" s="4" t="inlineStr">
        <is>
          <t>Root Repair</t>
        </is>
      </c>
      <c r="C13" s="4" t="inlineStr">
        <is>
          <t>Extrusion, the real measure of success, is not clinically assessable.</t>
        </is>
      </c>
    </row>
    <row r="14">
      <c r="A14" s="4" t="inlineStr">
        <is>
          <t>4.20.3</t>
        </is>
      </c>
      <c r="B14" s="4" t="inlineStr">
        <is>
          <t>Root Repair</t>
        </is>
      </c>
      <c r="C14" s="4" t="inlineStr">
        <is>
          <t>A combined osteotomy changes every alignment finding.</t>
        </is>
      </c>
    </row>
    <row r="15">
      <c r="A15" s="4" t="inlineStr">
        <is>
          <t>4.20.3</t>
        </is>
      </c>
      <c r="B15" s="4" t="inlineStr">
        <is>
          <t>Root Repair</t>
        </is>
      </c>
      <c r="C15" s="4" t="inlineStr">
        <is>
          <t>Posterior tenderness is non specific after posterior work.</t>
        </is>
      </c>
    </row>
    <row r="16">
      <c r="A16" s="4" t="inlineStr">
        <is>
          <t>4.20.3</t>
        </is>
      </c>
      <c r="B16" s="4" t="inlineStr">
        <is>
          <t>Root Repair</t>
        </is>
      </c>
      <c r="C16" s="4" t="inlineStr">
        <is>
          <t>The flexion restriction records a trade off rather than a result.</t>
        </is>
      </c>
    </row>
    <row r="17">
      <c r="A17" s="4" t="inlineStr">
        <is>
          <t>4.20.4</t>
        </is>
      </c>
      <c r="B17" s="4" t="inlineStr">
        <is>
          <t>Osteotomy</t>
        </is>
      </c>
      <c r="C17" s="4" t="inlineStr">
        <is>
          <t>The intended correction is radiographic and the examination only estimates it.</t>
        </is>
      </c>
    </row>
    <row r="18">
      <c r="A18" s="4" t="inlineStr">
        <is>
          <t>4.20.4</t>
        </is>
      </c>
      <c r="B18" s="4" t="inlineStr">
        <is>
          <t>Osteotomy</t>
        </is>
      </c>
      <c r="C18" s="4" t="inlineStr">
        <is>
          <t>Joint line obliquity changes and the examination does not describe it.</t>
        </is>
      </c>
    </row>
    <row r="19">
      <c r="A19" s="4" t="inlineStr">
        <is>
          <t>4.20.4</t>
        </is>
      </c>
      <c r="B19" s="4" t="inlineStr">
        <is>
          <t>Osteotomy</t>
        </is>
      </c>
      <c r="C19" s="4" t="inlineStr">
        <is>
          <t>Collateral tension after correction can be asymmetric without being lax.</t>
        </is>
      </c>
    </row>
    <row r="20">
      <c r="A20" s="4" t="inlineStr">
        <is>
          <t>4.20.4</t>
        </is>
      </c>
      <c r="B20" s="4" t="inlineStr">
        <is>
          <t>Osteotomy</t>
        </is>
      </c>
      <c r="C20" s="4" t="inlineStr">
        <is>
          <t>Pain has at least five candidate sources and the examination separates some.</t>
        </is>
      </c>
    </row>
    <row r="21">
      <c r="A21" s="4" t="inlineStr">
        <is>
          <t>4.20.4</t>
        </is>
      </c>
      <c r="B21" s="4" t="inlineStr">
        <is>
          <t>Osteotomy</t>
        </is>
      </c>
      <c r="C21" s="4" t="inlineStr">
        <is>
          <t>Patellar height changes in some techniques and is not clinically detectable.</t>
        </is>
      </c>
    </row>
    <row r="22">
      <c r="A22" s="4" t="inlineStr">
        <is>
          <t>4.20.5</t>
        </is>
      </c>
      <c r="B22" s="4" t="inlineStr">
        <is>
          <t>Cartilage Surgery</t>
        </is>
      </c>
      <c r="C22" s="4" t="inlineStr">
        <is>
          <t>Repair tissue quality is invisible to the examination.</t>
        </is>
      </c>
    </row>
    <row r="23">
      <c r="A23" s="4" t="inlineStr">
        <is>
          <t>4.20.5</t>
        </is>
      </c>
      <c r="B23" s="4" t="inlineStr">
        <is>
          <t>Cartilage Surgery</t>
        </is>
      </c>
      <c r="C23" s="4" t="inlineStr">
        <is>
          <t>Lesion size and containment govern the result and are not clinically measurable.</t>
        </is>
      </c>
    </row>
    <row r="24">
      <c r="A24" s="4" t="inlineStr">
        <is>
          <t>4.20.5</t>
        </is>
      </c>
      <c r="B24" s="4" t="inlineStr">
        <is>
          <t>Cartilage Surgery</t>
        </is>
      </c>
      <c r="C24" s="4" t="inlineStr">
        <is>
          <t>Lesion, surrounding cartilage and subchondral pain are not separable clinically.</t>
        </is>
      </c>
    </row>
    <row r="25">
      <c r="A25" s="4" t="inlineStr">
        <is>
          <t>4.20.5</t>
        </is>
      </c>
      <c r="B25" s="4" t="inlineStr">
        <is>
          <t>Cartilage Surgery</t>
        </is>
      </c>
      <c r="C25" s="4" t="inlineStr">
        <is>
          <t>A concurrent osteotomy makes the cartilage result harder to isolate.</t>
        </is>
      </c>
    </row>
    <row r="26">
      <c r="A26" s="4" t="inlineStr">
        <is>
          <t>4.20.5</t>
        </is>
      </c>
      <c r="B26" s="4" t="inlineStr">
        <is>
          <t>Cartilage Surgery</t>
        </is>
      </c>
      <c r="C26" s="4" t="inlineStr">
        <is>
          <t>Function and structure diverge in both directions.</t>
        </is>
      </c>
    </row>
    <row r="27">
      <c r="A27" s="4" t="inlineStr">
        <is>
          <t>4.20.6</t>
        </is>
      </c>
      <c r="B27" s="4" t="inlineStr">
        <is>
          <t>MPFL Reconstruction</t>
        </is>
      </c>
      <c r="C27" s="4" t="inlineStr">
        <is>
          <t>Failure, over tightening and the wrong operation overlap in presentation.</t>
        </is>
      </c>
    </row>
    <row r="28">
      <c r="A28" s="4" t="inlineStr">
        <is>
          <t>4.20.6</t>
        </is>
      </c>
      <c r="B28" s="4" t="inlineStr">
        <is>
          <t>MPFL Reconstruction</t>
        </is>
      </c>
      <c r="C28" s="4" t="inlineStr">
        <is>
          <t>Translation at one or two angles does not describe the whole range.</t>
        </is>
      </c>
    </row>
    <row r="29">
      <c r="A29" s="4" t="inlineStr">
        <is>
          <t>4.20.6</t>
        </is>
      </c>
      <c r="B29" s="4" t="inlineStr">
        <is>
          <t>MPFL Reconstruction</t>
        </is>
      </c>
      <c r="C29" s="4" t="inlineStr">
        <is>
          <t>Cartilage damage from previous dislocations explains much of the later pain.</t>
        </is>
      </c>
    </row>
    <row r="30">
      <c r="A30" s="4" t="inlineStr">
        <is>
          <t>4.20.6</t>
        </is>
      </c>
      <c r="B30" s="4" t="inlineStr">
        <is>
          <t>MPFL Reconstruction</t>
        </is>
      </c>
      <c r="C30" s="4" t="inlineStr">
        <is>
          <t>Uncorrected torsional and coronal contributions are read as graft failure.</t>
        </is>
      </c>
    </row>
    <row r="31">
      <c r="A31" s="4" t="inlineStr">
        <is>
          <t>4.20.6</t>
        </is>
      </c>
      <c r="B31" s="4" t="inlineStr">
        <is>
          <t>MPFL Reconstruction</t>
        </is>
      </c>
      <c r="C31" s="4" t="inlineStr">
        <is>
          <t>Fixation and tunnel position matter more than clinically assessed tension.</t>
        </is>
      </c>
    </row>
    <row r="32">
      <c r="A32" s="4" t="inlineStr">
        <is>
          <t>4.20.7</t>
        </is>
      </c>
      <c r="B32" s="4" t="inlineStr">
        <is>
          <t>Partial Knee Replacement</t>
        </is>
      </c>
      <c r="C32" s="4" t="inlineStr">
        <is>
          <t>Progression and loosening both produce loading pain.</t>
        </is>
      </c>
    </row>
    <row r="33">
      <c r="A33" s="4" t="inlineStr">
        <is>
          <t>4.20.7</t>
        </is>
      </c>
      <c r="B33" s="4" t="inlineStr">
        <is>
          <t>Partial Knee Replacement</t>
        </is>
      </c>
      <c r="C33" s="4" t="inlineStr">
        <is>
          <t>A well fixed malpositioned implant produces pain with no nameable sign.</t>
        </is>
      </c>
    </row>
    <row r="34">
      <c r="A34" s="4" t="inlineStr">
        <is>
          <t>4.20.7</t>
        </is>
      </c>
      <c r="B34" s="4" t="inlineStr">
        <is>
          <t>Partial Knee Replacement</t>
        </is>
      </c>
      <c r="C34" s="4" t="inlineStr">
        <is>
          <t>Low grade infection presents identically to mechanical causes.</t>
        </is>
      </c>
    </row>
    <row r="35">
      <c r="A35" s="4" t="inlineStr">
        <is>
          <t>4.20.7</t>
        </is>
      </c>
      <c r="B35" s="4" t="inlineStr">
        <is>
          <t>Partial Knee Replacement</t>
        </is>
      </c>
      <c r="C35" s="4" t="inlineStr">
        <is>
          <t>Ligament balance is assessed against a baseline that is often not recorded.</t>
        </is>
      </c>
    </row>
    <row r="36">
      <c r="A36" s="4" t="inlineStr">
        <is>
          <t>4.20.7</t>
        </is>
      </c>
      <c r="B36" s="4" t="inlineStr">
        <is>
          <t>Partial Knee Replacement</t>
        </is>
      </c>
      <c r="C36" s="4" t="inlineStr">
        <is>
          <t>Pain with a normal examination is a recognised and unresolved problem.</t>
        </is>
      </c>
    </row>
    <row r="37">
      <c r="A37" s="4" t="inlineStr">
        <is>
          <t>4.20.8</t>
        </is>
      </c>
      <c r="B37" s="4" t="inlineStr">
        <is>
          <t>Total Knee Replacement</t>
        </is>
      </c>
      <c r="C37" s="4" t="inlineStr">
        <is>
          <t>No combination of clinical findings excludes low grade infection.</t>
        </is>
      </c>
    </row>
    <row r="38">
      <c r="A38" s="4" t="inlineStr">
        <is>
          <t>4.20.8</t>
        </is>
      </c>
      <c r="B38" s="4" t="inlineStr">
        <is>
          <t>Total Knee Replacement</t>
        </is>
      </c>
      <c r="C38" s="4" t="inlineStr">
        <is>
          <t>Component rotation is not clinically measurable, only its consequence.</t>
        </is>
      </c>
    </row>
    <row r="39">
      <c r="A39" s="4" t="inlineStr">
        <is>
          <t>4.20.8</t>
        </is>
      </c>
      <c r="B39" s="4" t="inlineStr">
        <is>
          <t>Total Knee Replacement</t>
        </is>
      </c>
      <c r="C39" s="4" t="inlineStr">
        <is>
          <t>Flexion instability has no reliable test, so the history carries equal weight.</t>
        </is>
      </c>
    </row>
    <row r="40">
      <c r="A40" s="4" t="inlineStr">
        <is>
          <t>4.20.8</t>
        </is>
      </c>
      <c r="B40" s="4" t="inlineStr">
        <is>
          <t>Total Knee Replacement</t>
        </is>
      </c>
      <c r="C40" s="4" t="inlineStr">
        <is>
          <t>Pain with a normal examination is its own category.</t>
        </is>
      </c>
    </row>
    <row r="41">
      <c r="A41" s="4" t="inlineStr">
        <is>
          <t>4.20.8</t>
        </is>
      </c>
      <c r="B41" s="4" t="inlineStr">
        <is>
          <t>Total Knee Replacement</t>
        </is>
      </c>
      <c r="C41" s="4" t="inlineStr">
        <is>
          <t>Expectation predicts the reported result more than the findings do.</t>
        </is>
      </c>
    </row>
    <row r="42">
      <c r="A42" s="4" t="inlineStr">
        <is>
          <t>4.20.9</t>
        </is>
      </c>
      <c r="B42" s="4" t="inlineStr">
        <is>
          <t>Revision Knee Surgery</t>
        </is>
      </c>
      <c r="C42" s="4" t="inlineStr">
        <is>
          <t>The contralateral knee is often operated too, removing the comparison.</t>
        </is>
      </c>
    </row>
    <row r="43">
      <c r="A43" s="4" t="inlineStr">
        <is>
          <t>4.20.9</t>
        </is>
      </c>
      <c r="B43" s="4" t="inlineStr">
        <is>
          <t>Revision Knee Surgery</t>
        </is>
      </c>
      <c r="C43" s="4" t="inlineStr">
        <is>
          <t>An abnormal finding may be the expected state of that knee.</t>
        </is>
      </c>
    </row>
    <row r="44">
      <c r="A44" s="4" t="inlineStr">
        <is>
          <t>4.20.9</t>
        </is>
      </c>
      <c r="B44" s="4" t="inlineStr">
        <is>
          <t>Revision Knee Surgery</t>
        </is>
      </c>
      <c r="C44" s="4" t="inlineStr">
        <is>
          <t>Pain has more candidate sources than the examination can separate.</t>
        </is>
      </c>
    </row>
    <row r="45">
      <c r="A45" s="4" t="inlineStr">
        <is>
          <t>4.20.9</t>
        </is>
      </c>
      <c r="B45" s="4" t="inlineStr">
        <is>
          <t>Revision Knee Surgery</t>
        </is>
      </c>
      <c r="C45" s="4" t="inlineStr">
        <is>
          <t>Bone stock, fixation and tunnel position govern feasibility and are not clinical.</t>
        </is>
      </c>
    </row>
    <row r="46">
      <c r="A46" s="4" t="inlineStr">
        <is>
          <t>4.20.9</t>
        </is>
      </c>
      <c r="B46" s="4" t="inlineStr">
        <is>
          <t>Revision Knee Surgery</t>
        </is>
      </c>
      <c r="C46" s="4" t="inlineStr">
        <is>
          <t>Expectation after a failed operation shapes the result as much as the findings.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4.20.1-P1</t>
        </is>
      </c>
      <c r="B3" s="4" t="inlineStr">
        <is>
          <t>4.20.1</t>
        </is>
      </c>
      <c r="C3" s="4" t="inlineStr">
        <is>
          <t>medical_student</t>
        </is>
      </c>
      <c r="D3" s="4" t="inlineStr">
        <is>
          <t>Assess the effusion, since a persistent or a recurrent effusion after the early weeks is a finding rather than a stage.</t>
        </is>
      </c>
      <c r="E3" s="4" t="inlineStr"/>
      <c r="F3" s="4" t="inlineStr"/>
      <c r="G3" s="4" t="inlineStr"/>
    </row>
    <row r="4">
      <c r="A4" s="4" t="inlineStr">
        <is>
          <t>4.20.1-P2</t>
        </is>
      </c>
      <c r="B4" s="4" t="inlineStr">
        <is>
          <t>4.20.1</t>
        </is>
      </c>
      <c r="C4" s="4" t="inlineStr">
        <is>
          <t>medical_student</t>
        </is>
      </c>
      <c r="D4" s="4" t="inlineStr">
        <is>
          <t>Measure the range, recording the extension first, because an extension deficit after a reconstruction is the deficit that matters.</t>
        </is>
      </c>
      <c r="E4" s="4" t="inlineStr"/>
      <c r="F4" s="4" t="inlineStr"/>
      <c r="G4" s="4" t="inlineStr"/>
    </row>
    <row r="5">
      <c r="A5" s="4" t="inlineStr">
        <is>
          <t>4.20.1-P3</t>
        </is>
      </c>
      <c r="B5" s="4" t="inlineStr">
        <is>
          <t>4.20.1</t>
        </is>
      </c>
      <c r="C5" s="4" t="inlineStr">
        <is>
          <t>medical_student</t>
        </is>
      </c>
      <c r="D5" s="4" t="inlineStr">
        <is>
          <t>Assess the quadriceps bulk and the ability to hold the leg straight, since quadriceps recovery governs the function.</t>
        </is>
      </c>
      <c r="E5" s="4" t="inlineStr"/>
      <c r="F5" s="4" t="inlineStr"/>
      <c r="G5" s="4" t="inlineStr"/>
    </row>
    <row r="6">
      <c r="A6" s="4" t="inlineStr">
        <is>
          <t>4.20.1-P4</t>
        </is>
      </c>
      <c r="B6" s="4" t="inlineStr">
        <is>
          <t>4.20.1</t>
        </is>
      </c>
      <c r="C6" s="4" t="inlineStr">
        <is>
          <t>medical_student</t>
        </is>
      </c>
      <c r="D6" s="4" t="inlineStr">
        <is>
          <t>Assess the rotational control, since a graft can restrain the anterior translation and leave the rotation.</t>
        </is>
      </c>
      <c r="E6" s="4" t="inlineStr"/>
      <c r="F6" s="4" t="inlineStr"/>
      <c r="G6" s="4" t="inlineStr"/>
    </row>
    <row r="7">
      <c r="A7" s="4" t="inlineStr">
        <is>
          <t>4.20.2-P1</t>
        </is>
      </c>
      <c r="B7" s="4" t="inlineStr">
        <is>
          <t>4.20.2</t>
        </is>
      </c>
      <c r="C7" s="4" t="inlineStr">
        <is>
          <t>medical_student</t>
        </is>
      </c>
      <c r="D7" s="4" t="inlineStr">
        <is>
          <t>Assess the effusion, because a recurrent effusion after the early weeks suggests the repair has not healed.</t>
        </is>
      </c>
      <c r="E7" s="4" t="inlineStr"/>
      <c r="F7" s="4" t="inlineStr"/>
      <c r="G7" s="4" t="inlineStr"/>
    </row>
    <row r="8">
      <c r="A8" s="4" t="inlineStr">
        <is>
          <t>4.20.2-P2</t>
        </is>
      </c>
      <c r="B8" s="4" t="inlineStr">
        <is>
          <t>4.20.2</t>
        </is>
      </c>
      <c r="C8" s="4" t="inlineStr">
        <is>
          <t>medical_student</t>
        </is>
      </c>
      <c r="D8" s="4" t="inlineStr">
        <is>
          <t>Measure the range, recording flexion, since deep flexion is restricted early and should recover.</t>
        </is>
      </c>
      <c r="E8" s="4" t="inlineStr"/>
      <c r="F8" s="4" t="inlineStr"/>
      <c r="G8" s="4" t="inlineStr"/>
    </row>
    <row r="9">
      <c r="A9" s="4" t="inlineStr">
        <is>
          <t>4.20.2-P3</t>
        </is>
      </c>
      <c r="B9" s="4" t="inlineStr">
        <is>
          <t>4.20.2</t>
        </is>
      </c>
      <c r="C9" s="4" t="inlineStr">
        <is>
          <t>medical_student</t>
        </is>
      </c>
      <c r="D9" s="4" t="inlineStr">
        <is>
          <t>Defer the meniscal provocation tests until the protected period has passed, and record that decision.</t>
        </is>
      </c>
      <c r="E9" s="4" t="inlineStr"/>
      <c r="F9" s="4" t="inlineStr"/>
      <c r="G9" s="4" t="inlineStr"/>
    </row>
    <row r="10">
      <c r="A10" s="4" t="inlineStr">
        <is>
          <t>4.20.2-P4</t>
        </is>
      </c>
      <c r="B10" s="4" t="inlineStr">
        <is>
          <t>4.20.2</t>
        </is>
      </c>
      <c r="C10" s="4" t="inlineStr">
        <is>
          <t>medical_student</t>
        </is>
      </c>
      <c r="D10" s="4" t="inlineStr">
        <is>
          <t>Assess for a mechanical block, since a failed repair can displace.</t>
        </is>
      </c>
      <c r="E10" s="4" t="inlineStr"/>
      <c r="F10" s="4" t="inlineStr"/>
      <c r="G10" s="4" t="inlineStr"/>
    </row>
    <row r="11">
      <c r="A11" s="4" t="inlineStr">
        <is>
          <t>4.20.3-P1</t>
        </is>
      </c>
      <c r="B11" s="4" t="inlineStr">
        <is>
          <t>4.20.3</t>
        </is>
      </c>
      <c r="C11" s="4" t="inlineStr">
        <is>
          <t>medical_student</t>
        </is>
      </c>
      <c r="D11" s="4" t="inlineStr">
        <is>
          <t>Assess the effusion, because a persistent effusion after a root repair suggests the repair or the compartment is not settling.</t>
        </is>
      </c>
      <c r="E11" s="4" t="inlineStr"/>
      <c r="F11" s="4" t="inlineStr"/>
      <c r="G11" s="4" t="inlineStr"/>
    </row>
    <row r="12">
      <c r="A12" s="4" t="inlineStr">
        <is>
          <t>4.20.3-P2</t>
        </is>
      </c>
      <c r="B12" s="4" t="inlineStr">
        <is>
          <t>4.20.3</t>
        </is>
      </c>
      <c r="C12" s="4" t="inlineStr">
        <is>
          <t>medical_student</t>
        </is>
      </c>
      <c r="D12" s="4" t="inlineStr">
        <is>
          <t>Measure the range, recording flexion, since deep flexion loads a root repair most.</t>
        </is>
      </c>
      <c r="E12" s="4" t="inlineStr"/>
      <c r="F12" s="4" t="inlineStr"/>
      <c r="G12" s="4" t="inlineStr"/>
    </row>
    <row r="13">
      <c r="A13" s="4" t="inlineStr">
        <is>
          <t>4.20.3-P3</t>
        </is>
      </c>
      <c r="B13" s="4" t="inlineStr">
        <is>
          <t>4.20.3</t>
        </is>
      </c>
      <c r="C13" s="4" t="inlineStr">
        <is>
          <t>medical_student</t>
        </is>
      </c>
      <c r="D13" s="4" t="inlineStr">
        <is>
          <t>Assess the alignment, since a varus limb loads a medial root repair and that is why an osteotomy is often combined.</t>
        </is>
      </c>
      <c r="E13" s="4" t="inlineStr"/>
      <c r="F13" s="4" t="inlineStr"/>
      <c r="G13" s="4" t="inlineStr"/>
    </row>
    <row r="14">
      <c r="A14" s="4" t="inlineStr">
        <is>
          <t>4.20.3-P4</t>
        </is>
      </c>
      <c r="B14" s="4" t="inlineStr">
        <is>
          <t>4.20.3</t>
        </is>
      </c>
      <c r="C14" s="4" t="inlineStr">
        <is>
          <t>medical_student</t>
        </is>
      </c>
      <c r="D14" s="4" t="inlineStr">
        <is>
          <t>Defer the provocation tests during the protected period and record that decision.</t>
        </is>
      </c>
      <c r="E14" s="4" t="inlineStr"/>
      <c r="F14" s="4" t="inlineStr"/>
      <c r="G14" s="4" t="inlineStr"/>
    </row>
    <row r="15">
      <c r="A15" s="4" t="inlineStr">
        <is>
          <t>4.20.4-P1</t>
        </is>
      </c>
      <c r="B15" s="4" t="inlineStr">
        <is>
          <t>4.20.4</t>
        </is>
      </c>
      <c r="C15" s="4" t="inlineStr">
        <is>
          <t>medical_student</t>
        </is>
      </c>
      <c r="D15" s="4" t="inlineStr">
        <is>
          <t>Assess the alignment standing from the front, comparing it with the other limb and with the intended correction.</t>
        </is>
      </c>
      <c r="E15" s="4" t="inlineStr"/>
      <c r="F15" s="4" t="inlineStr"/>
      <c r="G15" s="4" t="inlineStr"/>
    </row>
    <row r="16">
      <c r="A16" s="4" t="inlineStr">
        <is>
          <t>4.20.4-P2</t>
        </is>
      </c>
      <c r="B16" s="4" t="inlineStr">
        <is>
          <t>4.20.4</t>
        </is>
      </c>
      <c r="C16" s="4" t="inlineStr">
        <is>
          <t>medical_student</t>
        </is>
      </c>
      <c r="D16" s="4" t="inlineStr">
        <is>
          <t>Measure the range, since an osteotomy can change the flexion available and the extension.</t>
        </is>
      </c>
      <c r="E16" s="4" t="inlineStr"/>
      <c r="F16" s="4" t="inlineStr"/>
      <c r="G16" s="4" t="inlineStr"/>
    </row>
    <row r="17">
      <c r="A17" s="4" t="inlineStr">
        <is>
          <t>4.20.4-P3</t>
        </is>
      </c>
      <c r="B17" s="4" t="inlineStr">
        <is>
          <t>4.20.4</t>
        </is>
      </c>
      <c r="C17" s="4" t="inlineStr">
        <is>
          <t>medical_student</t>
        </is>
      </c>
      <c r="D17" s="4" t="inlineStr">
        <is>
          <t>Assess the collateral ligaments, since correcting the bone changes their tension.</t>
        </is>
      </c>
      <c r="E17" s="4" t="inlineStr"/>
      <c r="F17" s="4" t="inlineStr"/>
      <c r="G17" s="4" t="inlineStr"/>
    </row>
    <row r="18">
      <c r="A18" s="4" t="inlineStr">
        <is>
          <t>4.20.5-P1</t>
        </is>
      </c>
      <c r="B18" s="4" t="inlineStr">
        <is>
          <t>4.20.5</t>
        </is>
      </c>
      <c r="C18" s="4" t="inlineStr">
        <is>
          <t>medical_student</t>
        </is>
      </c>
      <c r="D18" s="4" t="inlineStr">
        <is>
          <t>Assess the effusion, since a recurrent activity related effusion is the common finding when the result is not holding.</t>
        </is>
      </c>
      <c r="E18" s="4" t="inlineStr"/>
      <c r="F18" s="4" t="inlineStr"/>
      <c r="G18" s="4" t="inlineStr"/>
    </row>
    <row r="19">
      <c r="A19" s="4" t="inlineStr">
        <is>
          <t>4.20.5-P2</t>
        </is>
      </c>
      <c r="B19" s="4" t="inlineStr">
        <is>
          <t>4.20.5</t>
        </is>
      </c>
      <c r="C19" s="4" t="inlineStr">
        <is>
          <t>medical_student</t>
        </is>
      </c>
      <c r="D19" s="4" t="inlineStr">
        <is>
          <t>Measure the range, recording any restriction, because stiffness after cartilage surgery is common.</t>
        </is>
      </c>
      <c r="E19" s="4" t="inlineStr"/>
      <c r="F19" s="4" t="inlineStr"/>
      <c r="G19" s="4" t="inlineStr"/>
    </row>
    <row r="20">
      <c r="A20" s="4" t="inlineStr">
        <is>
          <t>4.20.5-P3</t>
        </is>
      </c>
      <c r="B20" s="4" t="inlineStr">
        <is>
          <t>4.20.5</t>
        </is>
      </c>
      <c r="C20" s="4" t="inlineStr">
        <is>
          <t>medical_student</t>
        </is>
      </c>
      <c r="D20" s="4" t="inlineStr">
        <is>
          <t>Assess the painful arc, since a treated lesion is loaded at a particular flexion angle.</t>
        </is>
      </c>
      <c r="E20" s="4" t="inlineStr"/>
      <c r="F20" s="4" t="inlineStr"/>
      <c r="G20" s="4" t="inlineStr"/>
    </row>
    <row r="21">
      <c r="A21" s="4" t="inlineStr">
        <is>
          <t>4.20.5-P4</t>
        </is>
      </c>
      <c r="B21" s="4" t="inlineStr">
        <is>
          <t>4.20.5</t>
        </is>
      </c>
      <c r="C21" s="4" t="inlineStr">
        <is>
          <t>medical_student</t>
        </is>
      </c>
      <c r="D21" s="4" t="inlineStr">
        <is>
          <t>Assess the alignment, because the load that produced the lesion has not changed unless it was corrected.</t>
        </is>
      </c>
      <c r="E21" s="4" t="inlineStr"/>
      <c r="F21" s="4" t="inlineStr"/>
      <c r="G21" s="4" t="inlineStr"/>
    </row>
    <row r="22">
      <c r="A22" s="4" t="inlineStr">
        <is>
          <t>4.20.5-P5</t>
        </is>
      </c>
      <c r="B22" s="4" t="inlineStr">
        <is>
          <t>4.20.5</t>
        </is>
      </c>
      <c r="C22" s="4" t="inlineStr">
        <is>
          <t>medical_student</t>
        </is>
      </c>
      <c r="D22" s="4" t="inlineStr">
        <is>
          <t>Assess function, because the patient's judgement of the result is functional rather than structural.</t>
        </is>
      </c>
      <c r="E22" s="4" t="inlineStr"/>
      <c r="F22" s="4" t="inlineStr"/>
      <c r="G22" s="4" t="inlineStr"/>
    </row>
    <row r="23">
      <c r="A23" s="4" t="inlineStr">
        <is>
          <t>4.20.5-P6</t>
        </is>
      </c>
      <c r="B23" s="4" t="inlineStr">
        <is>
          <t>4.20.5</t>
        </is>
      </c>
      <c r="C23" s="4" t="inlineStr">
        <is>
          <t>mrcs</t>
        </is>
      </c>
      <c r="D23" s="4" t="inlineStr">
        <is>
          <t>Repair tissue tolerates less load than the cartilage it replaces.</t>
        </is>
      </c>
      <c r="E23" s="4" t="inlineStr"/>
      <c r="F23" s="4" t="inlineStr"/>
      <c r="G23" s="4" t="inlineStr"/>
    </row>
    <row r="24">
      <c r="A24" s="4" t="inlineStr">
        <is>
          <t>4.20.5-P7</t>
        </is>
      </c>
      <c r="B24" s="4" t="inlineStr">
        <is>
          <t>4.20.5</t>
        </is>
      </c>
      <c r="C24" s="4" t="inlineStr">
        <is>
          <t>fellowship</t>
        </is>
      </c>
      <c r="D24" s="4" t="inlineStr">
        <is>
          <t>Repair tissue quality determines the durability and is invisible to the examination, so the clinical result and the structural one can diverge for years.</t>
        </is>
      </c>
      <c r="E24" s="4" t="inlineStr"/>
      <c r="F24" s="4" t="inlineStr"/>
      <c r="G24" s="4" t="inlineStr"/>
    </row>
    <row r="25">
      <c r="A25" s="4" t="inlineStr">
        <is>
          <t>4.20.5-P8</t>
        </is>
      </c>
      <c r="B25" s="4" t="inlineStr">
        <is>
          <t>4.20.5</t>
        </is>
      </c>
      <c r="C25" s="4" t="inlineStr">
        <is>
          <t>fellowship</t>
        </is>
      </c>
      <c r="D25" s="4" t="inlineStr">
        <is>
          <t>Repair tissue quality is invisible to the examination.</t>
        </is>
      </c>
      <c r="E25" s="4" t="inlineStr"/>
      <c r="F25" s="4" t="inlineStr"/>
      <c r="G25" s="4" t="inlineStr"/>
    </row>
    <row r="26">
      <c r="A26" s="4" t="inlineStr">
        <is>
          <t>4.20.6-P1</t>
        </is>
      </c>
      <c r="B26" s="4" t="inlineStr">
        <is>
          <t>4.20.6</t>
        </is>
      </c>
      <c r="C26" s="4" t="inlineStr">
        <is>
          <t>medical_student</t>
        </is>
      </c>
      <c r="D26" s="4" t="inlineStr">
        <is>
          <t>Assess the effusion and the range, since stiffness after this operation is a recognised problem.</t>
        </is>
      </c>
      <c r="E26" s="4" t="inlineStr"/>
      <c r="F26" s="4" t="inlineStr"/>
      <c r="G26" s="4" t="inlineStr"/>
    </row>
    <row r="27">
      <c r="A27" s="4" t="inlineStr">
        <is>
          <t>4.20.6-P2</t>
        </is>
      </c>
      <c r="B27" s="4" t="inlineStr">
        <is>
          <t>4.20.6</t>
        </is>
      </c>
      <c r="C27" s="4" t="inlineStr">
        <is>
          <t>medical_student</t>
        </is>
      </c>
      <c r="D27" s="4" t="inlineStr">
        <is>
          <t>Assess the patellar translation laterally, comparing it with the other side and with the preoperative record.</t>
        </is>
      </c>
      <c r="E27" s="4" t="inlineStr"/>
      <c r="F27" s="4" t="inlineStr"/>
      <c r="G27" s="4" t="inlineStr"/>
    </row>
    <row r="28">
      <c r="A28" s="4" t="inlineStr">
        <is>
          <t>4.20.6-P3</t>
        </is>
      </c>
      <c r="B28" s="4" t="inlineStr">
        <is>
          <t>4.20.6</t>
        </is>
      </c>
      <c r="C28" s="4" t="inlineStr">
        <is>
          <t>medical_student</t>
        </is>
      </c>
      <c r="D28" s="4" t="inlineStr">
        <is>
          <t>Assess the medial translation, because a patella that will not move medially has been tethered.</t>
        </is>
      </c>
      <c r="E28" s="4" t="inlineStr"/>
      <c r="F28" s="4" t="inlineStr"/>
      <c r="G28" s="4" t="inlineStr"/>
    </row>
    <row r="29">
      <c r="A29" s="4" t="inlineStr">
        <is>
          <t>4.20.6-P4</t>
        </is>
      </c>
      <c r="B29" s="4" t="inlineStr">
        <is>
          <t>4.20.6</t>
        </is>
      </c>
      <c r="C29" s="4" t="inlineStr">
        <is>
          <t>medical_student</t>
        </is>
      </c>
      <c r="D29" s="4" t="inlineStr">
        <is>
          <t>Assess the patellar tilt, since an over tightened reconstruction tilts the patella medially.</t>
        </is>
      </c>
      <c r="E29" s="4" t="inlineStr"/>
      <c r="F29" s="4" t="inlineStr"/>
      <c r="G29" s="4" t="inlineStr"/>
    </row>
    <row r="30">
      <c r="A30" s="4" t="inlineStr">
        <is>
          <t>4.20.6-P5</t>
        </is>
      </c>
      <c r="B30" s="4" t="inlineStr">
        <is>
          <t>4.20.6</t>
        </is>
      </c>
      <c r="C30" s="4" t="inlineStr">
        <is>
          <t>medical_student</t>
        </is>
      </c>
      <c r="D30" s="4" t="inlineStr">
        <is>
          <t>Assess apprehension, which should have resolved.</t>
        </is>
      </c>
      <c r="E30" s="4" t="inlineStr"/>
      <c r="F30" s="4" t="inlineStr"/>
      <c r="G30" s="4" t="inlineStr"/>
    </row>
    <row r="31">
      <c r="A31" s="4" t="inlineStr">
        <is>
          <t>4.20.7-P1</t>
        </is>
      </c>
      <c r="B31" s="4" t="inlineStr">
        <is>
          <t>4.20.7</t>
        </is>
      </c>
      <c r="C31" s="4" t="inlineStr">
        <is>
          <t>medical_student</t>
        </is>
      </c>
      <c r="D31" s="4" t="inlineStr">
        <is>
          <t>Assess the effusion, since a recurrent effusion after a partial replacement is a finding rather than a stage.</t>
        </is>
      </c>
      <c r="E31" s="4" t="inlineStr"/>
      <c r="F31" s="4" t="inlineStr"/>
      <c r="G31" s="4" t="inlineStr"/>
    </row>
    <row r="32">
      <c r="A32" s="4" t="inlineStr">
        <is>
          <t>4.20.7-P2</t>
        </is>
      </c>
      <c r="B32" s="4" t="inlineStr">
        <is>
          <t>4.20.7</t>
        </is>
      </c>
      <c r="C32" s="4" t="inlineStr">
        <is>
          <t>medical_student</t>
        </is>
      </c>
      <c r="D32" s="4" t="inlineStr">
        <is>
          <t>Measure the range, recording any extension deficit, because a partial replacement should restore a good range.</t>
        </is>
      </c>
      <c r="E32" s="4" t="inlineStr"/>
      <c r="F32" s="4" t="inlineStr"/>
      <c r="G32" s="4" t="inlineStr"/>
    </row>
    <row r="33">
      <c r="A33" s="4" t="inlineStr">
        <is>
          <t>4.20.7-P3</t>
        </is>
      </c>
      <c r="B33" s="4" t="inlineStr">
        <is>
          <t>4.20.7</t>
        </is>
      </c>
      <c r="C33" s="4" t="inlineStr">
        <is>
          <t>medical_student</t>
        </is>
      </c>
      <c r="D33" s="4" t="inlineStr">
        <is>
          <t>Assess the alignment standing, since a partial replacement does not usually correct a large deformity.</t>
        </is>
      </c>
      <c r="E33" s="4" t="inlineStr"/>
      <c r="F33" s="4" t="inlineStr"/>
      <c r="G33" s="4" t="inlineStr"/>
    </row>
    <row r="34">
      <c r="A34" s="4" t="inlineStr">
        <is>
          <t>4.20.7-P4</t>
        </is>
      </c>
      <c r="B34" s="4" t="inlineStr">
        <is>
          <t>4.20.7</t>
        </is>
      </c>
      <c r="C34" s="4" t="inlineStr">
        <is>
          <t>medical_student</t>
        </is>
      </c>
      <c r="D34" s="4" t="inlineStr">
        <is>
          <t>Assess the collateral ligaments, since a partial replacement relies on them.</t>
        </is>
      </c>
      <c r="E34" s="4" t="inlineStr"/>
      <c r="F34" s="4" t="inlineStr"/>
      <c r="G34" s="4" t="inlineStr"/>
    </row>
    <row r="35">
      <c r="A35" s="4" t="inlineStr">
        <is>
          <t>4.20.7-P5</t>
        </is>
      </c>
      <c r="B35" s="4" t="inlineStr">
        <is>
          <t>4.20.7</t>
        </is>
      </c>
      <c r="C35" s="4" t="inlineStr">
        <is>
          <t>medical_student</t>
        </is>
      </c>
      <c r="D35" s="4" t="inlineStr">
        <is>
          <t>Assess the cruciate function, because an anterior cruciate deficient knee behaves differently with a partial replacement.</t>
        </is>
      </c>
      <c r="E35" s="4" t="inlineStr"/>
      <c r="F35" s="4" t="inlineStr"/>
      <c r="G35" s="4" t="inlineStr"/>
    </row>
    <row r="36">
      <c r="A36" s="4" t="inlineStr">
        <is>
          <t>4.20.8-P1</t>
        </is>
      </c>
      <c r="B36" s="4" t="inlineStr">
        <is>
          <t>4.20.8</t>
        </is>
      </c>
      <c r="C36" s="4" t="inlineStr">
        <is>
          <t>medical_student</t>
        </is>
      </c>
      <c r="D36" s="4" t="inlineStr">
        <is>
          <t>Assess the temperature and the effusion, since both raise infection in a replaced knee.</t>
        </is>
      </c>
      <c r="E36" s="4" t="inlineStr"/>
      <c r="F36" s="4" t="inlineStr"/>
      <c r="G36" s="4" t="inlineStr"/>
    </row>
    <row r="37">
      <c r="A37" s="4" t="inlineStr">
        <is>
          <t>4.20.8-P2</t>
        </is>
      </c>
      <c r="B37" s="4" t="inlineStr">
        <is>
          <t>4.20.8</t>
        </is>
      </c>
      <c r="C37" s="4" t="inlineStr">
        <is>
          <t>medical_student</t>
        </is>
      </c>
      <c r="D37" s="4" t="inlineStr">
        <is>
          <t>Measure the range, recording the extension deficit and the flexion separately.</t>
        </is>
      </c>
      <c r="E37" s="4" t="inlineStr"/>
      <c r="F37" s="4" t="inlineStr"/>
      <c r="G37" s="4" t="inlineStr"/>
    </row>
    <row r="38">
      <c r="A38" s="4" t="inlineStr">
        <is>
          <t>4.20.8-P3</t>
        </is>
      </c>
      <c r="B38" s="4" t="inlineStr">
        <is>
          <t>4.20.8</t>
        </is>
      </c>
      <c r="C38" s="4" t="inlineStr">
        <is>
          <t>medical_student</t>
        </is>
      </c>
      <c r="D38" s="4" t="inlineStr">
        <is>
          <t>Assess the alignment standing, since the replacement should have corrected it.</t>
        </is>
      </c>
      <c r="E38" s="4" t="inlineStr"/>
      <c r="F38" s="4" t="inlineStr"/>
      <c r="G38" s="4" t="inlineStr"/>
    </row>
    <row r="39">
      <c r="A39" s="4" t="inlineStr">
        <is>
          <t>4.20.8-P4</t>
        </is>
      </c>
      <c r="B39" s="4" t="inlineStr">
        <is>
          <t>4.20.8</t>
        </is>
      </c>
      <c r="C39" s="4" t="inlineStr">
        <is>
          <t>medical_student</t>
        </is>
      </c>
      <c r="D39" s="4" t="inlineStr">
        <is>
          <t>Assess stability in extension and in flexion, because a replaced knee can be stable in one and lax in the other.</t>
        </is>
      </c>
      <c r="E39" s="4" t="inlineStr"/>
      <c r="F39" s="4" t="inlineStr"/>
      <c r="G39" s="4" t="inlineStr"/>
    </row>
    <row r="40">
      <c r="A40" s="4" t="inlineStr">
        <is>
          <t>4.20.8-P5</t>
        </is>
      </c>
      <c r="B40" s="4" t="inlineStr">
        <is>
          <t>4.20.8</t>
        </is>
      </c>
      <c r="C40" s="4" t="inlineStr">
        <is>
          <t>medical_student</t>
        </is>
      </c>
      <c r="D40" s="4" t="inlineStr">
        <is>
          <t>Assess the extensor mechanism, including the ability to hold the leg straight and the patellar tracking.</t>
        </is>
      </c>
      <c r="E40" s="4" t="inlineStr"/>
      <c r="F40" s="4" t="inlineStr"/>
      <c r="G40" s="4" t="inlineStr"/>
    </row>
    <row r="41">
      <c r="A41" s="4" t="inlineStr">
        <is>
          <t>4.20.8-P6</t>
        </is>
      </c>
      <c r="B41" s="4" t="inlineStr">
        <is>
          <t>4.20.8</t>
        </is>
      </c>
      <c r="C41" s="4" t="inlineStr">
        <is>
          <t>medical_student</t>
        </is>
      </c>
      <c r="D41" s="4" t="inlineStr">
        <is>
          <t>Assess function and the walking distance, since the operation was done for function.</t>
        </is>
      </c>
      <c r="E41" s="4" t="inlineStr"/>
      <c r="F41" s="4" t="inlineStr"/>
      <c r="G41" s="4" t="inlineStr"/>
    </row>
    <row r="42">
      <c r="A42" s="4" t="inlineStr">
        <is>
          <t>4.20.9-P1</t>
        </is>
      </c>
      <c r="B42" s="4" t="inlineStr">
        <is>
          <t>4.20.9</t>
        </is>
      </c>
      <c r="C42" s="4" t="inlineStr">
        <is>
          <t>medical_student</t>
        </is>
      </c>
      <c r="D42" s="4" t="inlineStr">
        <is>
          <t>Assess the skin and soft tissue envelope, since multiple incisions limit what is possible.</t>
        </is>
      </c>
      <c r="E42" s="4" t="inlineStr"/>
      <c r="F42" s="4" t="inlineStr"/>
      <c r="G42" s="4" t="inlineStr"/>
    </row>
    <row r="43">
      <c r="A43" s="4" t="inlineStr">
        <is>
          <t>4.20.9-P2</t>
        </is>
      </c>
      <c r="B43" s="4" t="inlineStr">
        <is>
          <t>4.20.9</t>
        </is>
      </c>
      <c r="C43" s="4" t="inlineStr">
        <is>
          <t>medical_student</t>
        </is>
      </c>
      <c r="D43" s="4" t="inlineStr">
        <is>
          <t>Assess the temperature and the effusion, because infection is a cause of failure that must be excluded early.</t>
        </is>
      </c>
      <c r="E43" s="4" t="inlineStr"/>
      <c r="F43" s="4" t="inlineStr"/>
      <c r="G43" s="4" t="inlineStr"/>
    </row>
    <row r="44">
      <c r="A44" s="4" t="inlineStr">
        <is>
          <t>4.20.9-P3</t>
        </is>
      </c>
      <c r="B44" s="4" t="inlineStr">
        <is>
          <t>4.20.9</t>
        </is>
      </c>
      <c r="C44" s="4" t="inlineStr">
        <is>
          <t>medical_student</t>
        </is>
      </c>
      <c r="D44" s="4" t="inlineStr">
        <is>
          <t>Measure the range and record both deficits, since a revision often has to address stiffness as well.</t>
        </is>
      </c>
      <c r="E44" s="4" t="inlineStr"/>
      <c r="F44" s="4" t="inlineStr"/>
      <c r="G44" s="4" t="inlineStr"/>
    </row>
    <row r="45">
      <c r="A45" s="4" t="inlineStr">
        <is>
          <t>4.20.9-P4</t>
        </is>
      </c>
      <c r="B45" s="4" t="inlineStr">
        <is>
          <t>4.20.9</t>
        </is>
      </c>
      <c r="C45" s="4" t="inlineStr">
        <is>
          <t>medical_student</t>
        </is>
      </c>
      <c r="D45" s="4" t="inlineStr">
        <is>
          <t>Assess the alignment standing, since an uncorrected alignment is a common reason a procedure failed.</t>
        </is>
      </c>
      <c r="E45" s="4" t="inlineStr"/>
      <c r="F45" s="4" t="inlineStr"/>
      <c r="G45" s="4" t="inlineStr"/>
    </row>
    <row r="46">
      <c r="A46" s="4" t="inlineStr">
        <is>
          <t>4.20.9-P5</t>
        </is>
      </c>
      <c r="B46" s="4" t="inlineStr">
        <is>
          <t>4.20.9</t>
        </is>
      </c>
      <c r="C46" s="4" t="inlineStr">
        <is>
          <t>medical_student</t>
        </is>
      </c>
      <c r="D46" s="4" t="inlineStr">
        <is>
          <t>Assess the ligaments systematically, because a missed ligament injury is a common reason a reconstruction failed.</t>
        </is>
      </c>
      <c r="E46" s="4" t="inlineStr"/>
      <c r="F46" s="4" t="inlineStr"/>
      <c r="G46" s="4" t="inlineStr"/>
    </row>
    <row r="47">
      <c r="A47" s="4" t="inlineStr">
        <is>
          <t>4.20.9-P6</t>
        </is>
      </c>
      <c r="B47" s="4" t="inlineStr">
        <is>
          <t>4.20.9</t>
        </is>
      </c>
      <c r="C47" s="4" t="inlineStr">
        <is>
          <t>medical_student</t>
        </is>
      </c>
      <c r="D47" s="4" t="inlineStr">
        <is>
          <t>Assess the neurovascular state and record it, because that record matters before a revision.</t>
        </is>
      </c>
      <c r="E47" s="4" t="inlineStr"/>
      <c r="F47" s="4" t="inlineStr"/>
      <c r="G47" s="4" t="inlineStr"/>
    </row>
  </sheetData>
  <dataValidations count="1">
    <dataValidation sqref="E3:E47"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45</f>
        <v/>
      </c>
      <c r="C2" s="3">
        <f>0</f>
        <v/>
      </c>
    </row>
    <row r="3">
      <c r="A3" s="2" t="inlineStr">
        <is>
          <t>Decided</t>
        </is>
      </c>
      <c r="B3" s="3">
        <f>COUNTIF(Recommendations!E3:E47,"&lt;&gt;")</f>
        <v/>
      </c>
      <c r="C3" s="3">
        <f>COUNTIF(Measurements!F3:F2,"&lt;&gt;")</f>
        <v/>
      </c>
    </row>
    <row r="4">
      <c r="A4" s="2" t="inlineStr">
        <is>
          <t>Still blank</t>
        </is>
      </c>
      <c r="B4" s="3">
        <f>B2-B3</f>
        <v/>
      </c>
      <c r="C4" s="3">
        <f>C2-C3</f>
        <v/>
      </c>
    </row>
    <row r="5">
      <c r="A5" s="2" t="inlineStr">
        <is>
          <t>CONFIRMED</t>
        </is>
      </c>
      <c r="B5" s="3">
        <f>COUNTIF(Recommendations!E3:E47,"CONFIRMED")</f>
        <v/>
      </c>
      <c r="C5" s="3" t="inlineStr"/>
    </row>
    <row r="6">
      <c r="A6" s="2" t="inlineStr">
        <is>
          <t>AMENDED</t>
        </is>
      </c>
      <c r="B6" s="3">
        <f>COUNTIF(Recommendations!E3:E47,"AMENDED")</f>
        <v/>
      </c>
      <c r="C6" s="3" t="inlineStr"/>
    </row>
    <row r="7">
      <c r="A7" s="2" t="inlineStr">
        <is>
          <t>WITHDRAWN</t>
        </is>
      </c>
      <c r="B7" s="3">
        <f>COUNTIF(Recommendations!E3:E47,"WITHDRAWN")</f>
        <v/>
      </c>
      <c r="C7" s="3" t="inlineStr"/>
    </row>
    <row r="8">
      <c r="A8" s="2" t="inlineStr">
        <is>
          <t>NOT_CLINICAL</t>
        </is>
      </c>
      <c r="B8" s="3">
        <f>COUNTIF(Recommendations!E3:E47,"NOT_CLINICAL")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2026-10-13T21:14:21Z</dcterms:created>
  <dcterms:modified xmlns:dcterms="http://purl.org/dc/terms/" xmlns:xsi="http://www.w3.org/2001/XMLSchema-instance" xsi:type="dcterms:W3CDTF">2026-10-13T21:14:22Z</dcterms:modified>
</cp:coreProperties>
</file>