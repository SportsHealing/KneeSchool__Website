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ages" sheetId="2" state="visible" r:id="rId2"/>
    <sheet xmlns:r="http://schemas.openxmlformats.org/officeDocument/2006/relationships" name="Claims" sheetId="3" state="visible" r:id="rId3"/>
    <sheet xmlns:r="http://schemas.openxmlformats.org/officeDocument/2006/relationships" name="Recommendations" sheetId="4" state="visible" r:id="rId4"/>
    <sheet xmlns:r="http://schemas.openxmlformats.org/officeDocument/2006/relationships" name="Measurements" sheetId="5" state="visible" r:id="rId5"/>
    <sheet xmlns:r="http://schemas.openxmlformats.org/officeDocument/2006/relationships" name="Progres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b val="1"/>
    </font>
    <font>
      <name val="Arial"/>
    </font>
    <font>
      <name val="Arial"/>
      <b val="1"/>
      <color rgb="00FFFFFF"/>
    </font>
    <font>
      <name val="Arial"/>
      <i val="1"/>
      <color rgb="008A6A2F"/>
    </font>
  </fonts>
  <fills count="4">
    <fill>
      <patternFill/>
    </fill>
    <fill>
      <patternFill patternType="gray125"/>
    </fill>
    <fill>
      <patternFill patternType="solid">
        <fgColor rgb="0016382D"/>
      </patternFill>
    </fill>
    <fill>
      <patternFill patternType="solid">
        <fgColor rgb="00FAF7EF"/>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2" borderId="0" applyAlignment="1" pivotButton="0" quotePrefix="0" xfId="0">
      <alignment vertical="top" wrapText="1"/>
    </xf>
    <xf numFmtId="0" fontId="3" fillId="0" borderId="0" applyAlignment="1" pivotButton="0" quotePrefix="0" xfId="0">
      <alignment vertical="top"/>
    </xf>
    <xf numFmtId="0" fontId="5"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2" customWidth="1" min="1" max="1"/>
    <col width="96" customWidth="1" min="2" max="2"/>
  </cols>
  <sheetData>
    <row r="1">
      <c r="A1" s="1" t="inlineStr">
        <is>
          <t>Consultant review pack: chapter 3.3 Knee Kinematics</t>
        </is>
      </c>
    </row>
    <row r="3">
      <c r="A3" s="2" t="inlineStr">
        <is>
          <t>Section</t>
        </is>
      </c>
      <c r="B3" s="3" t="inlineStr">
        <is>
          <t>3</t>
        </is>
      </c>
    </row>
    <row r="4">
      <c r="A4" s="2" t="inlineStr">
        <is>
          <t>Chapter</t>
        </is>
      </c>
      <c r="B4" s="3" t="inlineStr">
        <is>
          <t>3.3 Knee Kinematics</t>
        </is>
      </c>
    </row>
    <row r="5">
      <c r="A5" s="2" t="inlineStr">
        <is>
          <t>Pages</t>
        </is>
      </c>
      <c r="B5" s="3" t="n">
        <v>14</v>
      </c>
    </row>
    <row r="6">
      <c r="A6" s="2" t="inlineStr">
        <is>
          <t>Page type</t>
        </is>
      </c>
      <c r="B6" s="3" t="inlineStr">
        <is>
          <t>biomechanics</t>
        </is>
      </c>
    </row>
    <row r="7">
      <c r="A7" s="2" t="inlineStr">
        <is>
          <t>Tiers</t>
        </is>
      </c>
      <c r="B7" s="3" t="inlineStr">
        <is>
          <t>medical student, mrcs, frcs</t>
        </is>
      </c>
    </row>
    <row r="8">
      <c r="A8" s="2" t="inlineStr">
        <is>
          <t>Words</t>
        </is>
      </c>
      <c r="B8" s="3" t="inlineStr">
        <is>
          <t>17,774</t>
        </is>
      </c>
    </row>
    <row r="9">
      <c r="A9" s="2" t="inlineStr">
        <is>
          <t>Style gate</t>
        </is>
      </c>
      <c r="B9" s="3" t="inlineStr">
        <is>
          <t>all pages pass, 0 warnings</t>
        </is>
      </c>
    </row>
    <row r="10">
      <c r="A10" s="2" t="inlineStr">
        <is>
          <t>Evidence verification</t>
        </is>
      </c>
      <c r="B10" s="3" t="inlineStr">
        <is>
          <t>did not run on any page</t>
        </is>
      </c>
    </row>
    <row r="11">
      <c r="A11" s="2" t="inlineStr">
        <is>
          <t>Measurements to check</t>
        </is>
      </c>
      <c r="B11" s="3" t="n">
        <v>31</v>
      </c>
    </row>
    <row r="12">
      <c r="A12" s="2" t="inlineStr">
        <is>
          <t>Recommendations to sign</t>
        </is>
      </c>
      <c r="B12" s="3" t="n">
        <v>111</v>
      </c>
    </row>
    <row r="14">
      <c r="A14" s="2" t="inlineStr">
        <is>
          <t>What this is</t>
        </is>
      </c>
      <c r="B14" s="4" t="inlineStr">
        <is>
          <t>One chapter of KneeSchool, with every measurement and every clinical recommendation on its pages listed for review. Generated from the pages themselves by tools/review_pack.py, so this file cannot disagree with the site.</t>
        </is>
      </c>
    </row>
    <row r="15">
      <c r="A15" s="2" t="inlineStr">
        <is>
          <t>What has not happened</t>
        </is>
      </c>
      <c r="B15" s="4" t="inlineStr">
        <is>
          <t>No source was retrieved for any page in this chapter. The build environment has no access to PubMed, Cochrane, a journal or a textbook, so the pipeline's fact checking stage could not run. Every claim here has been checked by nobody. This pack stands in for the verification stage as well as for the review stage.</t>
        </is>
      </c>
    </row>
    <row r="16">
      <c r="A16" s="2" t="inlineStr">
        <is>
          <t>What to fill in</t>
        </is>
      </c>
      <c r="B16" s="4" t="inlineStr">
        <is>
          <t>The Decision column on the Recommendations and Measurements sheets, and your name. Every other cell is rewritten when the pack is regenerated. A row left blank stays outstanding and comes back in the next pack, so answering part of a sheet is a normal way to use it.</t>
        </is>
      </c>
    </row>
    <row r="17">
      <c r="A17" s="2" t="inlineStr">
        <is>
          <t>Recommendations: allowed decisions</t>
        </is>
      </c>
      <c r="B17" s="4" t="inlineStr">
        <is>
          <t>CONFIRMED, the sentence stands as written. AMENDED, it needs changing and the new wording goes in the Note column. WITHDRAWN, take it off the page. NOT_CLINICAL, it is teaching rather than clinical direction. The detector over collects on purpose, so NOT_CLINICAL is expected and is not a complaint about the page.</t>
        </is>
      </c>
    </row>
    <row r="18">
      <c r="A18" s="2" t="inlineStr">
        <is>
          <t>Measurements: allowed decisions</t>
        </is>
      </c>
      <c r="B18" s="4" t="inlineStr">
        <is>
          <t>VERIFIED, the figure is right and the source goes in the Source column. CORRECTED, the right value goes in the Note column. REMOVED, take the figure off the page.</t>
        </is>
      </c>
    </row>
    <row r="19">
      <c r="A19" s="2" t="inlineStr">
        <is>
          <t>How to return it</t>
        </is>
      </c>
      <c r="B19" s="4" t="inlineStr">
        <is>
          <t>Send the file back. It is read into the registers with: python3 tools/review_pack.py --ingest &lt;this file&gt;. One malformed row stops the whole file, so nothing is written half way.</t>
        </is>
      </c>
    </row>
    <row r="20">
      <c r="A20" s="2" t="inlineStr">
        <is>
          <t>What this cannot do</t>
        </is>
      </c>
      <c r="B20" s="4" t="inlineStr">
        <is>
          <t>It does not change a page. A confirmed recommendation needs nothing; an amended one needs the prose edited, and your wording in the Note column is what the editor works from.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8" customWidth="1" min="3" max="3"/>
    <col width="10" customWidth="1" min="4" max="4"/>
    <col width="52" customWidth="1" min="5" max="5"/>
  </cols>
  <sheetData>
    <row r="1">
      <c r="A1" s="5" t="inlineStr">
        <is>
          <t>Page</t>
        </is>
      </c>
      <c r="B1" s="5" t="inlineStr">
        <is>
          <t>Title</t>
        </is>
      </c>
      <c r="C1" s="5" t="inlineStr">
        <is>
          <t>Tiers</t>
        </is>
      </c>
      <c r="D1" s="5" t="inlineStr">
        <is>
          <t>Words</t>
        </is>
      </c>
      <c r="E1" s="5" t="inlineStr">
        <is>
          <t>Published as</t>
        </is>
      </c>
    </row>
    <row r="2">
      <c r="A2" s="6" t="inlineStr">
        <is>
          <t>3.3.1</t>
        </is>
      </c>
      <c r="B2" s="6" t="inlineStr">
        <is>
          <t>Introduction to Kinematics</t>
        </is>
      </c>
      <c r="C2" s="6" t="n">
        <v>3</v>
      </c>
      <c r="D2" s="6" t="n">
        <v>1394</v>
      </c>
      <c r="E2" s="6" t="inlineStr">
        <is>
          <t>biomechanics/introduction-to-kinematics.html</t>
        </is>
      </c>
    </row>
    <row r="3">
      <c r="A3" s="6" t="inlineStr">
        <is>
          <t>3.3.2</t>
        </is>
      </c>
      <c r="B3" s="6" t="inlineStr">
        <is>
          <t>Roll and Glide Mechanisms</t>
        </is>
      </c>
      <c r="C3" s="6" t="n">
        <v>3</v>
      </c>
      <c r="D3" s="6" t="n">
        <v>1339</v>
      </c>
      <c r="E3" s="6" t="inlineStr">
        <is>
          <t>biomechanics/roll-and-glide-mechanisms.html</t>
        </is>
      </c>
    </row>
    <row r="4">
      <c r="A4" s="6" t="inlineStr">
        <is>
          <t>3.3.3</t>
        </is>
      </c>
      <c r="B4" s="6" t="inlineStr">
        <is>
          <t>Femoral Motion on Tibia</t>
        </is>
      </c>
      <c r="C4" s="6" t="n">
        <v>3</v>
      </c>
      <c r="D4" s="6" t="n">
        <v>1301</v>
      </c>
      <c r="E4" s="6" t="inlineStr">
        <is>
          <t>biomechanics/femoral-motion-on-tibia.html</t>
        </is>
      </c>
    </row>
    <row r="5">
      <c r="A5" s="6" t="inlineStr">
        <is>
          <t>3.3.4</t>
        </is>
      </c>
      <c r="B5" s="6" t="inlineStr">
        <is>
          <t>Tibial Motion on Femur</t>
        </is>
      </c>
      <c r="C5" s="6" t="n">
        <v>3</v>
      </c>
      <c r="D5" s="6" t="n">
        <v>1326</v>
      </c>
      <c r="E5" s="6" t="inlineStr">
        <is>
          <t>biomechanics/tibial-motion-on-femur.html</t>
        </is>
      </c>
    </row>
    <row r="6">
      <c r="A6" s="6" t="inlineStr">
        <is>
          <t>3.3.5</t>
        </is>
      </c>
      <c r="B6" s="6" t="inlineStr">
        <is>
          <t>Screw Home Mechanism</t>
        </is>
      </c>
      <c r="C6" s="6" t="n">
        <v>3</v>
      </c>
      <c r="D6" s="6" t="n">
        <v>1311</v>
      </c>
      <c r="E6" s="6" t="inlineStr">
        <is>
          <t>biomechanics/screw-home-mechanism.html</t>
        </is>
      </c>
    </row>
    <row r="7">
      <c r="A7" s="6" t="inlineStr">
        <is>
          <t>3.3.6</t>
        </is>
      </c>
      <c r="B7" s="6" t="inlineStr">
        <is>
          <t>Reverse Screw Home Mechanism</t>
        </is>
      </c>
      <c r="C7" s="6" t="n">
        <v>3</v>
      </c>
      <c r="D7" s="6" t="n">
        <v>1247</v>
      </c>
      <c r="E7" s="6" t="inlineStr">
        <is>
          <t>biomechanics/reverse-screw-home-mechanism.html</t>
        </is>
      </c>
    </row>
    <row r="8">
      <c r="A8" s="6" t="inlineStr">
        <is>
          <t>3.3.7</t>
        </is>
      </c>
      <c r="B8" s="6" t="inlineStr">
        <is>
          <t>Instant Centre of Rotation</t>
        </is>
      </c>
      <c r="C8" s="6" t="n">
        <v>3</v>
      </c>
      <c r="D8" s="6" t="n">
        <v>1232</v>
      </c>
      <c r="E8" s="6" t="inlineStr">
        <is>
          <t>biomechanics/instant-centre-of-rotation.html</t>
        </is>
      </c>
    </row>
    <row r="9">
      <c r="A9" s="6" t="inlineStr">
        <is>
          <t>3.3.8</t>
        </is>
      </c>
      <c r="B9" s="6" t="inlineStr">
        <is>
          <t>Changes Throughout Flexion</t>
        </is>
      </c>
      <c r="C9" s="6" t="n">
        <v>3</v>
      </c>
      <c r="D9" s="6" t="n">
        <v>1287</v>
      </c>
      <c r="E9" s="6" t="inlineStr">
        <is>
          <t>biomechanics/changes-throughout-flexion.html</t>
        </is>
      </c>
    </row>
    <row r="10">
      <c r="A10" s="6" t="inlineStr">
        <is>
          <t>3.3.9</t>
        </is>
      </c>
      <c r="B10" s="6" t="inlineStr">
        <is>
          <t>Kinematics During Walking</t>
        </is>
      </c>
      <c r="C10" s="6" t="n">
        <v>3</v>
      </c>
      <c r="D10" s="6" t="n">
        <v>1271</v>
      </c>
      <c r="E10" s="6" t="inlineStr">
        <is>
          <t>biomechanics/kinematics-during-walking.html</t>
        </is>
      </c>
    </row>
    <row r="11">
      <c r="A11" s="6" t="inlineStr">
        <is>
          <t>3.3.10</t>
        </is>
      </c>
      <c r="B11" s="6" t="inlineStr">
        <is>
          <t>Kinematics During Running</t>
        </is>
      </c>
      <c r="C11" s="6" t="n">
        <v>3</v>
      </c>
      <c r="D11" s="6" t="n">
        <v>1192</v>
      </c>
      <c r="E11" s="6" t="inlineStr">
        <is>
          <t>biomechanics/kinematics-during-running.html</t>
        </is>
      </c>
    </row>
    <row r="12">
      <c r="A12" s="6" t="inlineStr">
        <is>
          <t>3.3.11</t>
        </is>
      </c>
      <c r="B12" s="6" t="inlineStr">
        <is>
          <t>Kinematics During Squatting</t>
        </is>
      </c>
      <c r="C12" s="6" t="n">
        <v>3</v>
      </c>
      <c r="D12" s="6" t="n">
        <v>1246</v>
      </c>
      <c r="E12" s="6" t="inlineStr">
        <is>
          <t>biomechanics/kinematics-during-squatting.html</t>
        </is>
      </c>
    </row>
    <row r="13">
      <c r="A13" s="6" t="inlineStr">
        <is>
          <t>3.3.12</t>
        </is>
      </c>
      <c r="B13" s="6" t="inlineStr">
        <is>
          <t>Kinematics During Stair Climbing</t>
        </is>
      </c>
      <c r="C13" s="6" t="n">
        <v>3</v>
      </c>
      <c r="D13" s="6" t="n">
        <v>1177</v>
      </c>
      <c r="E13" s="6" t="inlineStr">
        <is>
          <t>biomechanics/kinematics-during-stair-climbing.html</t>
        </is>
      </c>
    </row>
    <row r="14">
      <c r="A14" s="6" t="inlineStr">
        <is>
          <t>3.3.13</t>
        </is>
      </c>
      <c r="B14" s="6" t="inlineStr">
        <is>
          <t>Kinematics During Landing</t>
        </is>
      </c>
      <c r="C14" s="6" t="n">
        <v>3</v>
      </c>
      <c r="D14" s="6" t="n">
        <v>1236</v>
      </c>
      <c r="E14" s="6" t="inlineStr">
        <is>
          <t>biomechanics/kinematics-during-landing.html</t>
        </is>
      </c>
    </row>
    <row r="15">
      <c r="A15" s="6" t="inlineStr">
        <is>
          <t>3.3.14</t>
        </is>
      </c>
      <c r="B15" s="6" t="inlineStr">
        <is>
          <t>Kinematics During Cutting</t>
        </is>
      </c>
      <c r="C15" s="6" t="n">
        <v>3</v>
      </c>
      <c r="D15" s="6" t="n">
        <v>1215</v>
      </c>
      <c r="E15" s="6" t="inlineStr">
        <is>
          <t>biomechanics/kinematics-during-cutting.html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7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110" customWidth="1" min="3" max="3"/>
  </cols>
  <sheetData>
    <row r="1">
      <c r="A1" s="5" t="inlineStr">
        <is>
          <t>Page</t>
        </is>
      </c>
      <c r="B1" s="5" t="inlineStr">
        <is>
          <t>Title</t>
        </is>
      </c>
      <c r="C1" s="5" t="inlineStr">
        <is>
          <t>Claim</t>
        </is>
      </c>
    </row>
    <row r="2">
      <c r="A2" s="4" t="inlineStr">
        <is>
          <t>3.3.1</t>
        </is>
      </c>
      <c r="B2" s="4" t="inlineStr">
        <is>
          <t>Introduction to Kinematics</t>
        </is>
      </c>
      <c r="C2" s="4" t="inlineStr">
        <is>
          <t>Stability is a kinetic claim and motion a kinematic one; an operation can restore one alone.</t>
        </is>
      </c>
    </row>
    <row r="3">
      <c r="A3" s="4" t="inlineStr">
        <is>
          <t>3.3.1</t>
        </is>
      </c>
      <c r="B3" s="4" t="inlineStr">
        <is>
          <t>Introduction to Kinematics</t>
        </is>
      </c>
      <c r="C3" s="4" t="inlineStr">
        <is>
          <t>Abnormal kinematics with normal laxity is a recognised post-reconstruction pattern.</t>
        </is>
      </c>
    </row>
    <row r="4">
      <c r="A4" s="4" t="inlineStr">
        <is>
          <t>3.3.1</t>
        </is>
      </c>
      <c r="B4" s="4" t="inlineStr">
        <is>
          <t>Introduction to Kinematics</t>
        </is>
      </c>
      <c r="C4" s="4" t="inlineStr">
        <is>
          <t>An implant imposes a path rather than negotiating one.</t>
        </is>
      </c>
    </row>
    <row r="5">
      <c r="A5" s="4" t="inlineStr">
        <is>
          <t>3.3.1</t>
        </is>
      </c>
      <c r="B5" s="4" t="inlineStr">
        <is>
          <t>Introduction to Kinematics</t>
        </is>
      </c>
      <c r="C5" s="4" t="inlineStr">
        <is>
          <t>Biplanar fluoroscopy is the in vivo reference method, limited by equipment not by question.</t>
        </is>
      </c>
    </row>
    <row r="6">
      <c r="A6" s="4" t="inlineStr">
        <is>
          <t>3.3.1</t>
        </is>
      </c>
      <c r="B6" s="4" t="inlineStr">
        <is>
          <t>Introduction to Kinematics</t>
        </is>
      </c>
      <c r="C6" s="4" t="inlineStr">
        <is>
          <t>A kinematic study generalises only as far as the task it measured.</t>
        </is>
      </c>
    </row>
    <row r="7">
      <c r="A7" s="4" t="inlineStr">
        <is>
          <t>3.3.2</t>
        </is>
      </c>
      <c r="B7" s="4" t="inlineStr">
        <is>
          <t>Roll and Glide Mechanisms</t>
        </is>
      </c>
      <c r="C7" s="4" t="inlineStr">
        <is>
          <t>Rollback is a design requirement; retaining and stabilised designs produce it differently.</t>
        </is>
      </c>
    </row>
    <row r="8">
      <c r="A8" s="4" t="inlineStr">
        <is>
          <t>3.3.2</t>
        </is>
      </c>
      <c r="B8" s="4" t="inlineStr">
        <is>
          <t>Roll and Glide Mechanisms</t>
        </is>
      </c>
      <c r="C8" s="4" t="inlineStr">
        <is>
          <t>Paradoxical anterior sliding loses the lever arm deep flexion needs.</t>
        </is>
      </c>
    </row>
    <row r="9">
      <c r="A9" s="4" t="inlineStr">
        <is>
          <t>3.3.2</t>
        </is>
      </c>
      <c r="B9" s="4" t="inlineStr">
        <is>
          <t>Roll and Glide Mechanisms</t>
        </is>
      </c>
      <c r="C9" s="4" t="inlineStr">
        <is>
          <t>A reconstruction can restore the limit and leave the contact path shifted.</t>
        </is>
      </c>
    </row>
    <row r="10">
      <c r="A10" s="4" t="inlineStr">
        <is>
          <t>3.3.2</t>
        </is>
      </c>
      <c r="B10" s="4" t="inlineStr">
        <is>
          <t>Roll and Glide Mechanisms</t>
        </is>
      </c>
      <c r="C10" s="4" t="inlineStr">
        <is>
          <t>Sagittal radius and insert conformity decide how much the path is imposed.</t>
        </is>
      </c>
    </row>
    <row r="11">
      <c r="A11" s="4" t="inlineStr">
        <is>
          <t>3.3.2</t>
        </is>
      </c>
      <c r="B11" s="4" t="inlineStr">
        <is>
          <t>Roll and Glide Mechanisms</t>
        </is>
      </c>
      <c r="C11" s="4" t="inlineStr">
        <is>
          <t>No routine clinical measurement of contact path exists.</t>
        </is>
      </c>
    </row>
    <row r="12">
      <c r="A12" s="4" t="inlineStr">
        <is>
          <t>3.3.3</t>
        </is>
      </c>
      <c r="B12" s="4" t="inlineStr">
        <is>
          <t>Femoral Motion on Tibia</t>
        </is>
      </c>
      <c r="C12" s="4" t="inlineStr">
        <is>
          <t>Closed chain is the condition most surgical decisions are really about.</t>
        </is>
      </c>
    </row>
    <row r="13">
      <c r="A13" s="4" t="inlineStr">
        <is>
          <t>3.3.3</t>
        </is>
      </c>
      <c r="B13" s="4" t="inlineStr">
        <is>
          <t>Femoral Motion on Tibia</t>
        </is>
      </c>
      <c r="C13" s="4" t="inlineStr">
        <is>
          <t>The ground reaction force line relative to the knee exists only in closed chain.</t>
        </is>
      </c>
    </row>
    <row r="14">
      <c r="A14" s="4" t="inlineStr">
        <is>
          <t>3.3.3</t>
        </is>
      </c>
      <c r="B14" s="4" t="inlineStr">
        <is>
          <t>Femoral Motion on Tibia</t>
        </is>
      </c>
      <c r="C14" s="4" t="inlineStr">
        <is>
          <t>A chain has several solutions, which is why function and laxity dissociate.</t>
        </is>
      </c>
    </row>
    <row r="15">
      <c r="A15" s="4" t="inlineStr">
        <is>
          <t>3.3.3</t>
        </is>
      </c>
      <c r="B15" s="4" t="inlineStr">
        <is>
          <t>Femoral Motion on Tibia</t>
        </is>
      </c>
      <c r="C15" s="4" t="inlineStr">
        <is>
          <t>Static long leg alignment and dynamic measurement can disagree.</t>
        </is>
      </c>
    </row>
    <row r="16">
      <c r="A16" s="4" t="inlineStr">
        <is>
          <t>3.3.3</t>
        </is>
      </c>
      <c r="B16" s="4" t="inlineStr">
        <is>
          <t>Femoral Motion on Tibia</t>
        </is>
      </c>
      <c r="C16" s="4" t="inlineStr">
        <is>
          <t>Compensation is visible in a kinematic record and not separable from capacity by it.</t>
        </is>
      </c>
    </row>
    <row r="17">
      <c r="A17" s="4" t="inlineStr">
        <is>
          <t>3.3.4</t>
        </is>
      </c>
      <c r="B17" s="4" t="inlineStr">
        <is>
          <t>Tibial Motion on Femur</t>
        </is>
      </c>
      <c r="C17" s="4" t="inlineStr">
        <is>
          <t>Open chain asks a structural question and closed chain a functional one.</t>
        </is>
      </c>
    </row>
    <row r="18">
      <c r="A18" s="4" t="inlineStr">
        <is>
          <t>3.3.4</t>
        </is>
      </c>
      <c r="B18" s="4" t="inlineStr">
        <is>
          <t>Tibial Motion on Femur</t>
        </is>
      </c>
      <c r="C18" s="4" t="inlineStr">
        <is>
          <t>A graft can measure tight in open chain and be inadequate in closed chain.</t>
        </is>
      </c>
    </row>
    <row r="19">
      <c r="A19" s="4" t="inlineStr">
        <is>
          <t>3.3.4</t>
        </is>
      </c>
      <c r="B19" s="4" t="inlineStr">
        <is>
          <t>Tibial Motion on Femur</t>
        </is>
      </c>
      <c r="C19" s="4" t="inlineStr">
        <is>
          <t>The two chains load a graft at different parts of the range.</t>
        </is>
      </c>
    </row>
    <row r="20">
      <c r="A20" s="4" t="inlineStr">
        <is>
          <t>3.3.4</t>
        </is>
      </c>
      <c r="B20" s="4" t="inlineStr">
        <is>
          <t>Tibial Motion on Femur</t>
        </is>
      </c>
      <c r="C20" s="4" t="inlineStr">
        <is>
          <t>Examination under anaesthetic is the cleanest clinical open chain measurement.</t>
        </is>
      </c>
    </row>
    <row r="21">
      <c r="A21" s="4" t="inlineStr">
        <is>
          <t>3.3.4</t>
        </is>
      </c>
      <c r="B21" s="4" t="inlineStr">
        <is>
          <t>Tibial Motion on Femur</t>
        </is>
      </c>
      <c r="C21" s="4" t="inlineStr">
        <is>
          <t>No open chain measurement reliably predicts a closed chain symptom.</t>
        </is>
      </c>
    </row>
    <row r="22">
      <c r="A22" s="4" t="inlineStr">
        <is>
          <t>3.3.5</t>
        </is>
      </c>
      <c r="B22" s="4" t="inlineStr">
        <is>
          <t>Screw Home Mechanism</t>
        </is>
      </c>
      <c r="C22" s="4" t="inlineStr">
        <is>
          <t>An arthroplasty without full extension has lost the locking position.</t>
        </is>
      </c>
    </row>
    <row r="23">
      <c r="A23" s="4" t="inlineStr">
        <is>
          <t>3.3.5</t>
        </is>
      </c>
      <c r="B23" s="4" t="inlineStr">
        <is>
          <t>Screw Home Mechanism</t>
        </is>
      </c>
      <c r="C23" s="4" t="inlineStr">
        <is>
          <t>The coupled rotation constrains component rotation in replacement.</t>
        </is>
      </c>
    </row>
    <row r="24">
      <c r="A24" s="4" t="inlineStr">
        <is>
          <t>3.3.5</t>
        </is>
      </c>
      <c r="B24" s="4" t="inlineStr">
        <is>
          <t>Screw Home Mechanism</t>
        </is>
      </c>
      <c r="C24" s="4" t="inlineStr">
        <is>
          <t>A graft placed too anteriorly limits terminal extension because it blocks coupled motion.</t>
        </is>
      </c>
    </row>
    <row r="25">
      <c r="A25" s="4" t="inlineStr">
        <is>
          <t>3.3.5</t>
        </is>
      </c>
      <c r="B25" s="4" t="inlineStr">
        <is>
          <t>Screw Home Mechanism</t>
        </is>
      </c>
      <c r="C25" s="4" t="inlineStr">
        <is>
          <t>Full extension has no partial version; achieve it on the table.</t>
        </is>
      </c>
    </row>
    <row r="26">
      <c r="A26" s="4" t="inlineStr">
        <is>
          <t>3.3.5</t>
        </is>
      </c>
      <c r="B26" s="4" t="inlineStr">
        <is>
          <t>Screw Home Mechanism</t>
        </is>
      </c>
      <c r="C26" s="4" t="inlineStr">
        <is>
          <t>Lost extension after reconstruction is investigated, not accepted as stiffness.</t>
        </is>
      </c>
    </row>
    <row r="27">
      <c r="A27" s="4" t="inlineStr">
        <is>
          <t>3.3.6</t>
        </is>
      </c>
      <c r="B27" s="4" t="inlineStr">
        <is>
          <t>Reverse Screw Home Mechanism</t>
        </is>
      </c>
      <c r="C27" s="4" t="inlineStr">
        <is>
          <t>Anatomic corner reconstruction addresses the complex rather than a subset, by conventional teaching.</t>
        </is>
      </c>
    </row>
    <row r="28">
      <c r="A28" s="4" t="inlineStr">
        <is>
          <t>3.3.6</t>
        </is>
      </c>
      <c r="B28" s="4" t="inlineStr">
        <is>
          <t>Reverse Screw Home Mechanism</t>
        </is>
      </c>
      <c r="C28" s="4" t="inlineStr">
        <is>
          <t>The deficit is rotational and positional, so symptoms appear near extension.</t>
        </is>
      </c>
    </row>
    <row r="29">
      <c r="A29" s="4" t="inlineStr">
        <is>
          <t>3.3.6</t>
        </is>
      </c>
      <c r="B29" s="4" t="inlineStr">
        <is>
          <t>Reverse Screw Home Mechanism</t>
        </is>
      </c>
      <c r="C29" s="4" t="inlineStr">
        <is>
          <t>A missed corner injury is a recognised cause of cruciate graft failure.</t>
        </is>
      </c>
    </row>
    <row r="30">
      <c r="A30" s="4" t="inlineStr">
        <is>
          <t>3.3.6</t>
        </is>
      </c>
      <c r="B30" s="4" t="inlineStr">
        <is>
          <t>Reverse Screw Home Mechanism</t>
        </is>
      </c>
      <c r="C30" s="4" t="inlineStr">
        <is>
          <t>Varus alignment loads a reconstructed corner and is addressable.</t>
        </is>
      </c>
    </row>
    <row r="31">
      <c r="A31" s="4" t="inlineStr">
        <is>
          <t>3.3.6</t>
        </is>
      </c>
      <c r="B31" s="4" t="inlineStr">
        <is>
          <t>Reverse Screw Home Mechanism</t>
        </is>
      </c>
      <c r="C31" s="4" t="inlineStr">
        <is>
          <t>No measurement shows whether a reconstructed popliteus is functioning.</t>
        </is>
      </c>
    </row>
    <row r="32">
      <c r="A32" s="4" t="inlineStr">
        <is>
          <t>3.3.7</t>
        </is>
      </c>
      <c r="B32" s="4" t="inlineStr">
        <is>
          <t>Instant Centre of Rotation</t>
        </is>
      </c>
      <c r="C32" s="4" t="inlineStr">
        <is>
          <t>Single radius and multi radius designs disagree about the centre path; both approximate.</t>
        </is>
      </c>
    </row>
    <row r="33">
      <c r="A33" s="4" t="inlineStr">
        <is>
          <t>3.3.7</t>
        </is>
      </c>
      <c r="B33" s="4" t="inlineStr">
        <is>
          <t>Instant Centre of Rotation</t>
        </is>
      </c>
      <c r="C33" s="4" t="inlineStr">
        <is>
          <t>Hinged implants abandon the native centrode deliberately for constraint.</t>
        </is>
      </c>
    </row>
    <row r="34">
      <c r="A34" s="4" t="inlineStr">
        <is>
          <t>3.3.7</t>
        </is>
      </c>
      <c r="B34" s="4" t="inlineStr">
        <is>
          <t>Instant Centre of Rotation</t>
        </is>
      </c>
      <c r="C34" s="4" t="inlineStr">
        <is>
          <t>An off axis hinged fixator translates the joint while it flexes.</t>
        </is>
      </c>
    </row>
    <row r="35">
      <c r="A35" s="4" t="inlineStr">
        <is>
          <t>3.3.7</t>
        </is>
      </c>
      <c r="B35" s="4" t="inlineStr">
        <is>
          <t>Instant Centre of Rotation</t>
        </is>
      </c>
      <c r="C35" s="4" t="inlineStr">
        <is>
          <t>A well designed implant placed off axis imposes the wrong path.</t>
        </is>
      </c>
    </row>
    <row r="36">
      <c r="A36" s="4" t="inlineStr">
        <is>
          <t>3.3.7</t>
        </is>
      </c>
      <c r="B36" s="4" t="inlineStr">
        <is>
          <t>Instant Centre of Rotation</t>
        </is>
      </c>
      <c r="C36" s="4" t="inlineStr">
        <is>
          <t>No routine postoperative measurement of the centrode exists.</t>
        </is>
      </c>
    </row>
    <row r="37">
      <c r="A37" s="4" t="inlineStr">
        <is>
          <t>3.3.8</t>
        </is>
      </c>
      <c r="B37" s="4" t="inlineStr">
        <is>
          <t>Changes Throughout Flexion</t>
        </is>
      </c>
      <c r="C37" s="4" t="inlineStr">
        <is>
          <t>Mid flexion is where reconstructions and replacements fail quietly.</t>
        </is>
      </c>
    </row>
    <row r="38">
      <c r="A38" s="4" t="inlineStr">
        <is>
          <t>3.3.8</t>
        </is>
      </c>
      <c r="B38" s="4" t="inlineStr">
        <is>
          <t>Changes Throughout Flexion</t>
        </is>
      </c>
      <c r="C38" s="4" t="inlineStr">
        <is>
          <t>Mid flexion instability is laxity at 30 to 60 degrees with stable extension and flexion.</t>
        </is>
      </c>
    </row>
    <row r="39">
      <c r="A39" s="4" t="inlineStr">
        <is>
          <t>3.3.8</t>
        </is>
      </c>
      <c r="B39" s="4" t="inlineStr">
        <is>
          <t>Changes Throughout Flexion</t>
        </is>
      </c>
      <c r="C39" s="4" t="inlineStr">
        <is>
          <t>Conventional teaching attributes it to femoral component position and radius of curvature.</t>
        </is>
      </c>
    </row>
    <row r="40">
      <c r="A40" s="4" t="inlineStr">
        <is>
          <t>3.3.8</t>
        </is>
      </c>
      <c r="B40" s="4" t="inlineStr">
        <is>
          <t>Changes Throughout Flexion</t>
        </is>
      </c>
      <c r="C40" s="4" t="inlineStr">
        <is>
          <t>Joint line position shifts the whole arc and the ligament tension through it.</t>
        </is>
      </c>
    </row>
    <row r="41">
      <c r="A41" s="4" t="inlineStr">
        <is>
          <t>3.3.8</t>
        </is>
      </c>
      <c r="B41" s="4" t="inlineStr">
        <is>
          <t>Changes Throughout Flexion</t>
        </is>
      </c>
      <c r="C41" s="4" t="inlineStr">
        <is>
          <t>Mid flexion instability has no agreed diagnostic threshold.</t>
        </is>
      </c>
    </row>
    <row r="42">
      <c r="A42" s="4" t="inlineStr">
        <is>
          <t>3.3.9</t>
        </is>
      </c>
      <c r="B42" s="4" t="inlineStr">
        <is>
          <t>Kinematics During Walking</t>
        </is>
      </c>
      <c r="C42" s="4" t="inlineStr">
        <is>
          <t>Walking is the patient's benchmark and a weak discriminator between constructs.</t>
        </is>
      </c>
    </row>
    <row r="43">
      <c r="A43" s="4" t="inlineStr">
        <is>
          <t>3.3.9</t>
        </is>
      </c>
      <c r="B43" s="4" t="inlineStr">
        <is>
          <t>Kinematics During Walking</t>
        </is>
      </c>
      <c r="C43" s="4" t="inlineStr">
        <is>
          <t>The adduction moment discriminates, and it is kinetic rather than kinematic.</t>
        </is>
      </c>
    </row>
    <row r="44">
      <c r="A44" s="4" t="inlineStr">
        <is>
          <t>3.3.9</t>
        </is>
      </c>
      <c r="B44" s="4" t="inlineStr">
        <is>
          <t>Kinematics During Walking</t>
        </is>
      </c>
      <c r="C44" s="4" t="inlineStr">
        <is>
          <t>Stiff knee gait has several causes; separating them is the clinical work.</t>
        </is>
      </c>
    </row>
    <row r="45">
      <c r="A45" s="4" t="inlineStr">
        <is>
          <t>3.3.9</t>
        </is>
      </c>
      <c r="B45" s="4" t="inlineStr">
        <is>
          <t>Kinematics During Walking</t>
        </is>
      </c>
      <c r="C45" s="4" t="inlineStr">
        <is>
          <t>Wearable monitoring answers the real world question that laboratory gait does not.</t>
        </is>
      </c>
    </row>
    <row r="46">
      <c r="A46" s="4" t="inlineStr">
        <is>
          <t>3.3.9</t>
        </is>
      </c>
      <c r="B46" s="4" t="inlineStr">
        <is>
          <t>Kinematics During Walking</t>
        </is>
      </c>
      <c r="C46" s="4" t="inlineStr">
        <is>
          <t>No kinematic measure substitutes for whether walking is acceptable to the patient.</t>
        </is>
      </c>
    </row>
    <row r="47">
      <c r="A47" s="4" t="inlineStr">
        <is>
          <t>3.3.10</t>
        </is>
      </c>
      <c r="B47" s="4" t="inlineStr">
        <is>
          <t>Kinematics During Running</t>
        </is>
      </c>
      <c r="C47" s="4" t="inlineStr">
        <is>
          <t>Return to running is a mechanical decision, not a time based one.</t>
        </is>
      </c>
    </row>
    <row r="48">
      <c r="A48" s="4" t="inlineStr">
        <is>
          <t>3.3.10</t>
        </is>
      </c>
      <c r="B48" s="4" t="inlineStr">
        <is>
          <t>Kinematics During Running</t>
        </is>
      </c>
      <c r="C48" s="4" t="inlineStr">
        <is>
          <t>Repeated loading distinguishes running from any single cycle clinical test.</t>
        </is>
      </c>
    </row>
    <row r="49">
      <c r="A49" s="4" t="inlineStr">
        <is>
          <t>3.3.10</t>
        </is>
      </c>
      <c r="B49" s="4" t="inlineStr">
        <is>
          <t>Kinematics During Running</t>
        </is>
      </c>
      <c r="C49" s="4" t="inlineStr">
        <is>
          <t>Cumulative cycles, not peak load, drive the cartilage consequence.</t>
        </is>
      </c>
    </row>
    <row r="50">
      <c r="A50" s="4" t="inlineStr">
        <is>
          <t>3.3.10</t>
        </is>
      </c>
      <c r="B50" s="4" t="inlineStr">
        <is>
          <t>Kinematics During Running</t>
        </is>
      </c>
      <c r="C50" s="4" t="inlineStr">
        <is>
          <t>Performance tests are proxies; they do not measure joint kinematics.</t>
        </is>
      </c>
    </row>
    <row r="51">
      <c r="A51" s="4" t="inlineStr">
        <is>
          <t>3.3.10</t>
        </is>
      </c>
      <c r="B51" s="4" t="inlineStr">
        <is>
          <t>Kinematics During Running</t>
        </is>
      </c>
      <c r="C51" s="4" t="inlineStr">
        <is>
          <t>No measurement predicts an individual's tolerance.</t>
        </is>
      </c>
    </row>
    <row r="52">
      <c r="A52" s="4" t="inlineStr">
        <is>
          <t>3.3.11</t>
        </is>
      </c>
      <c r="B52" s="4" t="inlineStr">
        <is>
          <t>Kinematics During Squatting</t>
        </is>
      </c>
      <c r="C52" s="4" t="inlineStr">
        <is>
          <t>Deep flexion loads a small posterior contact area; the design question is tolerance.</t>
        </is>
      </c>
    </row>
    <row r="53">
      <c r="A53" s="4" t="inlineStr">
        <is>
          <t>3.3.11</t>
        </is>
      </c>
      <c r="B53" s="4" t="inlineStr">
        <is>
          <t>Kinematics During Squatting</t>
        </is>
      </c>
      <c r="C53" s="4" t="inlineStr">
        <is>
          <t>High flexion demand is cultural and occupational, so the goal is set per patient.</t>
        </is>
      </c>
    </row>
    <row r="54">
      <c r="A54" s="4" t="inlineStr">
        <is>
          <t>3.3.11</t>
        </is>
      </c>
      <c r="B54" s="4" t="inlineStr">
        <is>
          <t>Kinematics During Squatting</t>
        </is>
      </c>
      <c r="C54" s="4" t="inlineStr">
        <is>
          <t>Posterior condylar offset and joint line position determine achievable flexion.</t>
        </is>
      </c>
    </row>
    <row r="55">
      <c r="A55" s="4" t="inlineStr">
        <is>
          <t>3.3.11</t>
        </is>
      </c>
      <c r="B55" s="4" t="inlineStr">
        <is>
          <t>Kinematics During Squatting</t>
        </is>
      </c>
      <c r="C55" s="4" t="inlineStr">
        <is>
          <t>Retrieval analysis shows where deep flexion loading actually fell.</t>
        </is>
      </c>
    </row>
    <row r="56">
      <c r="A56" s="4" t="inlineStr">
        <is>
          <t>3.3.11</t>
        </is>
      </c>
      <c r="B56" s="4" t="inlineStr">
        <is>
          <t>Kinematics During Squatting</t>
        </is>
      </c>
      <c r="C56" s="4" t="inlineStr">
        <is>
          <t>Measured range and the ability to kneel correlate imperfectly.</t>
        </is>
      </c>
    </row>
    <row r="57">
      <c r="A57" s="4" t="inlineStr">
        <is>
          <t>3.3.12</t>
        </is>
      </c>
      <c r="B57" s="4" t="inlineStr">
        <is>
          <t>Kinematics During Stair Climbing</t>
        </is>
      </c>
      <c r="C57" s="4" t="inlineStr">
        <is>
          <t>Stair function discriminates because it needs range and eccentric control.</t>
        </is>
      </c>
    </row>
    <row r="58">
      <c r="A58" s="4" t="inlineStr">
        <is>
          <t>3.3.12</t>
        </is>
      </c>
      <c r="B58" s="4" t="inlineStr">
        <is>
          <t>Kinematics During Stair Climbing</t>
        </is>
      </c>
      <c r="C58" s="4" t="inlineStr">
        <is>
          <t>Anterior knee pain from patellofemoral overload presents on stairs.</t>
        </is>
      </c>
    </row>
    <row r="59">
      <c r="A59" s="4" t="inlineStr">
        <is>
          <t>3.3.12</t>
        </is>
      </c>
      <c r="B59" s="4" t="inlineStr">
        <is>
          <t>Kinematics During Stair Climbing</t>
        </is>
      </c>
      <c r="C59" s="4" t="inlineStr">
        <is>
          <t>Stairs expose mid flexion instability and an unfavourable contact path.</t>
        </is>
      </c>
    </row>
    <row r="60">
      <c r="A60" s="4" t="inlineStr">
        <is>
          <t>3.3.12</t>
        </is>
      </c>
      <c r="B60" s="4" t="inlineStr">
        <is>
          <t>Kinematics During Stair Climbing</t>
        </is>
      </c>
      <c r="C60" s="4" t="inlineStr">
        <is>
          <t>Fluoroscopic step up studies underlie several arthroplasty kinematic comparisons.</t>
        </is>
      </c>
    </row>
    <row r="61">
      <c r="A61" s="4" t="inlineStr">
        <is>
          <t>3.3.12</t>
        </is>
      </c>
      <c r="B61" s="4" t="inlineStr">
        <is>
          <t>Kinematics During Stair Climbing</t>
        </is>
      </c>
      <c r="C61" s="4" t="inlineStr">
        <is>
          <t>No clinical measurement separates quadriceps capacity from mechanical restriction here.</t>
        </is>
      </c>
    </row>
    <row r="62">
      <c r="A62" s="4" t="inlineStr">
        <is>
          <t>3.3.13</t>
        </is>
      </c>
      <c r="B62" s="4" t="inlineStr">
        <is>
          <t>Kinematics During Landing</t>
        </is>
      </c>
      <c r="C62" s="4" t="inlineStr">
        <is>
          <t>The pattern is associated with injury; screening an individual has limited predictive value.</t>
        </is>
      </c>
    </row>
    <row r="63">
      <c r="A63" s="4" t="inlineStr">
        <is>
          <t>3.3.13</t>
        </is>
      </c>
      <c r="B63" s="4" t="inlineStr">
        <is>
          <t>Kinematics During Landing</t>
        </is>
      </c>
      <c r="C63" s="4" t="inlineStr">
        <is>
          <t>Prevention evidence rests on injury rates rather than on measured kinematic change.</t>
        </is>
      </c>
    </row>
    <row r="64">
      <c r="A64" s="4" t="inlineStr">
        <is>
          <t>3.3.13</t>
        </is>
      </c>
      <c r="B64" s="4" t="inlineStr">
        <is>
          <t>Kinematics During Landing</t>
        </is>
      </c>
      <c r="C64" s="4" t="inlineStr">
        <is>
          <t>Asymmetrical landing kinematics persists after reconstruction with normal laxity.</t>
        </is>
      </c>
    </row>
    <row r="65">
      <c r="A65" s="4" t="inlineStr">
        <is>
          <t>3.3.13</t>
        </is>
      </c>
      <c r="B65" s="4" t="inlineStr">
        <is>
          <t>Kinematics During Landing</t>
        </is>
      </c>
      <c r="C65" s="4" t="inlineStr">
        <is>
          <t>Limb symmetry indices have a ceiling effect when both limbs deconditioned.</t>
        </is>
      </c>
    </row>
    <row r="66">
      <c r="A66" s="4" t="inlineStr">
        <is>
          <t>3.3.13</t>
        </is>
      </c>
      <c r="B66" s="4" t="inlineStr">
        <is>
          <t>Kinematics During Landing</t>
        </is>
      </c>
      <c r="C66" s="4" t="inlineStr">
        <is>
          <t>No measurement identifies the individual who will reinjure.</t>
        </is>
      </c>
    </row>
    <row r="67">
      <c r="A67" s="4" t="inlineStr">
        <is>
          <t>3.3.14</t>
        </is>
      </c>
      <c r="B67" s="4" t="inlineStr">
        <is>
          <t>Kinematics During Cutting</t>
        </is>
      </c>
      <c r="C67" s="4" t="inlineStr">
        <is>
          <t>Cutting is the task a rotationally deficient knee fails.</t>
        </is>
      </c>
    </row>
    <row r="68">
      <c r="A68" s="4" t="inlineStr">
        <is>
          <t>3.3.14</t>
        </is>
      </c>
      <c r="B68" s="4" t="inlineStr">
        <is>
          <t>Kinematics During Cutting</t>
        </is>
      </c>
      <c r="C68" s="4" t="inlineStr">
        <is>
          <t>Lateral augmentation's mechanical argument rests on the coupled rotation this task demands.</t>
        </is>
      </c>
    </row>
    <row r="69">
      <c r="A69" s="4" t="inlineStr">
        <is>
          <t>3.3.14</t>
        </is>
      </c>
      <c r="B69" s="4" t="inlineStr">
        <is>
          <t>Kinematics During Cutting</t>
        </is>
      </c>
      <c r="C69" s="4" t="inlineStr">
        <is>
          <t>Increased posterior tibial slope is identified as a graft failure risk in pivoting athletes.</t>
        </is>
      </c>
    </row>
    <row r="70">
      <c r="A70" s="4" t="inlineStr">
        <is>
          <t>3.3.14</t>
        </is>
      </c>
      <c r="B70" s="4" t="inlineStr">
        <is>
          <t>Kinematics During Cutting</t>
        </is>
      </c>
      <c r="C70" s="4" t="inlineStr">
        <is>
          <t>Instrumented pivot shift measures the relevant laxity without an agreed threshold.</t>
        </is>
      </c>
    </row>
    <row r="71">
      <c r="A71" s="4" t="inlineStr">
        <is>
          <t>3.3.14</t>
        </is>
      </c>
      <c r="B71" s="4" t="inlineStr">
        <is>
          <t>Kinematics During Cutting</t>
        </is>
      </c>
      <c r="C71" s="4" t="inlineStr">
        <is>
          <t>No clinical measurement reproduces an unanticipated sporting cut.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86" customWidth="1" min="4" max="4"/>
    <col width="16" customWidth="1" min="5" max="5"/>
    <col width="22" customWidth="1" min="6" max="6"/>
    <col width="50" customWidth="1" min="7" max="7"/>
  </cols>
  <sheetData>
    <row r="1">
      <c r="A1" s="5" t="inlineStr">
        <is>
          <t>Ref</t>
        </is>
      </c>
      <c r="B1" s="5" t="inlineStr">
        <is>
          <t>Page</t>
        </is>
      </c>
      <c r="C1" s="5" t="inlineStr">
        <is>
          <t>Tier</t>
        </is>
      </c>
      <c r="D1" s="5" t="inlineStr">
        <is>
          <t>Sentence</t>
        </is>
      </c>
      <c r="E1" s="5" t="inlineStr">
        <is>
          <t>Decision</t>
        </is>
      </c>
      <c r="F1" s="5" t="inlineStr">
        <is>
          <t>Reviewer</t>
        </is>
      </c>
      <c r="G1" s="5" t="inlineStr">
        <is>
          <t>Note</t>
        </is>
      </c>
    </row>
    <row r="2">
      <c r="A2" s="7" t="inlineStr">
        <is>
          <t>EXAMPLE</t>
        </is>
      </c>
      <c r="B2" s="7" t="inlineStr">
        <is>
          <t>0.0.0</t>
        </is>
      </c>
      <c r="C2" s="7" t="inlineStr">
        <is>
          <t>mrcs</t>
        </is>
      </c>
      <c r="D2" s="7" t="inlineStr">
        <is>
          <t>This row shows the expected format and is ignored when the pack is read back.</t>
        </is>
      </c>
      <c r="E2" s="7" t="inlineStr">
        <is>
          <t>CONFIRMED</t>
        </is>
      </c>
      <c r="F2" s="7" t="inlineStr">
        <is>
          <t>Miss A Surgeon</t>
        </is>
      </c>
      <c r="G2" s="7" t="inlineStr">
        <is>
          <t>Leave the Note column empty unless amending.</t>
        </is>
      </c>
    </row>
    <row r="3">
      <c r="A3" s="4" t="inlineStr">
        <is>
          <t>3.3.1-P1</t>
        </is>
      </c>
      <c r="B3" s="4" t="inlineStr">
        <is>
          <t>3.3.1</t>
        </is>
      </c>
      <c r="C3" s="4" t="inlineStr">
        <is>
          <t>mrcs</t>
        </is>
      </c>
      <c r="D3" s="4" t="inlineStr">
        <is>
          <t>State the method and the loading condition with any kinematic figure, because the same knee gives different numbers under different methods.</t>
        </is>
      </c>
      <c r="E3" s="4" t="inlineStr"/>
      <c r="F3" s="4" t="inlineStr"/>
      <c r="G3" s="4" t="inlineStr"/>
    </row>
    <row r="4">
      <c r="A4" s="4" t="inlineStr">
        <is>
          <t>3.3.1-P2</t>
        </is>
      </c>
      <c r="B4" s="4" t="inlineStr">
        <is>
          <t>3.3.1</t>
        </is>
      </c>
      <c r="C4" s="4" t="inlineStr">
        <is>
          <t>mrcs</t>
        </is>
      </c>
      <c r="D4" s="4" t="inlineStr">
        <is>
          <t>Treat a non weight bearing measurement as describing a different task from the weight bearing one, not a more convenient version of it.</t>
        </is>
      </c>
      <c r="E4" s="4" t="inlineStr"/>
      <c r="F4" s="4" t="inlineStr"/>
      <c r="G4" s="4" t="inlineStr"/>
    </row>
    <row r="5">
      <c r="A5" s="4" t="inlineStr">
        <is>
          <t>3.3.1-P3</t>
        </is>
      </c>
      <c r="B5" s="4" t="inlineStr">
        <is>
          <t>3.3.1</t>
        </is>
      </c>
      <c r="C5" s="4" t="inlineStr">
        <is>
          <t>mrcs</t>
        </is>
      </c>
      <c r="D5" s="4" t="inlineStr">
        <is>
          <t>Read a small rotational difference with the measurement error in mind before calling it a finding.</t>
        </is>
      </c>
      <c r="E5" s="4" t="inlineStr"/>
      <c r="F5" s="4" t="inlineStr"/>
      <c r="G5" s="4" t="inlineStr"/>
    </row>
    <row r="6">
      <c r="A6" s="4" t="inlineStr">
        <is>
          <t>3.3.1-P4</t>
        </is>
      </c>
      <c r="B6" s="4" t="inlineStr">
        <is>
          <t>3.3.1</t>
        </is>
      </c>
      <c r="C6" s="4" t="inlineStr">
        <is>
          <t>mrcs</t>
        </is>
      </c>
      <c r="D6" s="4" t="inlineStr">
        <is>
          <t>Use the activity pages in this chapter as the normal comparator rather than a single quoted range of motion.</t>
        </is>
      </c>
      <c r="E6" s="4" t="inlineStr"/>
      <c r="F6" s="4" t="inlineStr"/>
      <c r="G6" s="4" t="inlineStr"/>
    </row>
    <row r="7">
      <c r="A7" s="4" t="inlineStr">
        <is>
          <t>3.3.1-P5</t>
        </is>
      </c>
      <c r="B7" s="4" t="inlineStr">
        <is>
          <t>3.3.1</t>
        </is>
      </c>
      <c r="C7" s="4" t="inlineStr">
        <is>
          <t>frcs</t>
        </is>
      </c>
      <c r="D7" s="4" t="inlineStr">
        <is>
          <t>Treat kinematics as the language in which a reconstruction's aim is stated.</t>
        </is>
      </c>
      <c r="E7" s="4" t="inlineStr"/>
      <c r="F7" s="4" t="inlineStr"/>
      <c r="G7" s="4" t="inlineStr"/>
    </row>
    <row r="8">
      <c r="A8" s="4" t="inlineStr">
        <is>
          <t>3.3.1-P6</t>
        </is>
      </c>
      <c r="B8" s="4" t="inlineStr">
        <is>
          <t>3.3.1</t>
        </is>
      </c>
      <c r="C8" s="4" t="inlineStr">
        <is>
          <t>frcs</t>
        </is>
      </c>
      <c r="D8" s="4" t="inlineStr">
        <is>
          <t>Expect restored laxity without restored motion, and ask about function rather than inferring it from an instrument.</t>
        </is>
      </c>
      <c r="E8" s="4" t="inlineStr"/>
      <c r="F8" s="4" t="inlineStr"/>
      <c r="G8" s="4" t="inlineStr"/>
    </row>
    <row r="9">
      <c r="A9" s="4" t="inlineStr">
        <is>
          <t>3.3.1-P7</t>
        </is>
      </c>
      <c r="B9" s="4" t="inlineStr">
        <is>
          <t>3.3.1</t>
        </is>
      </c>
      <c r="C9" s="4" t="inlineStr">
        <is>
          <t>frcs</t>
        </is>
      </c>
      <c r="D9" s="4" t="inlineStr">
        <is>
          <t>Record the loading condition in any comparison between operated and unoperated sides.</t>
        </is>
      </c>
      <c r="E9" s="4" t="inlineStr"/>
      <c r="F9" s="4" t="inlineStr"/>
      <c r="G9" s="4" t="inlineStr"/>
    </row>
    <row r="10">
      <c r="A10" s="4" t="inlineStr">
        <is>
          <t>3.3.2-P1</t>
        </is>
      </c>
      <c r="B10" s="4" t="inlineStr">
        <is>
          <t>3.3.2</t>
        </is>
      </c>
      <c r="C10" s="4" t="inlineStr">
        <is>
          <t>mrcs</t>
        </is>
      </c>
      <c r="D10" s="4" t="inlineStr">
        <is>
          <t>Expect a cruciate deficient knee to sit and to travel differently rather than only to translate further on testing.</t>
        </is>
      </c>
      <c r="E10" s="4" t="inlineStr"/>
      <c r="F10" s="4" t="inlineStr"/>
      <c r="G10" s="4" t="inlineStr"/>
    </row>
    <row r="11">
      <c r="A11" s="4" t="inlineStr">
        <is>
          <t>3.3.2-P2</t>
        </is>
      </c>
      <c r="B11" s="4" t="inlineStr">
        <is>
          <t>3.3.2</t>
        </is>
      </c>
      <c r="C11" s="4" t="inlineStr">
        <is>
          <t>mrcs</t>
        </is>
      </c>
      <c r="D11" s="4" t="inlineStr">
        <is>
          <t>Preserve the posterior horns where possible, on the mechanical ground that they guide the contact path.</t>
        </is>
      </c>
      <c r="E11" s="4" t="inlineStr"/>
      <c r="F11" s="4" t="inlineStr"/>
      <c r="G11" s="4" t="inlineStr"/>
    </row>
    <row r="12">
      <c r="A12" s="4" t="inlineStr">
        <is>
          <t>3.3.2-P3</t>
        </is>
      </c>
      <c r="B12" s="4" t="inlineStr">
        <is>
          <t>3.3.2</t>
        </is>
      </c>
      <c r="C12" s="4" t="inlineStr">
        <is>
          <t>mrcs</t>
        </is>
      </c>
      <c r="D12" s="4" t="inlineStr">
        <is>
          <t>Read a rollback figure with its loading condition attached, since unloaded and loaded measurements differ.</t>
        </is>
      </c>
      <c r="E12" s="4" t="inlineStr"/>
      <c r="F12" s="4" t="inlineStr"/>
      <c r="G12" s="4" t="inlineStr"/>
    </row>
    <row r="13">
      <c r="A13" s="4" t="inlineStr">
        <is>
          <t>3.3.2-P4</t>
        </is>
      </c>
      <c r="B13" s="4" t="inlineStr">
        <is>
          <t>3.3.2</t>
        </is>
      </c>
      <c r="C13" s="4" t="inlineStr">
        <is>
          <t>frcs</t>
        </is>
      </c>
      <c r="D13" s="4" t="inlineStr">
        <is>
          <t>Treat rollback as a design requirement rather than a description.</t>
        </is>
      </c>
      <c r="E13" s="4" t="inlineStr"/>
      <c r="F13" s="4" t="inlineStr"/>
      <c r="G13" s="4" t="inlineStr"/>
    </row>
    <row r="14">
      <c r="A14" s="4" t="inlineStr">
        <is>
          <t>3.3.2-P5</t>
        </is>
      </c>
      <c r="B14" s="4" t="inlineStr">
        <is>
          <t>3.3.2</t>
        </is>
      </c>
      <c r="C14" s="4" t="inlineStr">
        <is>
          <t>frcs</t>
        </is>
      </c>
      <c r="D14" s="4" t="inlineStr">
        <is>
          <t>Consider paradoxical motion when a well aligned replacement gives poor deep flexion without pain.</t>
        </is>
      </c>
      <c r="E14" s="4" t="inlineStr"/>
      <c r="F14" s="4" t="inlineStr"/>
      <c r="G14" s="4" t="inlineStr"/>
    </row>
    <row r="15">
      <c r="A15" s="4" t="inlineStr">
        <is>
          <t>3.3.2-P6</t>
        </is>
      </c>
      <c r="B15" s="4" t="inlineStr">
        <is>
          <t>3.3.2</t>
        </is>
      </c>
      <c r="C15" s="4" t="inlineStr">
        <is>
          <t>frcs</t>
        </is>
      </c>
      <c r="D15" s="4" t="inlineStr">
        <is>
          <t>Address slope where it is shifting the contact path rather than treating it as an incidental measurement.</t>
        </is>
      </c>
      <c r="E15" s="4" t="inlineStr"/>
      <c r="F15" s="4" t="inlineStr"/>
      <c r="G15" s="4" t="inlineStr"/>
    </row>
    <row r="16">
      <c r="A16" s="4" t="inlineStr">
        <is>
          <t>3.3.2-P7</t>
        </is>
      </c>
      <c r="B16" s="4" t="inlineStr">
        <is>
          <t>3.3.2</t>
        </is>
      </c>
      <c r="C16" s="4" t="inlineStr">
        <is>
          <t>frcs</t>
        </is>
      </c>
      <c r="D16" s="4" t="inlineStr">
        <is>
          <t>Read a design comparison by the task its kinematics were measured in.</t>
        </is>
      </c>
      <c r="E16" s="4" t="inlineStr"/>
      <c r="F16" s="4" t="inlineStr"/>
      <c r="G16" s="4" t="inlineStr"/>
    </row>
    <row r="17">
      <c r="A17" s="4" t="inlineStr">
        <is>
          <t>3.3.3-P1</t>
        </is>
      </c>
      <c r="B17" s="4" t="inlineStr">
        <is>
          <t>3.3.3</t>
        </is>
      </c>
      <c r="C17" s="4" t="inlineStr">
        <is>
          <t>medical_student</t>
        </is>
      </c>
      <c r="D17" s="4" t="inlineStr">
        <is>
          <t>Expect a patient to compensate at the hip or the ankle when the knee cannot do its share.</t>
        </is>
      </c>
      <c r="E17" s="4" t="inlineStr"/>
      <c r="F17" s="4" t="inlineStr"/>
      <c r="G17" s="4" t="inlineStr"/>
    </row>
    <row r="18">
      <c r="A18" s="4" t="inlineStr">
        <is>
          <t>3.3.3-P2</t>
        </is>
      </c>
      <c r="B18" s="4" t="inlineStr">
        <is>
          <t>3.3.3</t>
        </is>
      </c>
      <c r="C18" s="4" t="inlineStr">
        <is>
          <t>mrcs</t>
        </is>
      </c>
      <c r="D18" s="4" t="inlineStr">
        <is>
          <t>Treat the limb as a linked chain rather than as a joint.</t>
        </is>
      </c>
      <c r="E18" s="4" t="inlineStr"/>
      <c r="F18" s="4" t="inlineStr"/>
      <c r="G18" s="4" t="inlineStr"/>
    </row>
    <row r="19">
      <c r="A19" s="4" t="inlineStr">
        <is>
          <t>3.3.3-P3</t>
        </is>
      </c>
      <c r="B19" s="4" t="inlineStr">
        <is>
          <t>3.3.3</t>
        </is>
      </c>
      <c r="C19" s="4" t="inlineStr">
        <is>
          <t>mrcs</t>
        </is>
      </c>
      <c r="D19" s="4" t="inlineStr">
        <is>
          <t>Non weight bearing laboratory data describes open chain and should not be read across, which is a frequent error in applying kinematic figures.</t>
        </is>
      </c>
      <c r="E19" s="4" t="inlineStr"/>
      <c r="F19" s="4" t="inlineStr"/>
      <c r="G19" s="4" t="inlineStr"/>
    </row>
    <row r="20">
      <c r="A20" s="4" t="inlineStr">
        <is>
          <t>3.3.3-P4</t>
        </is>
      </c>
      <c r="B20" s="4" t="inlineStr">
        <is>
          <t>3.3.3</t>
        </is>
      </c>
      <c r="C20" s="4" t="inlineStr">
        <is>
          <t>mrcs</t>
        </is>
      </c>
      <c r="D20" s="4" t="inlineStr">
        <is>
          <t>Assess the hip and the ankle when a closed chain knee task is abnormal, because the chain distributes the problem.</t>
        </is>
      </c>
      <c r="E20" s="4" t="inlineStr"/>
      <c r="F20" s="4" t="inlineStr"/>
      <c r="G20" s="4" t="inlineStr"/>
    </row>
    <row r="21">
      <c r="A21" s="4" t="inlineStr">
        <is>
          <t>3.3.3-P5</t>
        </is>
      </c>
      <c r="B21" s="4" t="inlineStr">
        <is>
          <t>3.3.3</t>
        </is>
      </c>
      <c r="C21" s="4" t="inlineStr">
        <is>
          <t>mrcs</t>
        </is>
      </c>
      <c r="D21" s="4" t="inlineStr">
        <is>
          <t>Expect ground derived rotation to reach the knee in a planted foot, which is the mechanical setting for pivoting injury.</t>
        </is>
      </c>
      <c r="E21" s="4" t="inlineStr"/>
      <c r="F21" s="4" t="inlineStr"/>
      <c r="G21" s="4" t="inlineStr"/>
    </row>
    <row r="22">
      <c r="A22" s="4" t="inlineStr">
        <is>
          <t>3.3.3-P6</t>
        </is>
      </c>
      <c r="B22" s="4" t="inlineStr">
        <is>
          <t>3.3.3</t>
        </is>
      </c>
      <c r="C22" s="4" t="inlineStr">
        <is>
          <t>mrcs</t>
        </is>
      </c>
      <c r="D22" s="4" t="inlineStr">
        <is>
          <t>Use a closed chain measurement when the question is about function and an open chain one when the question is about the knee alone.</t>
        </is>
      </c>
      <c r="E22" s="4" t="inlineStr"/>
      <c r="F22" s="4" t="inlineStr"/>
      <c r="G22" s="4" t="inlineStr"/>
    </row>
    <row r="23">
      <c r="A23" s="4" t="inlineStr">
        <is>
          <t>3.3.3-P7</t>
        </is>
      </c>
      <c r="B23" s="4" t="inlineStr">
        <is>
          <t>3.3.3</t>
        </is>
      </c>
      <c r="C23" s="4" t="inlineStr">
        <is>
          <t>mrcs</t>
        </is>
      </c>
      <c r="D23" s="4" t="inlineStr">
        <is>
          <t>State the chain whenever a range or a translation is recorded.</t>
        </is>
      </c>
      <c r="E23" s="4" t="inlineStr"/>
      <c r="F23" s="4" t="inlineStr"/>
      <c r="G23" s="4" t="inlineStr"/>
    </row>
    <row r="24">
      <c r="A24" s="4" t="inlineStr">
        <is>
          <t>3.3.3-P8</t>
        </is>
      </c>
      <c r="B24" s="4" t="inlineStr">
        <is>
          <t>3.3.3</t>
        </is>
      </c>
      <c r="C24" s="4" t="inlineStr">
        <is>
          <t>mrcs</t>
        </is>
      </c>
      <c r="D24" s="4" t="inlineStr">
        <is>
          <t>- Non weight bearing data describes open chain and should not be read across.</t>
        </is>
      </c>
      <c r="E24" s="4" t="inlineStr"/>
      <c r="F24" s="4" t="inlineStr"/>
      <c r="G24" s="4" t="inlineStr"/>
    </row>
    <row r="25">
      <c r="A25" s="4" t="inlineStr">
        <is>
          <t>3.3.3-P9</t>
        </is>
      </c>
      <c r="B25" s="4" t="inlineStr">
        <is>
          <t>3.3.3</t>
        </is>
      </c>
      <c r="C25" s="4" t="inlineStr">
        <is>
          <t>frcs</t>
        </is>
      </c>
      <c r="D25" s="4" t="inlineStr">
        <is>
          <t>Treat closed chain kinematics as the condition most surgical decisions are really about, since patients present with symptoms in standing tasks rather than in seated ones.</t>
        </is>
      </c>
      <c r="E25" s="4" t="inlineStr"/>
      <c r="F25" s="4" t="inlineStr"/>
      <c r="G25" s="4" t="inlineStr"/>
    </row>
    <row r="26">
      <c r="A26" s="4" t="inlineStr">
        <is>
          <t>3.3.3-P10</t>
        </is>
      </c>
      <c r="B26" s="4" t="inlineStr">
        <is>
          <t>3.3.3</t>
        </is>
      </c>
      <c r="C26" s="4" t="inlineStr">
        <is>
          <t>frcs</t>
        </is>
      </c>
      <c r="D26" s="4" t="inlineStr">
        <is>
          <t>Measure alignment in a standing long leg film before attributing a closed chain symptom to the soft tissues alone.</t>
        </is>
      </c>
      <c r="E26" s="4" t="inlineStr"/>
      <c r="F26" s="4" t="inlineStr"/>
      <c r="G26" s="4" t="inlineStr"/>
    </row>
    <row r="27">
      <c r="A27" s="4" t="inlineStr">
        <is>
          <t>3.3.3-P11</t>
        </is>
      </c>
      <c r="B27" s="4" t="inlineStr">
        <is>
          <t>3.3.3</t>
        </is>
      </c>
      <c r="C27" s="4" t="inlineStr">
        <is>
          <t>frcs</t>
        </is>
      </c>
      <c r="D27" s="4" t="inlineStr">
        <is>
          <t>Expect compensation to mask a deficit in a kinematic record, and read the record alongside the examination.</t>
        </is>
      </c>
      <c r="E27" s="4" t="inlineStr"/>
      <c r="F27" s="4" t="inlineStr"/>
      <c r="G27" s="4" t="inlineStr"/>
    </row>
    <row r="28">
      <c r="A28" s="4" t="inlineStr">
        <is>
          <t>3.3.3-P12</t>
        </is>
      </c>
      <c r="B28" s="4" t="inlineStr">
        <is>
          <t>3.3.3</t>
        </is>
      </c>
      <c r="C28" s="4" t="inlineStr">
        <is>
          <t>frcs</t>
        </is>
      </c>
      <c r="D28" s="4" t="inlineStr">
        <is>
          <t>Consider adjacent joint pathology as a cause of knee overload rather than only as a comorbidity.</t>
        </is>
      </c>
      <c r="E28" s="4" t="inlineStr"/>
      <c r="F28" s="4" t="inlineStr"/>
      <c r="G28" s="4" t="inlineStr"/>
    </row>
    <row r="29">
      <c r="A29" s="4" t="inlineStr">
        <is>
          <t>3.3.3-P13</t>
        </is>
      </c>
      <c r="B29" s="4" t="inlineStr">
        <is>
          <t>3.3.3</t>
        </is>
      </c>
      <c r="C29" s="4" t="inlineStr">
        <is>
          <t>frcs</t>
        </is>
      </c>
      <c r="D29" s="4" t="inlineStr">
        <is>
          <t>Set rehabilitation goals in the chain the patient's symptoms occur in.</t>
        </is>
      </c>
      <c r="E29" s="4" t="inlineStr"/>
      <c r="F29" s="4" t="inlineStr"/>
      <c r="G29" s="4" t="inlineStr"/>
    </row>
    <row r="30">
      <c r="A30" s="4" t="inlineStr">
        <is>
          <t>3.3.4-P1</t>
        </is>
      </c>
      <c r="B30" s="4" t="inlineStr">
        <is>
          <t>3.3.4</t>
        </is>
      </c>
      <c r="C30" s="4" t="inlineStr">
        <is>
          <t>mrcs</t>
        </is>
      </c>
      <c r="D30" s="4" t="inlineStr">
        <is>
          <t>Record the hip position when measuring open chain range or strength, since the two joint muscles change the answer.</t>
        </is>
      </c>
      <c r="E30" s="4" t="inlineStr"/>
      <c r="F30" s="4" t="inlineStr"/>
      <c r="G30" s="4" t="inlineStr"/>
    </row>
    <row r="31">
      <c r="A31" s="4" t="inlineStr">
        <is>
          <t>3.3.4-P2</t>
        </is>
      </c>
      <c r="B31" s="4" t="inlineStr">
        <is>
          <t>3.3.4</t>
        </is>
      </c>
      <c r="C31" s="4" t="inlineStr">
        <is>
          <t>mrcs</t>
        </is>
      </c>
      <c r="D31" s="4" t="inlineStr">
        <is>
          <t>Expect guarding to reduce the measured laxity, and plan around the larger figure from examination under anaesthetic.</t>
        </is>
      </c>
      <c r="E31" s="4" t="inlineStr"/>
      <c r="F31" s="4" t="inlineStr"/>
      <c r="G31" s="4" t="inlineStr"/>
    </row>
    <row r="32">
      <c r="A32" s="4" t="inlineStr">
        <is>
          <t>3.3.4-P3</t>
        </is>
      </c>
      <c r="B32" s="4" t="inlineStr">
        <is>
          <t>3.3.4</t>
        </is>
      </c>
      <c r="C32" s="4" t="inlineStr">
        <is>
          <t>mrcs</t>
        </is>
      </c>
      <c r="D32" s="4" t="inlineStr">
        <is>
          <t>Treat an effusion as a cause of an altered range before attributing the range to a structure.</t>
        </is>
      </c>
      <c r="E32" s="4" t="inlineStr"/>
      <c r="F32" s="4" t="inlineStr"/>
      <c r="G32" s="4" t="inlineStr"/>
    </row>
    <row r="33">
      <c r="A33" s="4" t="inlineStr">
        <is>
          <t>3.3.4-P4</t>
        </is>
      </c>
      <c r="B33" s="4" t="inlineStr">
        <is>
          <t>3.3.4</t>
        </is>
      </c>
      <c r="C33" s="4" t="inlineStr">
        <is>
          <t>mrcs</t>
        </is>
      </c>
      <c r="D33" s="4" t="inlineStr">
        <is>
          <t>Keep open chain and closed chain figures in separate columns rather than combining them into one range.</t>
        </is>
      </c>
      <c r="E33" s="4" t="inlineStr"/>
      <c r="F33" s="4" t="inlineStr"/>
      <c r="G33" s="4" t="inlineStr"/>
    </row>
    <row r="34">
      <c r="A34" s="4" t="inlineStr">
        <is>
          <t>3.3.4-P5</t>
        </is>
      </c>
      <c r="B34" s="4" t="inlineStr">
        <is>
          <t>3.3.4</t>
        </is>
      </c>
      <c r="C34" s="4" t="inlineStr">
        <is>
          <t>frcs</t>
        </is>
      </c>
      <c r="D34" s="4" t="inlineStr">
        <is>
          <t>Treat the open chain measurement as a structural question and the closed chain one as a functional question, then expect them to disagree in the patients who are difficult.</t>
        </is>
      </c>
      <c r="E34" s="4" t="inlineStr"/>
      <c r="F34" s="4" t="inlineStr"/>
      <c r="G34" s="4" t="inlineStr"/>
    </row>
    <row r="35">
      <c r="A35" s="4" t="inlineStr">
        <is>
          <t>3.3.4-P6</t>
        </is>
      </c>
      <c r="B35" s="4" t="inlineStr">
        <is>
          <t>3.3.4</t>
        </is>
      </c>
      <c r="C35" s="4" t="inlineStr">
        <is>
          <t>frcs</t>
        </is>
      </c>
      <c r="D35" s="4" t="inlineStr">
        <is>
          <t>Measure under anaesthetic when the structural question decides the operation.</t>
        </is>
      </c>
      <c r="E35" s="4" t="inlineStr"/>
      <c r="F35" s="4" t="inlineStr"/>
      <c r="G35" s="4" t="inlineStr"/>
    </row>
    <row r="36">
      <c r="A36" s="4" t="inlineStr">
        <is>
          <t>3.3.4-P7</t>
        </is>
      </c>
      <c r="B36" s="4" t="inlineStr">
        <is>
          <t>3.3.4</t>
        </is>
      </c>
      <c r="C36" s="4" t="inlineStr">
        <is>
          <t>frcs</t>
        </is>
      </c>
      <c r="D36" s="4" t="inlineStr">
        <is>
          <t>Expect a tight open chain measurement to coexist with closed chain symptoms, and counsel accordingly.</t>
        </is>
      </c>
      <c r="E36" s="4" t="inlineStr"/>
      <c r="F36" s="4" t="inlineStr"/>
      <c r="G36" s="4" t="inlineStr"/>
    </row>
    <row r="37">
      <c r="A37" s="4" t="inlineStr">
        <is>
          <t>3.3.4-P8</t>
        </is>
      </c>
      <c r="B37" s="4" t="inlineStr">
        <is>
          <t>3.3.4</t>
        </is>
      </c>
      <c r="C37" s="4" t="inlineStr">
        <is>
          <t>frcs</t>
        </is>
      </c>
      <c r="D37" s="4" t="inlineStr">
        <is>
          <t>Stage rehabilitation by the range at which each chain loads the graft rather than by time alone.</t>
        </is>
      </c>
      <c r="E37" s="4" t="inlineStr"/>
      <c r="F37" s="4" t="inlineStr"/>
      <c r="G37" s="4" t="inlineStr"/>
    </row>
    <row r="38">
      <c r="A38" s="4" t="inlineStr">
        <is>
          <t>3.3.4-P9</t>
        </is>
      </c>
      <c r="B38" s="4" t="inlineStr">
        <is>
          <t>3.3.4</t>
        </is>
      </c>
      <c r="C38" s="4" t="inlineStr">
        <is>
          <t>frcs</t>
        </is>
      </c>
      <c r="D38" s="4" t="inlineStr">
        <is>
          <t>Avoid treating a small arthrometer difference as a finding without the instrument's limit of agreement in mind.</t>
        </is>
      </c>
      <c r="E38" s="4" t="inlineStr"/>
      <c r="F38" s="4" t="inlineStr"/>
      <c r="G38" s="4" t="inlineStr"/>
    </row>
    <row r="39">
      <c r="A39" s="4" t="inlineStr">
        <is>
          <t>3.3.5-P1</t>
        </is>
      </c>
      <c r="B39" s="4" t="inlineStr">
        <is>
          <t>3.3.5</t>
        </is>
      </c>
      <c r="C39" s="4" t="inlineStr">
        <is>
          <t>mrcs</t>
        </is>
      </c>
      <c r="D39" s="4" t="inlineStr">
        <is>
          <t>Protect and restore full extension after any knee injury or operation, because the locking position depends on the last few degrees.</t>
        </is>
      </c>
      <c r="E39" s="4" t="inlineStr"/>
      <c r="F39" s="4" t="inlineStr"/>
      <c r="G39" s="4" t="inlineStr"/>
    </row>
    <row r="40">
      <c r="A40" s="4" t="inlineStr">
        <is>
          <t>3.3.5-P2</t>
        </is>
      </c>
      <c r="B40" s="4" t="inlineStr">
        <is>
          <t>3.3.5</t>
        </is>
      </c>
      <c r="C40" s="4" t="inlineStr">
        <is>
          <t>mrcs</t>
        </is>
      </c>
      <c r="D40" s="4" t="inlineStr">
        <is>
          <t>Expect a knee that cannot fully extend to fatigue the quadriceps in standing, and treat the extension rather than the muscle.</t>
        </is>
      </c>
      <c r="E40" s="4" t="inlineStr"/>
      <c r="F40" s="4" t="inlineStr"/>
      <c r="G40" s="4" t="inlineStr"/>
    </row>
    <row r="41">
      <c r="A41" s="4" t="inlineStr">
        <is>
          <t>3.3.5-P3</t>
        </is>
      </c>
      <c r="B41" s="4" t="inlineStr">
        <is>
          <t>3.3.5</t>
        </is>
      </c>
      <c r="C41" s="4" t="inlineStr">
        <is>
          <t>mrcs</t>
        </is>
      </c>
      <c r="D41" s="4" t="inlineStr">
        <is>
          <t>Avoid quoting terminal rotation as a precise figure, since the published range is wide relative to the quantity.</t>
        </is>
      </c>
      <c r="E41" s="4" t="inlineStr"/>
      <c r="F41" s="4" t="inlineStr"/>
      <c r="G41" s="4" t="inlineStr"/>
    </row>
    <row r="42">
      <c r="A42" s="4" t="inlineStr">
        <is>
          <t>3.3.5-P4</t>
        </is>
      </c>
      <c r="B42" s="4" t="inlineStr">
        <is>
          <t>3.3.5</t>
        </is>
      </c>
      <c r="C42" s="4" t="inlineStr">
        <is>
          <t>frcs</t>
        </is>
      </c>
      <c r="D42" s="4" t="inlineStr">
        <is>
          <t>Treat terminal extension as a design and a technical target.</t>
        </is>
      </c>
      <c r="E42" s="4" t="inlineStr"/>
      <c r="F42" s="4" t="inlineStr"/>
      <c r="G42" s="4" t="inlineStr"/>
    </row>
    <row r="43">
      <c r="A43" s="4" t="inlineStr">
        <is>
          <t>3.3.5-P5</t>
        </is>
      </c>
      <c r="B43" s="4" t="inlineStr">
        <is>
          <t>3.3.5</t>
        </is>
      </c>
      <c r="C43" s="4" t="inlineStr">
        <is>
          <t>frcs</t>
        </is>
      </c>
      <c r="D43" s="4" t="inlineStr">
        <is>
          <t>Place the femoral tunnel to allow terminal extension, and check it on the table.</t>
        </is>
      </c>
      <c r="E43" s="4" t="inlineStr"/>
      <c r="F43" s="4" t="inlineStr"/>
      <c r="G43" s="4" t="inlineStr"/>
    </row>
    <row r="44">
      <c r="A44" s="4" t="inlineStr">
        <is>
          <t>3.3.5-P6</t>
        </is>
      </c>
      <c r="B44" s="4" t="inlineStr">
        <is>
          <t>3.3.5</t>
        </is>
      </c>
      <c r="C44" s="4" t="inlineStr">
        <is>
          <t>frcs</t>
        </is>
      </c>
      <c r="D44" s="4" t="inlineStr">
        <is>
          <t>Consider component rotation when a replaced knee loses terminal extension without mechanical obstruction.</t>
        </is>
      </c>
      <c r="E44" s="4" t="inlineStr"/>
      <c r="F44" s="4" t="inlineStr"/>
      <c r="G44" s="4" t="inlineStr"/>
    </row>
    <row r="45">
      <c r="A45" s="4" t="inlineStr">
        <is>
          <t>3.3.6-P1</t>
        </is>
      </c>
      <c r="B45" s="4" t="inlineStr">
        <is>
          <t>3.3.6</t>
        </is>
      </c>
      <c r="C45" s="4" t="inlineStr">
        <is>
          <t>mrcs</t>
        </is>
      </c>
      <c r="D45" s="4" t="inlineStr">
        <is>
          <t>Treat the popliteus as a rotator with a flexion component rather than as a flexor, and its clinical significance follows from the first description.</t>
        </is>
      </c>
      <c r="E45" s="4" t="inlineStr"/>
      <c r="F45" s="4" t="inlineStr"/>
      <c r="G45" s="4" t="inlineStr"/>
    </row>
    <row r="46">
      <c r="A46" s="4" t="inlineStr">
        <is>
          <t>3.3.6-P2</t>
        </is>
      </c>
      <c r="B46" s="4" t="inlineStr">
        <is>
          <t>3.3.6</t>
        </is>
      </c>
      <c r="C46" s="4" t="inlineStr">
        <is>
          <t>mrcs</t>
        </is>
      </c>
      <c r="D46" s="4" t="inlineStr">
        <is>
          <t>Assess rotation at 30 degrees when a posterolateral injury is suspected, since that is where the complex is the restraint.</t>
        </is>
      </c>
      <c r="E46" s="4" t="inlineStr"/>
      <c r="F46" s="4" t="inlineStr"/>
      <c r="G46" s="4" t="inlineStr"/>
    </row>
    <row r="47">
      <c r="A47" s="4" t="inlineStr">
        <is>
          <t>3.3.6-P3</t>
        </is>
      </c>
      <c r="B47" s="4" t="inlineStr">
        <is>
          <t>3.3.6</t>
        </is>
      </c>
      <c r="C47" s="4" t="inlineStr">
        <is>
          <t>mrcs</t>
        </is>
      </c>
      <c r="D47" s="4" t="inlineStr">
        <is>
          <t>Expect a corner injury to affect the initiation of flexion as well as rotational stability.</t>
        </is>
      </c>
      <c r="E47" s="4" t="inlineStr"/>
      <c r="F47" s="4" t="inlineStr"/>
      <c r="G47" s="4" t="inlineStr"/>
    </row>
    <row r="48">
      <c r="A48" s="4" t="inlineStr">
        <is>
          <t>3.3.6-P4</t>
        </is>
      </c>
      <c r="B48" s="4" t="inlineStr">
        <is>
          <t>3.3.6</t>
        </is>
      </c>
      <c r="C48" s="4" t="inlineStr">
        <is>
          <t>mrcs</t>
        </is>
      </c>
      <c r="D48" s="4" t="inlineStr">
        <is>
          <t>Consider the popliteomeniscal fascicles when a lateral meniscus is hypermobile without a tear.</t>
        </is>
      </c>
      <c r="E48" s="4" t="inlineStr"/>
      <c r="F48" s="4" t="inlineStr"/>
      <c r="G48" s="4" t="inlineStr"/>
    </row>
    <row r="49">
      <c r="A49" s="4" t="inlineStr">
        <is>
          <t>3.3.6-P5</t>
        </is>
      </c>
      <c r="B49" s="4" t="inlineStr">
        <is>
          <t>3.3.6</t>
        </is>
      </c>
      <c r="C49" s="4" t="inlineStr">
        <is>
          <t>mrcs</t>
        </is>
      </c>
      <c r="D49" s="4" t="inlineStr">
        <is>
          <t>Avoid attributing a rotational finding to the popliteus alone, since no clinical test isolates it.</t>
        </is>
      </c>
      <c r="E49" s="4" t="inlineStr"/>
      <c r="F49" s="4" t="inlineStr"/>
      <c r="G49" s="4" t="inlineStr"/>
    </row>
    <row r="50">
      <c r="A50" s="4" t="inlineStr">
        <is>
          <t>3.3.6-P6</t>
        </is>
      </c>
      <c r="B50" s="4" t="inlineStr">
        <is>
          <t>3.3.6</t>
        </is>
      </c>
      <c r="C50" s="4" t="inlineStr">
        <is>
          <t>frcs</t>
        </is>
      </c>
      <c r="D50" s="4" t="inlineStr">
        <is>
          <t>Treat the popliteus complex as a reconstruction target rather than as a muscle to be noted.</t>
        </is>
      </c>
      <c r="E50" s="4" t="inlineStr"/>
      <c r="F50" s="4" t="inlineStr"/>
      <c r="G50" s="4" t="inlineStr"/>
    </row>
    <row r="51">
      <c r="A51" s="4" t="inlineStr">
        <is>
          <t>3.3.6-P7</t>
        </is>
      </c>
      <c r="B51" s="4" t="inlineStr">
        <is>
          <t>3.3.6</t>
        </is>
      </c>
      <c r="C51" s="4" t="inlineStr">
        <is>
          <t>frcs</t>
        </is>
      </c>
      <c r="D51" s="4" t="inlineStr">
        <is>
          <t>Conventional teaching holds that anatomic posterolateral reconstruction should address the popliteus tendon, the popliteofibular ligament and the lateral collateral ligament rather than a subset.</t>
        </is>
      </c>
      <c r="E51" s="4" t="inlineStr"/>
      <c r="F51" s="4" t="inlineStr"/>
      <c r="G51" s="4" t="inlineStr"/>
    </row>
    <row r="52">
      <c r="A52" s="4" t="inlineStr">
        <is>
          <t>3.3.6-P8</t>
        </is>
      </c>
      <c r="B52" s="4" t="inlineStr">
        <is>
          <t>3.3.6</t>
        </is>
      </c>
      <c r="C52" s="4" t="inlineStr">
        <is>
          <t>frcs</t>
        </is>
      </c>
      <c r="D52" s="4" t="inlineStr">
        <is>
          <t>Examine the posterolateral corner in every cruciate injury, since missing it fails the graft.</t>
        </is>
      </c>
      <c r="E52" s="4" t="inlineStr"/>
      <c r="F52" s="4" t="inlineStr"/>
      <c r="G52" s="4" t="inlineStr"/>
    </row>
    <row r="53">
      <c r="A53" s="4" t="inlineStr">
        <is>
          <t>3.3.6-P9</t>
        </is>
      </c>
      <c r="B53" s="4" t="inlineStr">
        <is>
          <t>3.3.6</t>
        </is>
      </c>
      <c r="C53" s="4" t="inlineStr">
        <is>
          <t>frcs</t>
        </is>
      </c>
      <c r="D53" s="4" t="inlineStr">
        <is>
          <t>Address varus alignment before or with a corner reconstruction in a varus limb.</t>
        </is>
      </c>
      <c r="E53" s="4" t="inlineStr"/>
      <c r="F53" s="4" t="inlineStr"/>
      <c r="G53" s="4" t="inlineStr"/>
    </row>
    <row r="54">
      <c r="A54" s="4" t="inlineStr">
        <is>
          <t>3.3.7-P1</t>
        </is>
      </c>
      <c r="B54" s="4" t="inlineStr">
        <is>
          <t>3.3.7</t>
        </is>
      </c>
      <c r="C54" s="4" t="inlineStr">
        <is>
          <t>mrcs</t>
        </is>
      </c>
      <c r="D54" s="4" t="inlineStr">
        <is>
          <t>Use the epicondylar axis as the working approximation in surgery and keep its approximate status in mind.</t>
        </is>
      </c>
      <c r="E54" s="4" t="inlineStr"/>
      <c r="F54" s="4" t="inlineStr"/>
      <c r="G54" s="4" t="inlineStr"/>
    </row>
    <row r="55">
      <c r="A55" s="4" t="inlineStr">
        <is>
          <t>3.3.7-P2</t>
        </is>
      </c>
      <c r="B55" s="4" t="inlineStr">
        <is>
          <t>3.3.7</t>
        </is>
      </c>
      <c r="C55" s="4" t="inlineStr">
        <is>
          <t>mrcs</t>
        </is>
      </c>
      <c r="D55" s="4" t="inlineStr">
        <is>
          <t>Expect a single axis brace or external fixator spanning the knee to fit the limb imperfectly through range.</t>
        </is>
      </c>
      <c r="E55" s="4" t="inlineStr"/>
      <c r="F55" s="4" t="inlineStr"/>
      <c r="G55" s="4" t="inlineStr"/>
    </row>
    <row r="56">
      <c r="A56" s="4" t="inlineStr">
        <is>
          <t>3.3.7-P3</t>
        </is>
      </c>
      <c r="B56" s="4" t="inlineStr">
        <is>
          <t>3.3.7</t>
        </is>
      </c>
      <c r="C56" s="4" t="inlineStr">
        <is>
          <t>mrcs</t>
        </is>
      </c>
      <c r="D56" s="4" t="inlineStr">
        <is>
          <t>Read a published centrode with its angular increment and its method attached.</t>
        </is>
      </c>
      <c r="E56" s="4" t="inlineStr"/>
      <c r="F56" s="4" t="inlineStr"/>
      <c r="G56" s="4" t="inlineStr"/>
    </row>
    <row r="57">
      <c r="A57" s="4" t="inlineStr">
        <is>
          <t>3.3.7-P4</t>
        </is>
      </c>
      <c r="B57" s="4" t="inlineStr">
        <is>
          <t>3.3.7</t>
        </is>
      </c>
      <c r="C57" s="4" t="inlineStr">
        <is>
          <t>frcs</t>
        </is>
      </c>
      <c r="D57" s="4" t="inlineStr">
        <is>
          <t>Treat the centrode as the design variable that single radius and multi radius implants disagree about.</t>
        </is>
      </c>
      <c r="E57" s="4" t="inlineStr"/>
      <c r="F57" s="4" t="inlineStr"/>
      <c r="G57" s="4" t="inlineStr"/>
    </row>
    <row r="58">
      <c r="A58" s="4" t="inlineStr">
        <is>
          <t>3.3.7-P5</t>
        </is>
      </c>
      <c r="B58" s="4" t="inlineStr">
        <is>
          <t>3.3.7</t>
        </is>
      </c>
      <c r="C58" s="4" t="inlineStr">
        <is>
          <t>frcs</t>
        </is>
      </c>
      <c r="D58" s="4" t="inlineStr">
        <is>
          <t>Set a hinged external fixator's axis to the epicondylar line, since an off axis hinge translates the joint through range.</t>
        </is>
      </c>
      <c r="E58" s="4" t="inlineStr"/>
      <c r="F58" s="4" t="inlineStr"/>
      <c r="G58" s="4" t="inlineStr"/>
    </row>
    <row r="59">
      <c r="A59" s="4" t="inlineStr">
        <is>
          <t>3.3.7-P6</t>
        </is>
      </c>
      <c r="B59" s="4" t="inlineStr">
        <is>
          <t>3.3.7</t>
        </is>
      </c>
      <c r="C59" s="4" t="inlineStr">
        <is>
          <t>frcs</t>
        </is>
      </c>
      <c r="D59" s="4" t="inlineStr">
        <is>
          <t>Expect deep flexion behaviour to differ between single and multi radius designs on kinematic grounds.</t>
        </is>
      </c>
      <c r="E59" s="4" t="inlineStr"/>
      <c r="F59" s="4" t="inlineStr"/>
      <c r="G59" s="4" t="inlineStr"/>
    </row>
    <row r="60">
      <c r="A60" s="4" t="inlineStr">
        <is>
          <t>3.3.7-P7</t>
        </is>
      </c>
      <c r="B60" s="4" t="inlineStr">
        <is>
          <t>3.3.7</t>
        </is>
      </c>
      <c r="C60" s="4" t="inlineStr">
        <is>
          <t>frcs</t>
        </is>
      </c>
      <c r="D60" s="4" t="inlineStr">
        <is>
          <t>Consider component position before design when a replaced knee's motion is wrong.</t>
        </is>
      </c>
      <c r="E60" s="4" t="inlineStr"/>
      <c r="F60" s="4" t="inlineStr"/>
      <c r="G60" s="4" t="inlineStr"/>
    </row>
    <row r="61">
      <c r="A61" s="4" t="inlineStr">
        <is>
          <t>3.3.7-P8</t>
        </is>
      </c>
      <c r="B61" s="4" t="inlineStr">
        <is>
          <t>3.3.7</t>
        </is>
      </c>
      <c r="C61" s="4" t="inlineStr">
        <is>
          <t>frcs</t>
        </is>
      </c>
      <c r="D61" s="4" t="inlineStr">
        <is>
          <t>Keep intraoperative axis measurement distinct from the functioning knee's behaviour.</t>
        </is>
      </c>
      <c r="E61" s="4" t="inlineStr"/>
      <c r="F61" s="4" t="inlineStr"/>
      <c r="G61" s="4" t="inlineStr"/>
    </row>
    <row r="62">
      <c r="A62" s="4" t="inlineStr">
        <is>
          <t>3.3.8-P1</t>
        </is>
      </c>
      <c r="B62" s="4" t="inlineStr">
        <is>
          <t>3.3.8</t>
        </is>
      </c>
      <c r="C62" s="4" t="inlineStr">
        <is>
          <t>medical_student</t>
        </is>
      </c>
      <c r="D62" s="4" t="inlineStr">
        <is>
          <t>Expect symptoms to be angle specific.</t>
        </is>
      </c>
      <c r="E62" s="4" t="inlineStr"/>
      <c r="F62" s="4" t="inlineStr"/>
      <c r="G62" s="4" t="inlineStr"/>
    </row>
    <row r="63">
      <c r="A63" s="4" t="inlineStr">
        <is>
          <t>3.3.8-P2</t>
        </is>
      </c>
      <c r="B63" s="4" t="inlineStr">
        <is>
          <t>3.3.8</t>
        </is>
      </c>
      <c r="C63" s="4" t="inlineStr">
        <is>
          <t>mrcs</t>
        </is>
      </c>
      <c r="D63" s="4" t="inlineStr">
        <is>
          <t>Examine at 0, 30 and 90 degrees deliberately, because each samples a different restraint set.</t>
        </is>
      </c>
      <c r="E63" s="4" t="inlineStr"/>
      <c r="F63" s="4" t="inlineStr"/>
      <c r="G63" s="4" t="inlineStr"/>
    </row>
    <row r="64">
      <c r="A64" s="4" t="inlineStr">
        <is>
          <t>3.3.8-P3</t>
        </is>
      </c>
      <c r="B64" s="4" t="inlineStr">
        <is>
          <t>3.3.8</t>
        </is>
      </c>
      <c r="C64" s="4" t="inlineStr">
        <is>
          <t>mrcs</t>
        </is>
      </c>
      <c r="D64" s="4" t="inlineStr">
        <is>
          <t>Expect a finding to be present at one angle and absent at another, and record the angle rather than the finding alone.</t>
        </is>
      </c>
      <c r="E64" s="4" t="inlineStr"/>
      <c r="F64" s="4" t="inlineStr"/>
      <c r="G64" s="4" t="inlineStr"/>
    </row>
    <row r="65">
      <c r="A65" s="4" t="inlineStr">
        <is>
          <t>3.3.8-P4</t>
        </is>
      </c>
      <c r="B65" s="4" t="inlineStr">
        <is>
          <t>3.3.8</t>
        </is>
      </c>
      <c r="C65" s="4" t="inlineStr">
        <is>
          <t>mrcs</t>
        </is>
      </c>
      <c r="D65" s="4" t="inlineStr">
        <is>
          <t>Read a graft's behaviour as angle dependent, since the bundles tighten at different angles.</t>
        </is>
      </c>
      <c r="E65" s="4" t="inlineStr"/>
      <c r="F65" s="4" t="inlineStr"/>
      <c r="G65" s="4" t="inlineStr"/>
    </row>
    <row r="66">
      <c r="A66" s="4" t="inlineStr">
        <is>
          <t>3.3.8-P5</t>
        </is>
      </c>
      <c r="B66" s="4" t="inlineStr">
        <is>
          <t>3.3.8</t>
        </is>
      </c>
      <c r="C66" s="4" t="inlineStr">
        <is>
          <t>mrcs</t>
        </is>
      </c>
      <c r="D66" s="4" t="inlineStr">
        <is>
          <t>Consider deep flexion loading in a patient whose symptoms appear only at the end of range.</t>
        </is>
      </c>
      <c r="E66" s="4" t="inlineStr"/>
      <c r="F66" s="4" t="inlineStr"/>
      <c r="G66" s="4" t="inlineStr"/>
    </row>
    <row r="67">
      <c r="A67" s="4" t="inlineStr">
        <is>
          <t>3.3.8-P6</t>
        </is>
      </c>
      <c r="B67" s="4" t="inlineStr">
        <is>
          <t>3.3.8</t>
        </is>
      </c>
      <c r="C67" s="4" t="inlineStr">
        <is>
          <t>frcs</t>
        </is>
      </c>
      <c r="D67" s="4" t="inlineStr">
        <is>
          <t>Treat mid flexion as the zone where reconstructions and replacements fail quietly.</t>
        </is>
      </c>
      <c r="E67" s="4" t="inlineStr"/>
      <c r="F67" s="4" t="inlineStr"/>
      <c r="G67" s="4" t="inlineStr"/>
    </row>
    <row r="68">
      <c r="A68" s="4" t="inlineStr">
        <is>
          <t>3.3.8-P7</t>
        </is>
      </c>
      <c r="B68" s="4" t="inlineStr">
        <is>
          <t>3.3.8</t>
        </is>
      </c>
      <c r="C68" s="4" t="inlineStr">
        <is>
          <t>frcs</t>
        </is>
      </c>
      <c r="D68" s="4" t="inlineStr">
        <is>
          <t>Check gaps through mid flexion rather than at extension and 90 degrees alone.</t>
        </is>
      </c>
      <c r="E68" s="4" t="inlineStr"/>
      <c r="F68" s="4" t="inlineStr"/>
      <c r="G68" s="4" t="inlineStr"/>
    </row>
    <row r="69">
      <c r="A69" s="4" t="inlineStr">
        <is>
          <t>3.3.8-P8</t>
        </is>
      </c>
      <c r="B69" s="4" t="inlineStr">
        <is>
          <t>3.3.8</t>
        </is>
      </c>
      <c r="C69" s="4" t="inlineStr">
        <is>
          <t>frcs</t>
        </is>
      </c>
      <c r="D69" s="4" t="inlineStr">
        <is>
          <t>Restore the joint line, since shifting it changes ligament tension through the whole arc.</t>
        </is>
      </c>
      <c r="E69" s="4" t="inlineStr"/>
      <c r="F69" s="4" t="inlineStr"/>
      <c r="G69" s="4" t="inlineStr"/>
    </row>
    <row r="70">
      <c r="A70" s="4" t="inlineStr">
        <is>
          <t>3.3.9-P1</t>
        </is>
      </c>
      <c r="B70" s="4" t="inlineStr">
        <is>
          <t>3.3.9</t>
        </is>
      </c>
      <c r="C70" s="4" t="inlineStr">
        <is>
          <t>mrcs</t>
        </is>
      </c>
      <c r="D70" s="4" t="inlineStr">
        <is>
          <t>Expect normal walking in a knee with significant pathology, because the task is undemanding.</t>
        </is>
      </c>
      <c r="E70" s="4" t="inlineStr"/>
      <c r="F70" s="4" t="inlineStr"/>
      <c r="G70" s="4" t="inlineStr"/>
    </row>
    <row r="71">
      <c r="A71" s="4" t="inlineStr">
        <is>
          <t>3.3.9-P2</t>
        </is>
      </c>
      <c r="B71" s="4" t="inlineStr">
        <is>
          <t>3.3.9</t>
        </is>
      </c>
      <c r="C71" s="4" t="inlineStr">
        <is>
          <t>mrcs</t>
        </is>
      </c>
      <c r="D71" s="4" t="inlineStr">
        <is>
          <t>Read coronal and transverse gait quantities with the measurement error in mind.</t>
        </is>
      </c>
      <c r="E71" s="4" t="inlineStr"/>
      <c r="F71" s="4" t="inlineStr"/>
      <c r="G71" s="4" t="inlineStr"/>
    </row>
    <row r="72">
      <c r="A72" s="4" t="inlineStr">
        <is>
          <t>3.3.9-P3</t>
        </is>
      </c>
      <c r="B72" s="4" t="inlineStr">
        <is>
          <t>3.3.9</t>
        </is>
      </c>
      <c r="C72" s="4" t="inlineStr">
        <is>
          <t>frcs</t>
        </is>
      </c>
      <c r="D72" s="4" t="inlineStr">
        <is>
          <t>Treat gait kinematics as the task most patients judge an operation by, and as a weak discriminator between constructs, since walking demands little of the knee.</t>
        </is>
      </c>
      <c r="E72" s="4" t="inlineStr"/>
      <c r="F72" s="4" t="inlineStr"/>
      <c r="G72" s="4" t="inlineStr"/>
    </row>
    <row r="73">
      <c r="A73" s="4" t="inlineStr">
        <is>
          <t>3.3.9-P4</t>
        </is>
      </c>
      <c r="B73" s="4" t="inlineStr">
        <is>
          <t>3.3.9</t>
        </is>
      </c>
      <c r="C73" s="4" t="inlineStr">
        <is>
          <t>frcs</t>
        </is>
      </c>
      <c r="D73" s="4" t="inlineStr">
        <is>
          <t>Use gait as the patient's benchmark and not as the test that separates two constructs.</t>
        </is>
      </c>
      <c r="E73" s="4" t="inlineStr"/>
      <c r="F73" s="4" t="inlineStr"/>
      <c r="G73" s="4" t="inlineStr"/>
    </row>
    <row r="74">
      <c r="A74" s="4" t="inlineStr">
        <is>
          <t>3.3.9-P5</t>
        </is>
      </c>
      <c r="B74" s="4" t="inlineStr">
        <is>
          <t>3.3.9</t>
        </is>
      </c>
      <c r="C74" s="4" t="inlineStr">
        <is>
          <t>frcs</t>
        </is>
      </c>
      <c r="D74" s="4" t="inlineStr">
        <is>
          <t>Measure or estimate the adduction moment when alignment is the question rather than relying on sagittal kinematics.</t>
        </is>
      </c>
      <c r="E74" s="4" t="inlineStr"/>
      <c r="F74" s="4" t="inlineStr"/>
      <c r="G74" s="4" t="inlineStr"/>
    </row>
    <row r="75">
      <c r="A75" s="4" t="inlineStr">
        <is>
          <t>3.3.9-P6</t>
        </is>
      </c>
      <c r="B75" s="4" t="inlineStr">
        <is>
          <t>3.3.9</t>
        </is>
      </c>
      <c r="C75" s="4" t="inlineStr">
        <is>
          <t>frcs</t>
        </is>
      </c>
      <c r="D75" s="4" t="inlineStr">
        <is>
          <t>Expect habit to outlast the mechanical cause, and rehabilitate accordingly.</t>
        </is>
      </c>
      <c r="E75" s="4" t="inlineStr"/>
      <c r="F75" s="4" t="inlineStr"/>
      <c r="G75" s="4" t="inlineStr"/>
    </row>
    <row r="76">
      <c r="A76" s="4" t="inlineStr">
        <is>
          <t>3.3.10-P1</t>
        </is>
      </c>
      <c r="B76" s="4" t="inlineStr">
        <is>
          <t>3.3.10</t>
        </is>
      </c>
      <c r="C76" s="4" t="inlineStr">
        <is>
          <t>mrcs</t>
        </is>
      </c>
      <c r="D76" s="4" t="inlineStr">
        <is>
          <t>Treat running as a repeated absorb and return cycle.</t>
        </is>
      </c>
      <c r="E76" s="4" t="inlineStr"/>
      <c r="F76" s="4" t="inlineStr"/>
      <c r="G76" s="4" t="inlineStr"/>
    </row>
    <row r="77">
      <c r="A77" s="4" t="inlineStr">
        <is>
          <t>3.3.10-P2</t>
        </is>
      </c>
      <c r="B77" s="4" t="inlineStr">
        <is>
          <t>3.3.10</t>
        </is>
      </c>
      <c r="C77" s="4" t="inlineStr">
        <is>
          <t>mrcs</t>
        </is>
      </c>
      <c r="D77" s="4" t="inlineStr">
        <is>
          <t>Assess running separately from walking when a patient's symptoms are activity specific.</t>
        </is>
      </c>
      <c r="E77" s="4" t="inlineStr"/>
      <c r="F77" s="4" t="inlineStr"/>
      <c r="G77" s="4" t="inlineStr"/>
    </row>
    <row r="78">
      <c r="A78" s="4" t="inlineStr">
        <is>
          <t>3.3.10-P3</t>
        </is>
      </c>
      <c r="B78" s="4" t="inlineStr">
        <is>
          <t>3.3.10</t>
        </is>
      </c>
      <c r="C78" s="4" t="inlineStr">
        <is>
          <t>mrcs</t>
        </is>
      </c>
      <c r="D78" s="4" t="inlineStr">
        <is>
          <t>Expect patellofemoral symptoms to appear in running before walking, on the loading argument rather than on a structural one.</t>
        </is>
      </c>
      <c r="E78" s="4" t="inlineStr"/>
      <c r="F78" s="4" t="inlineStr"/>
      <c r="G78" s="4" t="inlineStr"/>
    </row>
    <row r="79">
      <c r="A79" s="4" t="inlineStr">
        <is>
          <t>3.3.10-P4</t>
        </is>
      </c>
      <c r="B79" s="4" t="inlineStr">
        <is>
          <t>3.3.10</t>
        </is>
      </c>
      <c r="C79" s="4" t="inlineStr">
        <is>
          <t>mrcs</t>
        </is>
      </c>
      <c r="D79" s="4" t="inlineStr">
        <is>
          <t>Read two dimensional video coronal measurements cautiously, since rotation confounds them.</t>
        </is>
      </c>
      <c r="E79" s="4" t="inlineStr"/>
      <c r="F79" s="4" t="inlineStr"/>
      <c r="G79" s="4" t="inlineStr"/>
    </row>
    <row r="80">
      <c r="A80" s="4" t="inlineStr">
        <is>
          <t>3.3.10-P5</t>
        </is>
      </c>
      <c r="B80" s="4" t="inlineStr">
        <is>
          <t>3.3.10</t>
        </is>
      </c>
      <c r="C80" s="4" t="inlineStr">
        <is>
          <t>mrcs</t>
        </is>
      </c>
      <c r="D80" s="4" t="inlineStr">
        <is>
          <t>Consider fatigue when symptoms appear late in an activity rather than at the start.</t>
        </is>
      </c>
      <c r="E80" s="4" t="inlineStr"/>
      <c r="F80" s="4" t="inlineStr"/>
      <c r="G80" s="4" t="inlineStr"/>
    </row>
    <row r="81">
      <c r="A81" s="4" t="inlineStr">
        <is>
          <t>3.3.10-P6</t>
        </is>
      </c>
      <c r="B81" s="4" t="inlineStr">
        <is>
          <t>3.3.10</t>
        </is>
      </c>
      <c r="C81" s="4" t="inlineStr">
        <is>
          <t>frcs</t>
        </is>
      </c>
      <c r="D81" s="4" t="inlineStr">
        <is>
          <t>Treat return to running as a mechanical decision rather than a time based one.</t>
        </is>
      </c>
      <c r="E81" s="4" t="inlineStr"/>
      <c r="F81" s="4" t="inlineStr"/>
      <c r="G81" s="4" t="inlineStr"/>
    </row>
    <row r="82">
      <c r="A82" s="4" t="inlineStr">
        <is>
          <t>3.3.10-P7</t>
        </is>
      </c>
      <c r="B82" s="4" t="inlineStr">
        <is>
          <t>3.3.10</t>
        </is>
      </c>
      <c r="C82" s="4" t="inlineStr">
        <is>
          <t>frcs</t>
        </is>
      </c>
      <c r="D82" s="4" t="inlineStr">
        <is>
          <t>Stage return to running by criteria rather than by time after surgery.</t>
        </is>
      </c>
      <c r="E82" s="4" t="inlineStr"/>
      <c r="F82" s="4" t="inlineStr"/>
      <c r="G82" s="4" t="inlineStr"/>
    </row>
    <row r="83">
      <c r="A83" s="4" t="inlineStr">
        <is>
          <t>3.3.10-P8</t>
        </is>
      </c>
      <c r="B83" s="4" t="inlineStr">
        <is>
          <t>3.3.10</t>
        </is>
      </c>
      <c r="C83" s="4" t="inlineStr">
        <is>
          <t>frcs</t>
        </is>
      </c>
      <c r="D83" s="4" t="inlineStr">
        <is>
          <t>Correct alignment where repeated single compartment loading is the problem.</t>
        </is>
      </c>
      <c r="E83" s="4" t="inlineStr"/>
      <c r="F83" s="4" t="inlineStr"/>
      <c r="G83" s="4" t="inlineStr"/>
    </row>
    <row r="84">
      <c r="A84" s="4" t="inlineStr">
        <is>
          <t>3.3.10-P9</t>
        </is>
      </c>
      <c r="B84" s="4" t="inlineStr">
        <is>
          <t>3.3.10</t>
        </is>
      </c>
      <c r="C84" s="4" t="inlineStr">
        <is>
          <t>frcs</t>
        </is>
      </c>
      <c r="D84" s="4" t="inlineStr">
        <is>
          <t>State the uncertainty about individual tolerance rather than offering a figure.</t>
        </is>
      </c>
      <c r="E84" s="4" t="inlineStr"/>
      <c r="F84" s="4" t="inlineStr"/>
      <c r="G84" s="4" t="inlineStr"/>
    </row>
    <row r="85">
      <c r="A85" s="4" t="inlineStr">
        <is>
          <t>3.3.11-P1</t>
        </is>
      </c>
      <c r="B85" s="4" t="inlineStr">
        <is>
          <t>3.3.11</t>
        </is>
      </c>
      <c r="C85" s="4" t="inlineStr">
        <is>
          <t>mrcs</t>
        </is>
      </c>
      <c r="D85" s="4" t="inlineStr">
        <is>
          <t>Treat the squat as the clinical test of deep flexion mechanics, and treat its shape as information.</t>
        </is>
      </c>
      <c r="E85" s="4" t="inlineStr"/>
      <c r="F85" s="4" t="inlineStr"/>
      <c r="G85" s="4" t="inlineStr"/>
    </row>
    <row r="86">
      <c r="A86" s="4" t="inlineStr">
        <is>
          <t>3.3.11-P2</t>
        </is>
      </c>
      <c r="B86" s="4" t="inlineStr">
        <is>
          <t>3.3.11</t>
        </is>
      </c>
      <c r="C86" s="4" t="inlineStr">
        <is>
          <t>mrcs</t>
        </is>
      </c>
      <c r="D86" s="4" t="inlineStr">
        <is>
          <t>Measure ankle dorsiflexion when a squat is limited, before attributing it to the knee.</t>
        </is>
      </c>
      <c r="E86" s="4" t="inlineStr"/>
      <c r="F86" s="4" t="inlineStr"/>
      <c r="G86" s="4" t="inlineStr"/>
    </row>
    <row r="87">
      <c r="A87" s="4" t="inlineStr">
        <is>
          <t>3.3.11-P3</t>
        </is>
      </c>
      <c r="B87" s="4" t="inlineStr">
        <is>
          <t>3.3.11</t>
        </is>
      </c>
      <c r="C87" s="4" t="inlineStr">
        <is>
          <t>mrcs</t>
        </is>
      </c>
      <c r="D87" s="4" t="inlineStr">
        <is>
          <t>Expect posterior horn symptoms to appear in deep flexion and to be absent in mid flexion testing.</t>
        </is>
      </c>
      <c r="E87" s="4" t="inlineStr"/>
      <c r="F87" s="4" t="inlineStr"/>
      <c r="G87" s="4" t="inlineStr"/>
    </row>
    <row r="88">
      <c r="A88" s="4" t="inlineStr">
        <is>
          <t>3.3.11-P4</t>
        </is>
      </c>
      <c r="B88" s="4" t="inlineStr">
        <is>
          <t>3.3.11</t>
        </is>
      </c>
      <c r="C88" s="4" t="inlineStr">
        <is>
          <t>mrcs</t>
        </is>
      </c>
      <c r="D88" s="4" t="inlineStr">
        <is>
          <t>Read patellofemoral symptoms in squatting as a loading consequence of flexion angle.</t>
        </is>
      </c>
      <c r="E88" s="4" t="inlineStr"/>
      <c r="F88" s="4" t="inlineStr"/>
      <c r="G88" s="4" t="inlineStr"/>
    </row>
    <row r="89">
      <c r="A89" s="4" t="inlineStr">
        <is>
          <t>3.3.11-P5</t>
        </is>
      </c>
      <c r="B89" s="4" t="inlineStr">
        <is>
          <t>3.3.11</t>
        </is>
      </c>
      <c r="C89" s="4" t="inlineStr">
        <is>
          <t>mrcs</t>
        </is>
      </c>
      <c r="D89" s="4" t="inlineStr">
        <is>
          <t>Treat the thinness of the deep flexion literature as a limit on confidence rather than as absence of a problem.</t>
        </is>
      </c>
      <c r="E89" s="4" t="inlineStr"/>
      <c r="F89" s="4" t="inlineStr"/>
      <c r="G89" s="4" t="inlineStr"/>
    </row>
    <row r="90">
      <c r="A90" s="4" t="inlineStr">
        <is>
          <t>3.3.11-P6</t>
        </is>
      </c>
      <c r="B90" s="4" t="inlineStr">
        <is>
          <t>3.3.11</t>
        </is>
      </c>
      <c r="C90" s="4" t="inlineStr">
        <is>
          <t>frcs</t>
        </is>
      </c>
      <c r="D90" s="4" t="inlineStr">
        <is>
          <t>Treat deep flexion as a stated goal with a stated cost.</t>
        </is>
      </c>
      <c r="E90" s="4" t="inlineStr"/>
      <c r="F90" s="4" t="inlineStr"/>
      <c r="G90" s="4" t="inlineStr"/>
    </row>
    <row r="91">
      <c r="A91" s="4" t="inlineStr">
        <is>
          <t>3.3.11-P7</t>
        </is>
      </c>
      <c r="B91" s="4" t="inlineStr">
        <is>
          <t>3.3.11</t>
        </is>
      </c>
      <c r="C91" s="4" t="inlineStr">
        <is>
          <t>frcs</t>
        </is>
      </c>
      <c r="D91" s="4" t="inlineStr">
        <is>
          <t>Set the deep flexion goal from the patient's needs rather than from the implant's claim.</t>
        </is>
      </c>
      <c r="E91" s="4" t="inlineStr"/>
      <c r="F91" s="4" t="inlineStr"/>
      <c r="G91" s="4" t="inlineStr"/>
    </row>
    <row r="92">
      <c r="A92" s="4" t="inlineStr">
        <is>
          <t>3.3.11-P8</t>
        </is>
      </c>
      <c r="B92" s="4" t="inlineStr">
        <is>
          <t>3.3.11</t>
        </is>
      </c>
      <c r="C92" s="4" t="inlineStr">
        <is>
          <t>frcs</t>
        </is>
      </c>
      <c r="D92" s="4" t="inlineStr">
        <is>
          <t>Restore posterior condylar offset, since it limits achievable flexion.</t>
        </is>
      </c>
      <c r="E92" s="4" t="inlineStr"/>
      <c r="F92" s="4" t="inlineStr"/>
      <c r="G92" s="4" t="inlineStr"/>
    </row>
    <row r="93">
      <c r="A93" s="4" t="inlineStr">
        <is>
          <t>3.3.11-P9</t>
        </is>
      </c>
      <c r="B93" s="4" t="inlineStr">
        <is>
          <t>3.3.11</t>
        </is>
      </c>
      <c r="C93" s="4" t="inlineStr">
        <is>
          <t>frcs</t>
        </is>
      </c>
      <c r="D93" s="4" t="inlineStr">
        <is>
          <t>Counsel that measured range and the ability to kneel correlate imperfectly.</t>
        </is>
      </c>
      <c r="E93" s="4" t="inlineStr"/>
      <c r="F93" s="4" t="inlineStr"/>
      <c r="G93" s="4" t="inlineStr"/>
    </row>
    <row r="94">
      <c r="A94" s="4" t="inlineStr">
        <is>
          <t>3.3.12-P1</t>
        </is>
      </c>
      <c r="B94" s="4" t="inlineStr">
        <is>
          <t>3.3.12</t>
        </is>
      </c>
      <c r="C94" s="4" t="inlineStr">
        <is>
          <t>medical_student</t>
        </is>
      </c>
      <c r="D94" s="4" t="inlineStr">
        <is>
          <t>Ask about stairs separately in each direction, because the two directions test different things.</t>
        </is>
      </c>
      <c r="E94" s="4" t="inlineStr"/>
      <c r="F94" s="4" t="inlineStr"/>
      <c r="G94" s="4" t="inlineStr"/>
    </row>
    <row r="95">
      <c r="A95" s="4" t="inlineStr">
        <is>
          <t>3.3.12-P2</t>
        </is>
      </c>
      <c r="B95" s="4" t="inlineStr">
        <is>
          <t>3.3.12</t>
        </is>
      </c>
      <c r="C95" s="4" t="inlineStr">
        <is>
          <t>mrcs</t>
        </is>
      </c>
      <c r="D95" s="4" t="inlineStr">
        <is>
          <t>Record the direction, the step height and whether a handrail was used when documenting stair ability.</t>
        </is>
      </c>
      <c r="E95" s="4" t="inlineStr"/>
      <c r="F95" s="4" t="inlineStr"/>
      <c r="G95" s="4" t="inlineStr"/>
    </row>
    <row r="96">
      <c r="A96" s="4" t="inlineStr">
        <is>
          <t>3.3.12-P3</t>
        </is>
      </c>
      <c r="B96" s="4" t="inlineStr">
        <is>
          <t>3.3.12</t>
        </is>
      </c>
      <c r="C96" s="4" t="inlineStr">
        <is>
          <t>mrcs</t>
        </is>
      </c>
      <c r="D96" s="4" t="inlineStr">
        <is>
          <t>Expect patellofemoral pathology to present on stairs, given the simultaneous rise in angle and quadriceps force.</t>
        </is>
      </c>
      <c r="E96" s="4" t="inlineStr"/>
      <c r="F96" s="4" t="inlineStr"/>
      <c r="G96" s="4" t="inlineStr"/>
    </row>
    <row r="97">
      <c r="A97" s="4" t="inlineStr">
        <is>
          <t>3.3.12-P4</t>
        </is>
      </c>
      <c r="B97" s="4" t="inlineStr">
        <is>
          <t>3.3.12</t>
        </is>
      </c>
      <c r="C97" s="4" t="inlineStr">
        <is>
          <t>mrcs</t>
        </is>
      </c>
      <c r="D97" s="4" t="inlineStr">
        <is>
          <t>Treat a timed stair test as a performance measure rather than a kinematic one.</t>
        </is>
      </c>
      <c r="E97" s="4" t="inlineStr"/>
      <c r="F97" s="4" t="inlineStr"/>
      <c r="G97" s="4" t="inlineStr"/>
    </row>
    <row r="98">
      <c r="A98" s="4" t="inlineStr">
        <is>
          <t>3.3.12-P5</t>
        </is>
      </c>
      <c r="B98" s="4" t="inlineStr">
        <is>
          <t>3.3.12</t>
        </is>
      </c>
      <c r="C98" s="4" t="inlineStr">
        <is>
          <t>frcs</t>
        </is>
      </c>
      <c r="D98" s="4" t="inlineStr">
        <is>
          <t>Treat stair function as a discriminating outcome measure, since it needs more range and more eccentric control than the tasks most patients recover first.</t>
        </is>
      </c>
      <c r="E98" s="4" t="inlineStr"/>
      <c r="F98" s="4" t="inlineStr"/>
      <c r="G98" s="4" t="inlineStr"/>
    </row>
    <row r="99">
      <c r="A99" s="4" t="inlineStr">
        <is>
          <t>3.3.12-P6</t>
        </is>
      </c>
      <c r="B99" s="4" t="inlineStr">
        <is>
          <t>3.3.12</t>
        </is>
      </c>
      <c r="C99" s="4" t="inlineStr">
        <is>
          <t>frcs</t>
        </is>
      </c>
      <c r="D99" s="4" t="inlineStr">
        <is>
          <t>Use stair function rather than level walking when judging whether a knee has recovered.</t>
        </is>
      </c>
      <c r="E99" s="4" t="inlineStr"/>
      <c r="F99" s="4" t="inlineStr"/>
      <c r="G99" s="4" t="inlineStr"/>
    </row>
    <row r="100">
      <c r="A100" s="4" t="inlineStr">
        <is>
          <t>3.3.12-P7</t>
        </is>
      </c>
      <c r="B100" s="4" t="inlineStr">
        <is>
          <t>3.3.12</t>
        </is>
      </c>
      <c r="C100" s="4" t="inlineStr">
        <is>
          <t>frcs</t>
        </is>
      </c>
      <c r="D100" s="4" t="inlineStr">
        <is>
          <t>Consider mid flexion instability in a replaced knee whose only complaint is stairs.</t>
        </is>
      </c>
      <c r="E100" s="4" t="inlineStr"/>
      <c r="F100" s="4" t="inlineStr"/>
      <c r="G100" s="4" t="inlineStr"/>
    </row>
    <row r="101">
      <c r="A101" s="4" t="inlineStr">
        <is>
          <t>3.3.12-P8</t>
        </is>
      </c>
      <c r="B101" s="4" t="inlineStr">
        <is>
          <t>3.3.12</t>
        </is>
      </c>
      <c r="C101" s="4" t="inlineStr">
        <is>
          <t>frcs</t>
        </is>
      </c>
      <c r="D101" s="4" t="inlineStr">
        <is>
          <t>Exclude quadriceps weakness before attributing stair difficulty to the mechanics.</t>
        </is>
      </c>
      <c r="E101" s="4" t="inlineStr"/>
      <c r="F101" s="4" t="inlineStr"/>
      <c r="G101" s="4" t="inlineStr"/>
    </row>
    <row r="102">
      <c r="A102" s="4" t="inlineStr">
        <is>
          <t>3.3.13-P1</t>
        </is>
      </c>
      <c r="B102" s="4" t="inlineStr">
        <is>
          <t>3.3.13</t>
        </is>
      </c>
      <c r="C102" s="4" t="inlineStr">
        <is>
          <t>mrcs</t>
        </is>
      </c>
      <c r="D102" s="4" t="inlineStr">
        <is>
          <t>Assess the hip and trunk when a knee lands in valgus, since the knee position is largely set proximally.</t>
        </is>
      </c>
      <c r="E102" s="4" t="inlineStr"/>
      <c r="F102" s="4" t="inlineStr"/>
      <c r="G102" s="4" t="inlineStr"/>
    </row>
    <row r="103">
      <c r="A103" s="4" t="inlineStr">
        <is>
          <t>3.3.13-P2</t>
        </is>
      </c>
      <c r="B103" s="4" t="inlineStr">
        <is>
          <t>3.3.13</t>
        </is>
      </c>
      <c r="C103" s="4" t="inlineStr">
        <is>
          <t>mrcs</t>
        </is>
      </c>
      <c r="D103" s="4" t="inlineStr">
        <is>
          <t>Read a video frontal plane angle as a screening measure rather than a measurement of valgus.</t>
        </is>
      </c>
      <c r="E103" s="4" t="inlineStr"/>
      <c r="F103" s="4" t="inlineStr"/>
      <c r="G103" s="4" t="inlineStr"/>
    </row>
    <row r="104">
      <c r="A104" s="4" t="inlineStr">
        <is>
          <t>3.3.13-P3</t>
        </is>
      </c>
      <c r="B104" s="4" t="inlineStr">
        <is>
          <t>3.3.13</t>
        </is>
      </c>
      <c r="C104" s="4" t="inlineStr">
        <is>
          <t>mrcs</t>
        </is>
      </c>
      <c r="D104" s="4" t="inlineStr">
        <is>
          <t>Use landing tasks in return to sport assessment because they reproduce the injury loading.</t>
        </is>
      </c>
      <c r="E104" s="4" t="inlineStr"/>
      <c r="F104" s="4" t="inlineStr"/>
      <c r="G104" s="4" t="inlineStr"/>
    </row>
    <row r="105">
      <c r="A105" s="4" t="inlineStr">
        <is>
          <t>3.3.13-P4</t>
        </is>
      </c>
      <c r="B105" s="4" t="inlineStr">
        <is>
          <t>3.3.13</t>
        </is>
      </c>
      <c r="C105" s="4" t="inlineStr">
        <is>
          <t>frcs</t>
        </is>
      </c>
      <c r="D105" s="4" t="inlineStr">
        <is>
          <t>Treat landing kinematics as a modifiable risk factor and as an imperfect predictor.</t>
        </is>
      </c>
      <c r="E105" s="4" t="inlineStr"/>
      <c r="F105" s="4" t="inlineStr"/>
      <c r="G105" s="4" t="inlineStr"/>
    </row>
    <row r="106">
      <c r="A106" s="4" t="inlineStr">
        <is>
          <t>3.3.13-P5</t>
        </is>
      </c>
      <c r="B106" s="4" t="inlineStr">
        <is>
          <t>3.3.13</t>
        </is>
      </c>
      <c r="C106" s="4" t="inlineStr">
        <is>
          <t>frcs</t>
        </is>
      </c>
      <c r="D106" s="4" t="inlineStr">
        <is>
          <t>Expect asymmetrical landing kinematics to persist after reconstruction with normal laxity.</t>
        </is>
      </c>
      <c r="E106" s="4" t="inlineStr"/>
      <c r="F106" s="4" t="inlineStr"/>
      <c r="G106" s="4" t="inlineStr"/>
    </row>
    <row r="107">
      <c r="A107" s="4" t="inlineStr">
        <is>
          <t>3.3.13-P6</t>
        </is>
      </c>
      <c r="B107" s="4" t="inlineStr">
        <is>
          <t>3.3.13</t>
        </is>
      </c>
      <c r="C107" s="4" t="inlineStr">
        <is>
          <t>frcs</t>
        </is>
      </c>
      <c r="D107" s="4" t="inlineStr">
        <is>
          <t>State that screening does not identify the individual at risk, while the population association stands.</t>
        </is>
      </c>
      <c r="E107" s="4" t="inlineStr"/>
      <c r="F107" s="4" t="inlineStr"/>
      <c r="G107" s="4" t="inlineStr"/>
    </row>
    <row r="108">
      <c r="A108" s="4" t="inlineStr">
        <is>
          <t>3.3.14-P1</t>
        </is>
      </c>
      <c r="B108" s="4" t="inlineStr">
        <is>
          <t>3.3.14</t>
        </is>
      </c>
      <c r="C108" s="4" t="inlineStr">
        <is>
          <t>mrcs</t>
        </is>
      </c>
      <c r="D108" s="4" t="inlineStr">
        <is>
          <t>Read transverse plane cutting data with the measurement error in mind.</t>
        </is>
      </c>
      <c r="E108" s="4" t="inlineStr"/>
      <c r="F108" s="4" t="inlineStr"/>
      <c r="G108" s="4" t="inlineStr"/>
    </row>
    <row r="109">
      <c r="A109" s="4" t="inlineStr">
        <is>
          <t>3.3.14-P2</t>
        </is>
      </c>
      <c r="B109" s="4" t="inlineStr">
        <is>
          <t>3.3.14</t>
        </is>
      </c>
      <c r="C109" s="4" t="inlineStr">
        <is>
          <t>frcs</t>
        </is>
      </c>
      <c r="D109" s="4" t="inlineStr">
        <is>
          <t>Treat cutting as the task a rotationally deficient knee fails, which is why rotatory laxity and not translation decides the functional result in a pivoting athlete.</t>
        </is>
      </c>
      <c r="E109" s="4" t="inlineStr"/>
      <c r="F109" s="4" t="inlineStr"/>
      <c r="G109" s="4" t="inlineStr"/>
    </row>
    <row r="110">
      <c r="A110" s="4" t="inlineStr">
        <is>
          <t>3.3.14-P3</t>
        </is>
      </c>
      <c r="B110" s="4" t="inlineStr">
        <is>
          <t>3.3.14</t>
        </is>
      </c>
      <c r="C110" s="4" t="inlineStr">
        <is>
          <t>frcs</t>
        </is>
      </c>
      <c r="D110" s="4" t="inlineStr">
        <is>
          <t>Assess rotatory laxity rather than translation alone when counselling a pivoting athlete.</t>
        </is>
      </c>
      <c r="E110" s="4" t="inlineStr"/>
      <c r="F110" s="4" t="inlineStr"/>
      <c r="G110" s="4" t="inlineStr"/>
    </row>
    <row r="111">
      <c r="A111" s="4" t="inlineStr">
        <is>
          <t>3.3.14-P4</t>
        </is>
      </c>
      <c r="B111" s="4" t="inlineStr">
        <is>
          <t>3.3.14</t>
        </is>
      </c>
      <c r="C111" s="4" t="inlineStr">
        <is>
          <t>frcs</t>
        </is>
      </c>
      <c r="D111" s="4" t="inlineStr">
        <is>
          <t>Consider lateral augmentation in high grade rotatory laxity and in revision, on the mechanics of this task.</t>
        </is>
      </c>
      <c r="E111" s="4" t="inlineStr"/>
      <c r="F111" s="4" t="inlineStr"/>
      <c r="G111" s="4" t="inlineStr"/>
    </row>
    <row r="112">
      <c r="A112" s="4" t="inlineStr">
        <is>
          <t>3.3.14-P5</t>
        </is>
      </c>
      <c r="B112" s="4" t="inlineStr">
        <is>
          <t>3.3.14</t>
        </is>
      </c>
      <c r="C112" s="4" t="inlineStr">
        <is>
          <t>frcs</t>
        </is>
      </c>
      <c r="D112" s="4" t="inlineStr">
        <is>
          <t>Measure slope before revising a graft that failed without a new injury.</t>
        </is>
      </c>
      <c r="E112" s="4" t="inlineStr"/>
      <c r="F112" s="4" t="inlineStr"/>
      <c r="G112" s="4" t="inlineStr"/>
    </row>
    <row r="113">
      <c r="A113" s="4" t="inlineStr">
        <is>
          <t>3.3.14-P6</t>
        </is>
      </c>
      <c r="B113" s="4" t="inlineStr">
        <is>
          <t>3.3.14</t>
        </is>
      </c>
      <c r="C113" s="4" t="inlineStr">
        <is>
          <t>frcs</t>
        </is>
      </c>
      <c r="D113" s="4" t="inlineStr">
        <is>
          <t>State that no assessment reproduces an unanticipated cut when discussing return to sport.</t>
        </is>
      </c>
      <c r="E113" s="4" t="inlineStr"/>
      <c r="F113" s="4" t="inlineStr"/>
      <c r="G113" s="4" t="inlineStr"/>
    </row>
  </sheetData>
  <dataValidations count="1">
    <dataValidation sqref="E3:E113" showDropDown="0" showInputMessage="0" showErrorMessage="0" allowBlank="1" errorTitle="Not an allowed decision" error="Use one of: CONFIRMED, AMENDED, WITHDRAWN, NOT_CLINICAL" type="list">
      <formula1>"CONFIRMED,AMENDED,WITHDRAWN,NOT_CLINICAL"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24" customWidth="1" min="4" max="4"/>
    <col width="80" customWidth="1" min="5" max="5"/>
    <col width="16" customWidth="1" min="6" max="6"/>
    <col width="36" customWidth="1" min="7" max="7"/>
    <col width="36" customWidth="1" min="8" max="8"/>
  </cols>
  <sheetData>
    <row r="1">
      <c r="A1" s="5" t="inlineStr">
        <is>
          <t>Ref</t>
        </is>
      </c>
      <c r="B1" s="5" t="inlineStr">
        <is>
          <t>Page</t>
        </is>
      </c>
      <c r="C1" s="5" t="inlineStr">
        <is>
          <t>Tier</t>
        </is>
      </c>
      <c r="D1" s="5" t="inlineStr">
        <is>
          <t>Figure</t>
        </is>
      </c>
      <c r="E1" s="5" t="inlineStr">
        <is>
          <t>The sentence it supports</t>
        </is>
      </c>
      <c r="F1" s="5" t="inlineStr">
        <is>
          <t>Decision</t>
        </is>
      </c>
      <c r="G1" s="5" t="inlineStr">
        <is>
          <t>Source</t>
        </is>
      </c>
      <c r="H1" s="5" t="inlineStr">
        <is>
          <t>Note</t>
        </is>
      </c>
    </row>
    <row r="2">
      <c r="A2" s="7" t="inlineStr">
        <is>
          <t>EXAMPLE</t>
        </is>
      </c>
      <c r="B2" s="7" t="inlineStr">
        <is>
          <t>0.0.0</t>
        </is>
      </c>
      <c r="C2" s="7" t="inlineStr">
        <is>
          <t>mrcs</t>
        </is>
      </c>
      <c r="D2" s="7" t="inlineStr">
        <is>
          <t>20 to 30 degrees</t>
        </is>
      </c>
      <c r="E2" s="7" t="inlineStr">
        <is>
          <t>This row shows the expected format and is ignored when the pack is read back.</t>
        </is>
      </c>
      <c r="F2" s="7" t="inlineStr">
        <is>
          <t>VERIFIED</t>
        </is>
      </c>
      <c r="G2" s="7" t="inlineStr">
        <is>
          <t>Author, title, edition, chapter</t>
        </is>
      </c>
      <c r="H2" s="7" t="inlineStr"/>
    </row>
    <row r="3">
      <c r="A3" s="4" t="inlineStr">
        <is>
          <t>3.3.2-F1</t>
        </is>
      </c>
      <c r="B3" s="4" t="inlineStr">
        <is>
          <t>3.3.2</t>
        </is>
      </c>
      <c r="C3" s="4" t="inlineStr">
        <is>
          <t>mrcs</t>
        </is>
      </c>
      <c r="D3" s="4" t="inlineStr">
        <is>
          <t>20 to 30 degrees</t>
        </is>
      </c>
      <c r="E3" s="4" t="inlineStr">
        <is>
          <t>Conventional teaching describes rolling as dominant through roughly the first 20 to 30 degrees of flexion, with gliding taking an increasing share beyond that.</t>
        </is>
      </c>
      <c r="F3" s="4" t="inlineStr"/>
      <c r="G3" s="4" t="inlineStr"/>
      <c r="H3" s="4" t="inlineStr"/>
    </row>
    <row r="4">
      <c r="A4" s="4" t="inlineStr">
        <is>
          <t>3.3.4-F1</t>
        </is>
      </c>
      <c r="B4" s="4" t="inlineStr">
        <is>
          <t>3.3.4</t>
        </is>
      </c>
      <c r="C4" s="4" t="inlineStr">
        <is>
          <t>mrcs</t>
        </is>
      </c>
      <c r="D4" s="4" t="inlineStr">
        <is>
          <t>25 to 30 degrees</t>
        </is>
      </c>
      <c r="E4" s="4" t="inlineStr">
        <is>
          <t>Conventional teaching gives roughly 25 to 30 degrees of total axial rotation at 90 degrees of flexion in open chain, falling to near zero in full extension.</t>
        </is>
      </c>
      <c r="F4" s="4" t="inlineStr"/>
      <c r="G4" s="4" t="inlineStr"/>
      <c r="H4" s="4" t="inlineStr"/>
    </row>
    <row r="5">
      <c r="A5" s="4" t="inlineStr">
        <is>
          <t>3.3.4-F2</t>
        </is>
      </c>
      <c r="B5" s="4" t="inlineStr">
        <is>
          <t>3.3.4</t>
        </is>
      </c>
      <c r="C5" s="4" t="inlineStr">
        <is>
          <t>mrcs</t>
        </is>
      </c>
      <c r="D5" s="4" t="inlineStr">
        <is>
          <t>90 degrees</t>
        </is>
      </c>
      <c r="E5" s="4" t="inlineStr">
        <is>
          <t>Conventional teaching gives roughly 25 to 30 degrees of total axial rotation at 90 degrees of flexion in open chain, falling to near zero in full extension.</t>
        </is>
      </c>
      <c r="F5" s="4" t="inlineStr"/>
      <c r="G5" s="4" t="inlineStr"/>
      <c r="H5" s="4" t="inlineStr"/>
    </row>
    <row r="6">
      <c r="A6" s="4" t="inlineStr">
        <is>
          <t>3.3.5-F1</t>
        </is>
      </c>
      <c r="B6" s="4" t="inlineStr">
        <is>
          <t>3.3.5</t>
        </is>
      </c>
      <c r="C6" s="4" t="inlineStr">
        <is>
          <t>medical_student</t>
        </is>
      </c>
      <c r="D6" s="4" t="inlineStr">
        <is>
          <t>30 degrees</t>
        </is>
      </c>
      <c r="E6" s="4" t="inlineStr">
        <is>
          <t>Through roughly the last 30 degrees of extension the tibia rotates externally relative to the femur.</t>
        </is>
      </c>
      <c r="F6" s="4" t="inlineStr"/>
      <c r="G6" s="4" t="inlineStr"/>
      <c r="H6" s="4" t="inlineStr"/>
    </row>
    <row r="7">
      <c r="A7" s="4" t="inlineStr">
        <is>
          <t>3.3.5-F2</t>
        </is>
      </c>
      <c r="B7" s="4" t="inlineStr">
        <is>
          <t>3.3.5</t>
        </is>
      </c>
      <c r="C7" s="4" t="inlineStr">
        <is>
          <t>medical_student</t>
        </is>
      </c>
      <c r="D7" s="4" t="inlineStr">
        <is>
          <t>5 to 10 degrees</t>
        </is>
      </c>
      <c r="E7" s="4" t="inlineStr">
        <is>
          <t>Conventional teaching gives about 5 to 10 degrees of rotation.</t>
        </is>
      </c>
      <c r="F7" s="4" t="inlineStr"/>
      <c r="G7" s="4" t="inlineStr"/>
      <c r="H7" s="4" t="inlineStr"/>
    </row>
    <row r="8">
      <c r="A8" s="4" t="inlineStr">
        <is>
          <t>3.3.6-F1</t>
        </is>
      </c>
      <c r="B8" s="4" t="inlineStr">
        <is>
          <t>3.3.6</t>
        </is>
      </c>
      <c r="C8" s="4" t="inlineStr">
        <is>
          <t>mrcs</t>
        </is>
      </c>
      <c r="D8" s="4" t="inlineStr">
        <is>
          <t>30 degrees</t>
        </is>
      </c>
      <c r="E8" s="4" t="inlineStr">
        <is>
          <t>Posterolateral corner injury, which usually involves the popliteus complex and alters external rotation at 30 degrees.</t>
        </is>
      </c>
      <c r="F8" s="4" t="inlineStr"/>
      <c r="G8" s="4" t="inlineStr"/>
      <c r="H8" s="4" t="inlineStr"/>
    </row>
    <row r="9">
      <c r="A9" s="4" t="inlineStr">
        <is>
          <t>3.3.8-F1</t>
        </is>
      </c>
      <c r="B9" s="4" t="inlineStr">
        <is>
          <t>3.3.8</t>
        </is>
      </c>
      <c r="C9" s="4" t="n"/>
      <c r="D9" s="4" t="inlineStr">
        <is>
          <t>0</t>
        </is>
      </c>
      <c r="E9" s="4" t="inlineStr">
        <is>
          <t>The knee is a different joint at 0, 30, 90 and 130 degrees.</t>
        </is>
      </c>
      <c r="F9" s="4" t="inlineStr"/>
      <c r="G9" s="4" t="inlineStr"/>
      <c r="H9" s="4" t="inlineStr"/>
    </row>
    <row r="10">
      <c r="A10" s="4" t="inlineStr">
        <is>
          <t>3.3.8-F2</t>
        </is>
      </c>
      <c r="B10" s="4" t="inlineStr">
        <is>
          <t>3.3.8</t>
        </is>
      </c>
      <c r="C10" s="4" t="n"/>
      <c r="D10" s="4" t="inlineStr">
        <is>
          <t>30</t>
        </is>
      </c>
      <c r="E10" s="4" t="inlineStr">
        <is>
          <t>The knee is a different joint at 0, 30, 90 and 130 degrees.</t>
        </is>
      </c>
      <c r="F10" s="4" t="inlineStr"/>
      <c r="G10" s="4" t="inlineStr"/>
      <c r="H10" s="4" t="inlineStr"/>
    </row>
    <row r="11">
      <c r="A11" s="4" t="inlineStr">
        <is>
          <t>3.3.8-F3</t>
        </is>
      </c>
      <c r="B11" s="4" t="inlineStr">
        <is>
          <t>3.3.8</t>
        </is>
      </c>
      <c r="C11" s="4" t="n"/>
      <c r="D11" s="4" t="inlineStr">
        <is>
          <t>90 and 130 degrees</t>
        </is>
      </c>
      <c r="E11" s="4" t="inlineStr">
        <is>
          <t>The knee is a different joint at 0, 30, 90 and 130 degrees.</t>
        </is>
      </c>
      <c r="F11" s="4" t="inlineStr"/>
      <c r="G11" s="4" t="inlineStr"/>
      <c r="H11" s="4" t="inlineStr"/>
    </row>
    <row r="12">
      <c r="A12" s="4" t="inlineStr">
        <is>
          <t>3.3.8-F4</t>
        </is>
      </c>
      <c r="B12" s="4" t="inlineStr">
        <is>
          <t>3.3.8</t>
        </is>
      </c>
      <c r="C12" s="4" t="inlineStr">
        <is>
          <t>medical_student</t>
        </is>
      </c>
      <c r="D12" s="4" t="inlineStr">
        <is>
          <t>20 to 30 degrees</t>
        </is>
      </c>
      <c r="E12" s="4" t="inlineStr">
        <is>
          <t>Through roughly 20 to 30 degrees the knee unlocks and the bony contribution to stability falls away, handing over to the ligaments.</t>
        </is>
      </c>
      <c r="F12" s="4" t="inlineStr"/>
      <c r="G12" s="4" t="inlineStr"/>
      <c r="H12" s="4" t="inlineStr"/>
    </row>
    <row r="13">
      <c r="A13" s="4" t="inlineStr">
        <is>
          <t>3.3.8-F5</t>
        </is>
      </c>
      <c r="B13" s="4" t="inlineStr">
        <is>
          <t>3.3.8</t>
        </is>
      </c>
      <c r="C13" s="4" t="inlineStr">
        <is>
          <t>medical_student</t>
        </is>
      </c>
      <c r="D13" s="4" t="inlineStr">
        <is>
          <t>30 to 90 degrees</t>
        </is>
      </c>
      <c r="E13" s="4" t="inlineStr">
        <is>
          <t>Through mid flexion, roughly 30 to 90 degrees, rotation and translation are at their greatest and the ligaments are the limit.</t>
        </is>
      </c>
      <c r="F13" s="4" t="inlineStr"/>
      <c r="G13" s="4" t="inlineStr"/>
      <c r="H13" s="4" t="inlineStr"/>
    </row>
    <row r="14">
      <c r="A14" s="4" t="inlineStr">
        <is>
          <t>3.3.8-F6</t>
        </is>
      </c>
      <c r="B14" s="4" t="inlineStr">
        <is>
          <t>3.3.8</t>
        </is>
      </c>
      <c r="C14" s="4" t="inlineStr">
        <is>
          <t>medical_student</t>
        </is>
      </c>
      <c r="D14" s="4" t="inlineStr">
        <is>
          <t>120 degrees</t>
        </is>
      </c>
      <c r="E14" s="4" t="inlineStr">
        <is>
          <t>Beyond about 120 degrees the contact moves to the posterior condyles, the surfaces are small and highly loaded, and the posterior soft tissues take a share again.</t>
        </is>
      </c>
      <c r="F14" s="4" t="inlineStr"/>
      <c r="G14" s="4" t="inlineStr"/>
      <c r="H14" s="4" t="inlineStr"/>
    </row>
    <row r="15">
      <c r="A15" s="4" t="inlineStr">
        <is>
          <t>3.3.8-F7</t>
        </is>
      </c>
      <c r="B15" s="4" t="inlineStr">
        <is>
          <t>3.3.8</t>
        </is>
      </c>
      <c r="C15" s="4" t="inlineStr">
        <is>
          <t>medical_student</t>
        </is>
      </c>
      <c r="D15" s="4" t="inlineStr">
        <is>
          <t>30
degrees</t>
        </is>
      </c>
      <c r="E15" s="4" t="inlineStr">
        <is>
          <t>Test at more than one angle, because a structure that is the limit at 30 degrees may contribute little at 90.</t>
        </is>
      </c>
      <c r="F15" s="4" t="inlineStr"/>
      <c r="G15" s="4" t="inlineStr"/>
      <c r="H15" s="4" t="inlineStr"/>
    </row>
    <row r="16">
      <c r="A16" s="4" t="inlineStr">
        <is>
          <t>3.3.8-F8</t>
        </is>
      </c>
      <c r="B16" s="4" t="inlineStr">
        <is>
          <t>3.3.8</t>
        </is>
      </c>
      <c r="C16" s="4" t="inlineStr">
        <is>
          <t>medical_student</t>
        </is>
      </c>
      <c r="D16" s="4" t="inlineStr">
        <is>
          <t>90</t>
        </is>
      </c>
      <c r="E16" s="4" t="inlineStr">
        <is>
          <t>Test at more than one angle, because a structure that is the limit at 30 degrees may contribute little at 90.</t>
        </is>
      </c>
      <c r="F16" s="4" t="inlineStr"/>
      <c r="G16" s="4" t="inlineStr"/>
      <c r="H16" s="4" t="inlineStr"/>
    </row>
    <row r="17">
      <c r="A17" s="4" t="inlineStr">
        <is>
          <t>3.3.8-F9</t>
        </is>
      </c>
      <c r="B17" s="4" t="inlineStr">
        <is>
          <t>3.3.8</t>
        </is>
      </c>
      <c r="C17" s="4" t="inlineStr">
        <is>
          <t>mrcs</t>
        </is>
      </c>
      <c r="D17" s="4" t="inlineStr">
        <is>
          <t>20 degrees</t>
        </is>
      </c>
      <c r="E17" s="4" t="inlineStr">
        <is>
          <t>Zero to about 20 degrees: maximal congruence, terminal rotation, bony contribution greatest, posterior capsule and collateral structures taut.</t>
        </is>
      </c>
      <c r="F17" s="4" t="inlineStr"/>
      <c r="G17" s="4" t="inlineStr"/>
      <c r="H17" s="4" t="inlineStr"/>
    </row>
    <row r="18">
      <c r="A18" s="4" t="inlineStr">
        <is>
          <t>3.3.8-F10</t>
        </is>
      </c>
      <c r="B18" s="4" t="inlineStr">
        <is>
          <t>3.3.8</t>
        </is>
      </c>
      <c r="C18" s="4" t="inlineStr">
        <is>
          <t>mrcs</t>
        </is>
      </c>
      <c r="D18" s="4" t="inlineStr">
        <is>
          <t>30 and 90 degrees</t>
        </is>
      </c>
      <c r="E18" s="4" t="inlineStr">
        <is>
          <t>Examine at 0, 30 and 90 degrees deliberately, because each samples a different restraint set.</t>
        </is>
      </c>
      <c r="F18" s="4" t="inlineStr"/>
      <c r="G18" s="4" t="inlineStr"/>
      <c r="H18" s="4" t="inlineStr"/>
    </row>
    <row r="19">
      <c r="A19" s="4" t="inlineStr">
        <is>
          <t>3.3.8-F11</t>
        </is>
      </c>
      <c r="B19" s="4" t="inlineStr">
        <is>
          <t>3.3.8</t>
        </is>
      </c>
      <c r="C19" s="4" t="inlineStr">
        <is>
          <t>frcs</t>
        </is>
      </c>
      <c r="D19" s="4" t="inlineStr">
        <is>
          <t>30 to 60 degrees</t>
        </is>
      </c>
      <c r="E19" s="4" t="inlineStr">
        <is>
          <t>Mid flexion instability after replacement is described as a laxity at 30 to 60 degrees with a stable knee in extension and in flexion, and conventional teaching attributes it to femoral component position and to the radius of curvature.</t>
        </is>
      </c>
      <c r="F19" s="4" t="inlineStr"/>
      <c r="G19" s="4" t="inlineStr"/>
      <c r="H19" s="4" t="inlineStr"/>
    </row>
    <row r="20">
      <c r="A20" s="4" t="inlineStr">
        <is>
          <t>3.3.8-F12</t>
        </is>
      </c>
      <c r="B20" s="4" t="inlineStr">
        <is>
          <t>3.3.8</t>
        </is>
      </c>
      <c r="C20" s="4" t="inlineStr">
        <is>
          <t>frcs</t>
        </is>
      </c>
      <c r="D20" s="4" t="inlineStr">
        <is>
          <t>90 degrees</t>
        </is>
      </c>
      <c r="E20" s="4" t="inlineStr">
        <is>
          <t>Check gaps through mid flexion rather than at extension and 90 degrees alone.</t>
        </is>
      </c>
      <c r="F20" s="4" t="inlineStr"/>
      <c r="G20" s="4" t="inlineStr"/>
      <c r="H20" s="4" t="inlineStr"/>
    </row>
    <row r="21">
      <c r="A21" s="4" t="inlineStr">
        <is>
          <t>3.3.9-F1</t>
        </is>
      </c>
      <c r="B21" s="4" t="inlineStr">
        <is>
          <t>3.3.9</t>
        </is>
      </c>
      <c r="C21" s="4" t="inlineStr">
        <is>
          <t>medical_student</t>
        </is>
      </c>
      <c r="D21" s="4" t="inlineStr">
        <is>
          <t>60 per cent</t>
        </is>
      </c>
      <c r="E21" s="4" t="inlineStr">
        <is>
          <t>Conventional teaching gives stance about 60 per cent of the cycle and swing about 40.</t>
        </is>
      </c>
      <c r="F21" s="4" t="inlineStr"/>
      <c r="G21" s="4" t="inlineStr"/>
      <c r="H21" s="4" t="inlineStr"/>
    </row>
    <row r="22">
      <c r="A22" s="4" t="inlineStr">
        <is>
          <t>3.3.9-F2</t>
        </is>
      </c>
      <c r="B22" s="4" t="inlineStr">
        <is>
          <t>3.3.9</t>
        </is>
      </c>
      <c r="C22" s="4" t="inlineStr">
        <is>
          <t>medical_student</t>
        </is>
      </c>
      <c r="D22" s="4" t="inlineStr">
        <is>
          <t>40</t>
        </is>
      </c>
      <c r="E22" s="4" t="inlineStr">
        <is>
          <t>Conventional teaching gives stance about 60 per cent of the cycle and swing about 40.</t>
        </is>
      </c>
      <c r="F22" s="4" t="inlineStr"/>
      <c r="G22" s="4" t="inlineStr"/>
      <c r="H22" s="4" t="inlineStr"/>
    </row>
    <row r="23">
      <c r="A23" s="4" t="inlineStr">
        <is>
          <t>3.3.9-F3</t>
        </is>
      </c>
      <c r="B23" s="4" t="inlineStr">
        <is>
          <t>3.3.9</t>
        </is>
      </c>
      <c r="C23" s="4" t="inlineStr">
        <is>
          <t>medical_student</t>
        </is>
      </c>
      <c r="D23" s="4" t="inlineStr">
        <is>
          <t>15 to 20 degrees</t>
        </is>
      </c>
      <c r="E23" s="4" t="inlineStr">
        <is>
          <t>Conventional teaching gives the first wave as roughly 15 to 20 degrees of flexion during loading response, returning towards extension by mid stance.</t>
        </is>
      </c>
      <c r="F23" s="4" t="inlineStr"/>
      <c r="G23" s="4" t="inlineStr"/>
      <c r="H23" s="4" t="inlineStr"/>
    </row>
    <row r="24">
      <c r="A24" s="4" t="inlineStr">
        <is>
          <t>3.3.9-F4</t>
        </is>
      </c>
      <c r="B24" s="4" t="inlineStr">
        <is>
          <t>3.3.9</t>
        </is>
      </c>
      <c r="C24" s="4" t="inlineStr">
        <is>
          <t>medical_student</t>
        </is>
      </c>
      <c r="D24" s="4" t="inlineStr">
        <is>
          <t>60 degrees</t>
        </is>
      </c>
      <c r="E24" s="4" t="inlineStr">
        <is>
          <t>The second wave reaches roughly 60 degrees in swing, which is the peak of the whole cycle and takes almost no muscle work to achieve.</t>
        </is>
      </c>
      <c r="F24" s="4" t="inlineStr"/>
      <c r="G24" s="4" t="inlineStr"/>
      <c r="H24" s="4" t="inlineStr"/>
    </row>
    <row r="25">
      <c r="A25" s="4" t="inlineStr">
        <is>
          <t>3.3.9-F5</t>
        </is>
      </c>
      <c r="B25" s="4" t="inlineStr">
        <is>
          <t>3.3.9</t>
        </is>
      </c>
      <c r="C25" s="4" t="inlineStr">
        <is>
          <t>medical_student</t>
        </is>
      </c>
      <c r="D25" s="4" t="inlineStr">
        <is>
          <t>60</t>
        </is>
      </c>
      <c r="E25" s="4" t="inlineStr">
        <is>
          <t>- Conventional teaching gives 15 to 20 degrees in stance and about 60 in swing.</t>
        </is>
      </c>
      <c r="F25" s="4" t="inlineStr"/>
      <c r="G25" s="4" t="inlineStr"/>
      <c r="H25" s="4" t="inlineStr"/>
    </row>
    <row r="26">
      <c r="A26" s="4" t="inlineStr">
        <is>
          <t>3.3.9-F6</t>
        </is>
      </c>
      <c r="B26" s="4" t="inlineStr">
        <is>
          <t>3.3.9</t>
        </is>
      </c>
      <c r="C26" s="4" t="inlineStr">
        <is>
          <t>mrcs</t>
        </is>
      </c>
      <c r="D26" s="4" t="inlineStr">
        <is>
          <t>5 degrees</t>
        </is>
      </c>
      <c r="E26" s="4" t="inlineStr">
        <is>
          <t>At initial contact the knee is near full extension, conventionally within about 5 degrees.</t>
        </is>
      </c>
      <c r="F26" s="4" t="inlineStr"/>
      <c r="G26" s="4" t="inlineStr"/>
      <c r="H26" s="4" t="inlineStr"/>
    </row>
    <row r="27">
      <c r="A27" s="4" t="inlineStr">
        <is>
          <t>3.3.10-F1</t>
        </is>
      </c>
      <c r="B27" s="4" t="inlineStr">
        <is>
          <t>3.3.10</t>
        </is>
      </c>
      <c r="C27" s="4" t="inlineStr">
        <is>
          <t>medical_student</t>
        </is>
      </c>
      <c r="D27" s="4" t="inlineStr">
        <is>
          <t>20 degrees</t>
        </is>
      </c>
      <c r="E27" s="4" t="inlineStr">
        <is>
          <t>Conventional teaching gives roughly 20 degrees at initial contact in running, against near extension in walking.</t>
        </is>
      </c>
      <c r="F27" s="4" t="inlineStr"/>
      <c r="G27" s="4" t="inlineStr"/>
      <c r="H27" s="4" t="inlineStr"/>
    </row>
    <row r="28">
      <c r="A28" s="4" t="inlineStr">
        <is>
          <t>3.3.10-F2</t>
        </is>
      </c>
      <c r="B28" s="4" t="inlineStr">
        <is>
          <t>3.3.10</t>
        </is>
      </c>
      <c r="C28" s="4" t="inlineStr">
        <is>
          <t>medical_student</t>
        </is>
      </c>
      <c r="D28" s="4" t="inlineStr">
        <is>
          <t>40 to 45 degrees</t>
        </is>
      </c>
      <c r="E28" s="4" t="inlineStr">
        <is>
          <t>Stance flexion then increases to roughly 40 to 45 degrees, which is more than double the walking wave and under a larger load.</t>
        </is>
      </c>
      <c r="F28" s="4" t="inlineStr"/>
      <c r="G28" s="4" t="inlineStr"/>
      <c r="H28" s="4" t="inlineStr"/>
    </row>
    <row r="29">
      <c r="A29" s="4" t="inlineStr">
        <is>
          <t>3.3.10-F3</t>
        </is>
      </c>
      <c r="B29" s="4" t="inlineStr">
        <is>
          <t>3.3.10</t>
        </is>
      </c>
      <c r="C29" s="4" t="inlineStr">
        <is>
          <t>medical_student</t>
        </is>
      </c>
      <c r="D29" s="4" t="inlineStr">
        <is>
          <t>90 to 130 degrees</t>
        </is>
      </c>
      <c r="E29" s="4" t="inlineStr">
        <is>
          <t>Conventional teaching gives roughly 90 to 130 degrees depending on speed, since the heel rises towards the buttock as speed increases.</t>
        </is>
      </c>
      <c r="F29" s="4" t="inlineStr"/>
      <c r="G29" s="4" t="inlineStr"/>
      <c r="H29" s="4" t="inlineStr"/>
    </row>
    <row r="30">
      <c r="A30" s="4" t="inlineStr">
        <is>
          <t>3.3.11-F1</t>
        </is>
      </c>
      <c r="B30" s="4" t="inlineStr">
        <is>
          <t>3.3.11</t>
        </is>
      </c>
      <c r="C30" s="4" t="inlineStr">
        <is>
          <t>medical_student</t>
        </is>
      </c>
      <c r="D30" s="4" t="inlineStr">
        <is>
          <t>100
degrees</t>
        </is>
      </c>
      <c r="E30" s="4" t="inlineStr">
        <is>
          <t>Flexion proceeds from full extension towards deep flexion, commonly past 100 degrees and in a full squat beyond 130.</t>
        </is>
      </c>
      <c r="F30" s="4" t="inlineStr"/>
      <c r="G30" s="4" t="inlineStr"/>
      <c r="H30" s="4" t="inlineStr"/>
    </row>
    <row r="31">
      <c r="A31" s="4" t="inlineStr">
        <is>
          <t>3.3.11-F2</t>
        </is>
      </c>
      <c r="B31" s="4" t="inlineStr">
        <is>
          <t>3.3.11</t>
        </is>
      </c>
      <c r="C31" s="4" t="inlineStr">
        <is>
          <t>medical_student</t>
        </is>
      </c>
      <c r="D31" s="4" t="inlineStr">
        <is>
          <t>130</t>
        </is>
      </c>
      <c r="E31" s="4" t="inlineStr">
        <is>
          <t>Flexion proceeds from full extension towards deep flexion, commonly past 100 degrees and in a full squat beyond 130.</t>
        </is>
      </c>
      <c r="F31" s="4" t="inlineStr"/>
      <c r="G31" s="4" t="inlineStr"/>
      <c r="H31" s="4" t="inlineStr"/>
    </row>
    <row r="32">
      <c r="A32" s="4" t="inlineStr">
        <is>
          <t>3.3.11-F3</t>
        </is>
      </c>
      <c r="B32" s="4" t="inlineStr">
        <is>
          <t>3.3.11</t>
        </is>
      </c>
      <c r="C32" s="4" t="inlineStr">
        <is>
          <t>medical_student</t>
        </is>
      </c>
      <c r="D32" s="4" t="inlineStr">
        <is>
          <t>120 degrees</t>
        </is>
      </c>
      <c r="E32" s="4" t="inlineStr">
        <is>
          <t>Beyond roughly 120 degrees the contact moves onto the posterior condyles, where the surfaces are smaller and the load per unit area is higher.</t>
        </is>
      </c>
      <c r="F32" s="4" t="inlineStr"/>
      <c r="G32" s="4" t="inlineStr"/>
      <c r="H32" s="4" t="inlineStr"/>
    </row>
    <row r="33">
      <c r="A33" s="4" t="inlineStr">
        <is>
          <t>3.3.12-F1</t>
        </is>
      </c>
      <c r="B33" s="4" t="inlineStr">
        <is>
          <t>3.3.12</t>
        </is>
      </c>
      <c r="C33" s="4" t="inlineStr">
        <is>
          <t>medical_student</t>
        </is>
      </c>
      <c r="D33" s="4" t="inlineStr">
        <is>
          <t>80 to 90 degrees</t>
        </is>
      </c>
      <c r="E33" s="4" t="inlineStr">
        <is>
          <t>Conventional teaching gives peak knee flexion on stairs as roughly 80 to 90 degrees, considerably more than walking on the level.</t>
        </is>
      </c>
      <c r="F33" s="4" t="inlineStr"/>
      <c r="G33" s="4" t="inlineStr"/>
      <c r="H33" s="4" t="inlineStr"/>
    </row>
  </sheetData>
  <dataValidations count="1">
    <dataValidation sqref="F3:F33" showDropDown="0" showInputMessage="0" showErrorMessage="0" allowBlank="1" errorTitle="Not an allowed decision" error="Use one of: VERIFIED, CORRECTED, REMOVED" type="list">
      <formula1>"VERIFIED,CORRECTED,REMOVED"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18" customWidth="1" min="3" max="3"/>
  </cols>
  <sheetData>
    <row r="1">
      <c r="A1" s="5" t="inlineStr"/>
      <c r="B1" s="5" t="inlineStr">
        <is>
          <t>Recommendations</t>
        </is>
      </c>
      <c r="C1" s="5" t="inlineStr">
        <is>
          <t>Measurements</t>
        </is>
      </c>
    </row>
    <row r="2">
      <c r="A2" s="2" t="inlineStr">
        <is>
          <t>Rows to decide</t>
        </is>
      </c>
      <c r="B2" s="3">
        <f>111</f>
        <v/>
      </c>
      <c r="C2" s="3">
        <f>31</f>
        <v/>
      </c>
    </row>
    <row r="3">
      <c r="A3" s="2" t="inlineStr">
        <is>
          <t>Decided</t>
        </is>
      </c>
      <c r="B3" s="3">
        <f>COUNTIF(Recommendations!E3:E113,"&lt;&gt;")</f>
        <v/>
      </c>
      <c r="C3" s="3">
        <f>COUNTIF(Measurements!F3:F33,"&lt;&gt;")</f>
        <v/>
      </c>
    </row>
    <row r="4">
      <c r="A4" s="2" t="inlineStr">
        <is>
          <t>Still blank</t>
        </is>
      </c>
      <c r="B4" s="3">
        <f>B2-B3</f>
        <v/>
      </c>
      <c r="C4" s="3">
        <f>C2-C3</f>
        <v/>
      </c>
    </row>
    <row r="5">
      <c r="A5" s="2" t="inlineStr">
        <is>
          <t>CONFIRMED</t>
        </is>
      </c>
      <c r="B5" s="3">
        <f>COUNTIF(Recommendations!E3:E113,"CONFIRMED")</f>
        <v/>
      </c>
      <c r="C5" s="3" t="inlineStr"/>
    </row>
    <row r="6">
      <c r="A6" s="2" t="inlineStr">
        <is>
          <t>AMENDED</t>
        </is>
      </c>
      <c r="B6" s="3">
        <f>COUNTIF(Recommendations!E3:E113,"AMENDED")</f>
        <v/>
      </c>
      <c r="C6" s="3" t="inlineStr"/>
    </row>
    <row r="7">
      <c r="A7" s="2" t="inlineStr">
        <is>
          <t>WITHDRAWN</t>
        </is>
      </c>
      <c r="B7" s="3">
        <f>COUNTIF(Recommendations!E3:E113,"WITHDRAWN")</f>
        <v/>
      </c>
      <c r="C7" s="3" t="inlineStr"/>
    </row>
    <row r="8">
      <c r="A8" s="2" t="inlineStr">
        <is>
          <t>NOT_CLINICAL</t>
        </is>
      </c>
      <c r="B8" s="3">
        <f>COUNTIF(Recommendations!E3:E113,"NOT_CLINICAL")</f>
        <v/>
      </c>
      <c r="C8" s="3" t="inlineStr"/>
    </row>
    <row r="9">
      <c r="A9" s="2" t="inlineStr">
        <is>
          <t>VERIFIED</t>
        </is>
      </c>
      <c r="B9" s="3" t="inlineStr"/>
      <c r="C9" s="3">
        <f>COUNTIF(Measurements!F3:F33,"VERIFIED")</f>
        <v/>
      </c>
    </row>
    <row r="10">
      <c r="A10" s="2" t="inlineStr">
        <is>
          <t>CORRECTED</t>
        </is>
      </c>
      <c r="B10" s="3" t="inlineStr"/>
      <c r="C10" s="3">
        <f>COUNTIF(Measurements!F3:F33,"CORRECTED")</f>
        <v/>
      </c>
    </row>
    <row r="11">
      <c r="A11" s="2" t="inlineStr">
        <is>
          <t>REMOVED</t>
        </is>
      </c>
      <c r="B11" s="3" t="inlineStr"/>
      <c r="C11" s="3">
        <f>COUNTIF(Measurements!F3:F33,"REMOVED")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2026-10-10T12:34:02Z</dcterms:created>
  <dcterms:modified xmlns:dcterms="http://purl.org/dc/terms/" xmlns:xsi="http://www.w3.org/2001/XMLSchema-instance" xsi:type="dcterms:W3CDTF">2026-10-10T12:34:02Z</dcterms:modified>
</cp:coreProperties>
</file>