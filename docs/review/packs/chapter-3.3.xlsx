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3.3 Knee Kinematics</t>
        </is>
      </c>
    </row>
    <row r="3">
      <c r="A3" s="2" t="inlineStr">
        <is>
          <t>Section</t>
        </is>
      </c>
      <c r="B3" s="3" t="inlineStr">
        <is>
          <t>3</t>
        </is>
      </c>
    </row>
    <row r="4">
      <c r="A4" s="2" t="inlineStr">
        <is>
          <t>Chapter</t>
        </is>
      </c>
      <c r="B4" s="3" t="inlineStr">
        <is>
          <t>3.3 Knee Kinematics</t>
        </is>
      </c>
    </row>
    <row r="5">
      <c r="A5" s="2" t="inlineStr">
        <is>
          <t>Pages</t>
        </is>
      </c>
      <c r="B5" s="3" t="n">
        <v>14</v>
      </c>
    </row>
    <row r="6">
      <c r="A6" s="2" t="inlineStr">
        <is>
          <t>Page type</t>
        </is>
      </c>
      <c r="B6" s="3" t="inlineStr">
        <is>
          <t>biomechanics</t>
        </is>
      </c>
    </row>
    <row r="7">
      <c r="A7" s="2" t="inlineStr">
        <is>
          <t>Tiers</t>
        </is>
      </c>
      <c r="B7" s="3" t="inlineStr">
        <is>
          <t>medical student, mrcs, frcs</t>
        </is>
      </c>
    </row>
    <row r="8">
      <c r="A8" s="2" t="inlineStr">
        <is>
          <t>Words</t>
        </is>
      </c>
      <c r="B8" s="3" t="inlineStr">
        <is>
          <t>17,774</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32</v>
      </c>
    </row>
    <row r="12">
      <c r="A12" s="2" t="inlineStr">
        <is>
          <t>Recommendations to sign</t>
        </is>
      </c>
      <c r="B12" s="3" t="n">
        <v>111</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3.3.1</t>
        </is>
      </c>
      <c r="B2" s="6" t="inlineStr">
        <is>
          <t>Introduction to Kinematics</t>
        </is>
      </c>
      <c r="C2" s="6" t="n">
        <v>3</v>
      </c>
      <c r="D2" s="6" t="n">
        <v>1394</v>
      </c>
      <c r="E2" s="6" t="inlineStr">
        <is>
          <t>biomechanics/introduction-to-kinematics.html</t>
        </is>
      </c>
    </row>
    <row r="3">
      <c r="A3" s="6" t="inlineStr">
        <is>
          <t>3.3.2</t>
        </is>
      </c>
      <c r="B3" s="6" t="inlineStr">
        <is>
          <t>Roll and Glide Mechanisms</t>
        </is>
      </c>
      <c r="C3" s="6" t="n">
        <v>3</v>
      </c>
      <c r="D3" s="6" t="n">
        <v>1339</v>
      </c>
      <c r="E3" s="6" t="inlineStr">
        <is>
          <t>biomechanics/roll-and-glide-mechanisms.html</t>
        </is>
      </c>
    </row>
    <row r="4">
      <c r="A4" s="6" t="inlineStr">
        <is>
          <t>3.3.3</t>
        </is>
      </c>
      <c r="B4" s="6" t="inlineStr">
        <is>
          <t>Femoral Motion on Tibia</t>
        </is>
      </c>
      <c r="C4" s="6" t="n">
        <v>3</v>
      </c>
      <c r="D4" s="6" t="n">
        <v>1301</v>
      </c>
      <c r="E4" s="6" t="inlineStr">
        <is>
          <t>biomechanics/femoral-motion-on-tibia.html</t>
        </is>
      </c>
    </row>
    <row r="5">
      <c r="A5" s="6" t="inlineStr">
        <is>
          <t>3.3.4</t>
        </is>
      </c>
      <c r="B5" s="6" t="inlineStr">
        <is>
          <t>Tibial Motion on Femur</t>
        </is>
      </c>
      <c r="C5" s="6" t="n">
        <v>3</v>
      </c>
      <c r="D5" s="6" t="n">
        <v>1326</v>
      </c>
      <c r="E5" s="6" t="inlineStr">
        <is>
          <t>biomechanics/tibial-motion-on-femur.html</t>
        </is>
      </c>
    </row>
    <row r="6">
      <c r="A6" s="6" t="inlineStr">
        <is>
          <t>3.3.5</t>
        </is>
      </c>
      <c r="B6" s="6" t="inlineStr">
        <is>
          <t>Screw Home Mechanism</t>
        </is>
      </c>
      <c r="C6" s="6" t="n">
        <v>3</v>
      </c>
      <c r="D6" s="6" t="n">
        <v>1311</v>
      </c>
      <c r="E6" s="6" t="inlineStr">
        <is>
          <t>biomechanics/screw-home-mechanism.html</t>
        </is>
      </c>
    </row>
    <row r="7">
      <c r="A7" s="6" t="inlineStr">
        <is>
          <t>3.3.6</t>
        </is>
      </c>
      <c r="B7" s="6" t="inlineStr">
        <is>
          <t>Reverse Screw Home Mechanism</t>
        </is>
      </c>
      <c r="C7" s="6" t="n">
        <v>3</v>
      </c>
      <c r="D7" s="6" t="n">
        <v>1247</v>
      </c>
      <c r="E7" s="6" t="inlineStr">
        <is>
          <t>biomechanics/reverse-screw-home-mechanism.html</t>
        </is>
      </c>
    </row>
    <row r="8">
      <c r="A8" s="6" t="inlineStr">
        <is>
          <t>3.3.7</t>
        </is>
      </c>
      <c r="B8" s="6" t="inlineStr">
        <is>
          <t>Instant Centre of Rotation</t>
        </is>
      </c>
      <c r="C8" s="6" t="n">
        <v>3</v>
      </c>
      <c r="D8" s="6" t="n">
        <v>1232</v>
      </c>
      <c r="E8" s="6" t="inlineStr">
        <is>
          <t>biomechanics/instant-centre-of-rotation.html</t>
        </is>
      </c>
    </row>
    <row r="9">
      <c r="A9" s="6" t="inlineStr">
        <is>
          <t>3.3.8</t>
        </is>
      </c>
      <c r="B9" s="6" t="inlineStr">
        <is>
          <t>Changes Throughout Flexion</t>
        </is>
      </c>
      <c r="C9" s="6" t="n">
        <v>3</v>
      </c>
      <c r="D9" s="6" t="n">
        <v>1287</v>
      </c>
      <c r="E9" s="6" t="inlineStr">
        <is>
          <t>biomechanics/changes-throughout-flexion.html</t>
        </is>
      </c>
    </row>
    <row r="10">
      <c r="A10" s="6" t="inlineStr">
        <is>
          <t>3.3.9</t>
        </is>
      </c>
      <c r="B10" s="6" t="inlineStr">
        <is>
          <t>Kinematics During Walking</t>
        </is>
      </c>
      <c r="C10" s="6" t="n">
        <v>3</v>
      </c>
      <c r="D10" s="6" t="n">
        <v>1271</v>
      </c>
      <c r="E10" s="6" t="inlineStr">
        <is>
          <t>biomechanics/kinematics-during-walking.html</t>
        </is>
      </c>
    </row>
    <row r="11">
      <c r="A11" s="6" t="inlineStr">
        <is>
          <t>3.3.10</t>
        </is>
      </c>
      <c r="B11" s="6" t="inlineStr">
        <is>
          <t>Kinematics During Running</t>
        </is>
      </c>
      <c r="C11" s="6" t="n">
        <v>3</v>
      </c>
      <c r="D11" s="6" t="n">
        <v>1192</v>
      </c>
      <c r="E11" s="6" t="inlineStr">
        <is>
          <t>biomechanics/kinematics-during-running.html</t>
        </is>
      </c>
    </row>
    <row r="12">
      <c r="A12" s="6" t="inlineStr">
        <is>
          <t>3.3.11</t>
        </is>
      </c>
      <c r="B12" s="6" t="inlineStr">
        <is>
          <t>Kinematics During Squatting</t>
        </is>
      </c>
      <c r="C12" s="6" t="n">
        <v>3</v>
      </c>
      <c r="D12" s="6" t="n">
        <v>1246</v>
      </c>
      <c r="E12" s="6" t="inlineStr">
        <is>
          <t>biomechanics/kinematics-during-squatting.html</t>
        </is>
      </c>
    </row>
    <row r="13">
      <c r="A13" s="6" t="inlineStr">
        <is>
          <t>3.3.12</t>
        </is>
      </c>
      <c r="B13" s="6" t="inlineStr">
        <is>
          <t>Kinematics During Stair Climbing</t>
        </is>
      </c>
      <c r="C13" s="6" t="n">
        <v>3</v>
      </c>
      <c r="D13" s="6" t="n">
        <v>1177</v>
      </c>
      <c r="E13" s="6" t="inlineStr">
        <is>
          <t>biomechanics/kinematics-during-stair-climbing.html</t>
        </is>
      </c>
    </row>
    <row r="14">
      <c r="A14" s="6" t="inlineStr">
        <is>
          <t>3.3.13</t>
        </is>
      </c>
      <c r="B14" s="6" t="inlineStr">
        <is>
          <t>Kinematics During Landing</t>
        </is>
      </c>
      <c r="C14" s="6" t="n">
        <v>3</v>
      </c>
      <c r="D14" s="6" t="n">
        <v>1236</v>
      </c>
      <c r="E14" s="6" t="inlineStr">
        <is>
          <t>biomechanics/kinematics-during-landing.html</t>
        </is>
      </c>
    </row>
    <row r="15">
      <c r="A15" s="6" t="inlineStr">
        <is>
          <t>3.3.14</t>
        </is>
      </c>
      <c r="B15" s="6" t="inlineStr">
        <is>
          <t>Kinematics During Cutting</t>
        </is>
      </c>
      <c r="C15" s="6" t="n">
        <v>3</v>
      </c>
      <c r="D15" s="6" t="n">
        <v>1215</v>
      </c>
      <c r="E15" s="6" t="inlineStr">
        <is>
          <t>biomechanics/kinematics-during-cutting.html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3.3.1</t>
        </is>
      </c>
      <c r="B2" s="4" t="inlineStr">
        <is>
          <t>Introduction to Kinematics</t>
        </is>
      </c>
      <c r="C2" s="4" t="inlineStr">
        <is>
          <t>Stability is a kinetic claim and motion a kinematic one; an operation can restore one alone.</t>
        </is>
      </c>
    </row>
    <row r="3">
      <c r="A3" s="4" t="inlineStr">
        <is>
          <t>3.3.1</t>
        </is>
      </c>
      <c r="B3" s="4" t="inlineStr">
        <is>
          <t>Introduction to Kinematics</t>
        </is>
      </c>
      <c r="C3" s="4" t="inlineStr">
        <is>
          <t>Abnormal kinematics with normal laxity is a recognised post-reconstruction pattern.</t>
        </is>
      </c>
    </row>
    <row r="4">
      <c r="A4" s="4" t="inlineStr">
        <is>
          <t>3.3.1</t>
        </is>
      </c>
      <c r="B4" s="4" t="inlineStr">
        <is>
          <t>Introduction to Kinematics</t>
        </is>
      </c>
      <c r="C4" s="4" t="inlineStr">
        <is>
          <t>An implant imposes a path rather than negotiating one.</t>
        </is>
      </c>
    </row>
    <row r="5">
      <c r="A5" s="4" t="inlineStr">
        <is>
          <t>3.3.1</t>
        </is>
      </c>
      <c r="B5" s="4" t="inlineStr">
        <is>
          <t>Introduction to Kinematics</t>
        </is>
      </c>
      <c r="C5" s="4" t="inlineStr">
        <is>
          <t>Biplanar fluoroscopy is the in vivo reference method, limited by equipment not by question.</t>
        </is>
      </c>
    </row>
    <row r="6">
      <c r="A6" s="4" t="inlineStr">
        <is>
          <t>3.3.1</t>
        </is>
      </c>
      <c r="B6" s="4" t="inlineStr">
        <is>
          <t>Introduction to Kinematics</t>
        </is>
      </c>
      <c r="C6" s="4" t="inlineStr">
        <is>
          <t>A kinematic study generalises only as far as the task it measured.</t>
        </is>
      </c>
    </row>
    <row r="7">
      <c r="A7" s="4" t="inlineStr">
        <is>
          <t>3.3.2</t>
        </is>
      </c>
      <c r="B7" s="4" t="inlineStr">
        <is>
          <t>Roll and Glide Mechanisms</t>
        </is>
      </c>
      <c r="C7" s="4" t="inlineStr">
        <is>
          <t>Rollback is a design requirement; retaining and stabilised designs produce it differently.</t>
        </is>
      </c>
    </row>
    <row r="8">
      <c r="A8" s="4" t="inlineStr">
        <is>
          <t>3.3.2</t>
        </is>
      </c>
      <c r="B8" s="4" t="inlineStr">
        <is>
          <t>Roll and Glide Mechanisms</t>
        </is>
      </c>
      <c r="C8" s="4" t="inlineStr">
        <is>
          <t>Paradoxical anterior sliding loses the lever arm deep flexion needs.</t>
        </is>
      </c>
    </row>
    <row r="9">
      <c r="A9" s="4" t="inlineStr">
        <is>
          <t>3.3.2</t>
        </is>
      </c>
      <c r="B9" s="4" t="inlineStr">
        <is>
          <t>Roll and Glide Mechanisms</t>
        </is>
      </c>
      <c r="C9" s="4" t="inlineStr">
        <is>
          <t>A reconstruction can restore the limit and leave the contact path shifted.</t>
        </is>
      </c>
    </row>
    <row r="10">
      <c r="A10" s="4" t="inlineStr">
        <is>
          <t>3.3.2</t>
        </is>
      </c>
      <c r="B10" s="4" t="inlineStr">
        <is>
          <t>Roll and Glide Mechanisms</t>
        </is>
      </c>
      <c r="C10" s="4" t="inlineStr">
        <is>
          <t>Sagittal radius and insert conformity decide how much the path is imposed.</t>
        </is>
      </c>
    </row>
    <row r="11">
      <c r="A11" s="4" t="inlineStr">
        <is>
          <t>3.3.2</t>
        </is>
      </c>
      <c r="B11" s="4" t="inlineStr">
        <is>
          <t>Roll and Glide Mechanisms</t>
        </is>
      </c>
      <c r="C11" s="4" t="inlineStr">
        <is>
          <t>No routine clinical measurement of contact path exists.</t>
        </is>
      </c>
    </row>
    <row r="12">
      <c r="A12" s="4" t="inlineStr">
        <is>
          <t>3.3.3</t>
        </is>
      </c>
      <c r="B12" s="4" t="inlineStr">
        <is>
          <t>Femoral Motion on Tibia</t>
        </is>
      </c>
      <c r="C12" s="4" t="inlineStr">
        <is>
          <t>Closed chain is the condition most surgical decisions are really about.</t>
        </is>
      </c>
    </row>
    <row r="13">
      <c r="A13" s="4" t="inlineStr">
        <is>
          <t>3.3.3</t>
        </is>
      </c>
      <c r="B13" s="4" t="inlineStr">
        <is>
          <t>Femoral Motion on Tibia</t>
        </is>
      </c>
      <c r="C13" s="4" t="inlineStr">
        <is>
          <t>The ground reaction force line relative to the knee exists only in closed chain.</t>
        </is>
      </c>
    </row>
    <row r="14">
      <c r="A14" s="4" t="inlineStr">
        <is>
          <t>3.3.3</t>
        </is>
      </c>
      <c r="B14" s="4" t="inlineStr">
        <is>
          <t>Femoral Motion on Tibia</t>
        </is>
      </c>
      <c r="C14" s="4" t="inlineStr">
        <is>
          <t>A chain has several solutions, which is why function and laxity dissociate.</t>
        </is>
      </c>
    </row>
    <row r="15">
      <c r="A15" s="4" t="inlineStr">
        <is>
          <t>3.3.3</t>
        </is>
      </c>
      <c r="B15" s="4" t="inlineStr">
        <is>
          <t>Femoral Motion on Tibia</t>
        </is>
      </c>
      <c r="C15" s="4" t="inlineStr">
        <is>
          <t>Static long leg alignment and dynamic measurement can disagree.</t>
        </is>
      </c>
    </row>
    <row r="16">
      <c r="A16" s="4" t="inlineStr">
        <is>
          <t>3.3.3</t>
        </is>
      </c>
      <c r="B16" s="4" t="inlineStr">
        <is>
          <t>Femoral Motion on Tibia</t>
        </is>
      </c>
      <c r="C16" s="4" t="inlineStr">
        <is>
          <t>Compensation is visible in a kinematic record and not separable from capacity by it.</t>
        </is>
      </c>
    </row>
    <row r="17">
      <c r="A17" s="4" t="inlineStr">
        <is>
          <t>3.3.4</t>
        </is>
      </c>
      <c r="B17" s="4" t="inlineStr">
        <is>
          <t>Tibial Motion on Femur</t>
        </is>
      </c>
      <c r="C17" s="4" t="inlineStr">
        <is>
          <t>Open chain asks a structural question and closed chain a functional one.</t>
        </is>
      </c>
    </row>
    <row r="18">
      <c r="A18" s="4" t="inlineStr">
        <is>
          <t>3.3.4</t>
        </is>
      </c>
      <c r="B18" s="4" t="inlineStr">
        <is>
          <t>Tibial Motion on Femur</t>
        </is>
      </c>
      <c r="C18" s="4" t="inlineStr">
        <is>
          <t>A graft can measure tight in open chain and be inadequate in closed chain.</t>
        </is>
      </c>
    </row>
    <row r="19">
      <c r="A19" s="4" t="inlineStr">
        <is>
          <t>3.3.4</t>
        </is>
      </c>
      <c r="B19" s="4" t="inlineStr">
        <is>
          <t>Tibial Motion on Femur</t>
        </is>
      </c>
      <c r="C19" s="4" t="inlineStr">
        <is>
          <t>The two chains load a graft at different parts of the range.</t>
        </is>
      </c>
    </row>
    <row r="20">
      <c r="A20" s="4" t="inlineStr">
        <is>
          <t>3.3.4</t>
        </is>
      </c>
      <c r="B20" s="4" t="inlineStr">
        <is>
          <t>Tibial Motion on Femur</t>
        </is>
      </c>
      <c r="C20" s="4" t="inlineStr">
        <is>
          <t>Examination under anaesthetic is the cleanest clinical open chain measurement.</t>
        </is>
      </c>
    </row>
    <row r="21">
      <c r="A21" s="4" t="inlineStr">
        <is>
          <t>3.3.4</t>
        </is>
      </c>
      <c r="B21" s="4" t="inlineStr">
        <is>
          <t>Tibial Motion on Femur</t>
        </is>
      </c>
      <c r="C21" s="4" t="inlineStr">
        <is>
          <t>No open chain measurement reliably predicts a closed chain symptom.</t>
        </is>
      </c>
    </row>
    <row r="22">
      <c r="A22" s="4" t="inlineStr">
        <is>
          <t>3.3.5</t>
        </is>
      </c>
      <c r="B22" s="4" t="inlineStr">
        <is>
          <t>Screw Home Mechanism</t>
        </is>
      </c>
      <c r="C22" s="4" t="inlineStr">
        <is>
          <t>An arthroplasty without full extension has lost the locking position.</t>
        </is>
      </c>
    </row>
    <row r="23">
      <c r="A23" s="4" t="inlineStr">
        <is>
          <t>3.3.5</t>
        </is>
      </c>
      <c r="B23" s="4" t="inlineStr">
        <is>
          <t>Screw Home Mechanism</t>
        </is>
      </c>
      <c r="C23" s="4" t="inlineStr">
        <is>
          <t>The coupled rotation constrains component rotation in replacement.</t>
        </is>
      </c>
    </row>
    <row r="24">
      <c r="A24" s="4" t="inlineStr">
        <is>
          <t>3.3.5</t>
        </is>
      </c>
      <c r="B24" s="4" t="inlineStr">
        <is>
          <t>Screw Home Mechanism</t>
        </is>
      </c>
      <c r="C24" s="4" t="inlineStr">
        <is>
          <t>A graft placed too anteriorly limits terminal extension because it blocks coupled motion.</t>
        </is>
      </c>
    </row>
    <row r="25">
      <c r="A25" s="4" t="inlineStr">
        <is>
          <t>3.3.5</t>
        </is>
      </c>
      <c r="B25" s="4" t="inlineStr">
        <is>
          <t>Screw Home Mechanism</t>
        </is>
      </c>
      <c r="C25" s="4" t="inlineStr">
        <is>
          <t>Full extension has no partial version; achieve it on the table.</t>
        </is>
      </c>
    </row>
    <row r="26">
      <c r="A26" s="4" t="inlineStr">
        <is>
          <t>3.3.5</t>
        </is>
      </c>
      <c r="B26" s="4" t="inlineStr">
        <is>
          <t>Screw Home Mechanism</t>
        </is>
      </c>
      <c r="C26" s="4" t="inlineStr">
        <is>
          <t>Lost extension after reconstruction is investigated, not accepted as stiffness.</t>
        </is>
      </c>
    </row>
    <row r="27">
      <c r="A27" s="4" t="inlineStr">
        <is>
          <t>3.3.6</t>
        </is>
      </c>
      <c r="B27" s="4" t="inlineStr">
        <is>
          <t>Reverse Screw Home Mechanism</t>
        </is>
      </c>
      <c r="C27" s="4" t="inlineStr">
        <is>
          <t>Anatomic corner reconstruction addresses the complex rather than a subset, by conventional teaching.</t>
        </is>
      </c>
    </row>
    <row r="28">
      <c r="A28" s="4" t="inlineStr">
        <is>
          <t>3.3.6</t>
        </is>
      </c>
      <c r="B28" s="4" t="inlineStr">
        <is>
          <t>Reverse Screw Home Mechanism</t>
        </is>
      </c>
      <c r="C28" s="4" t="inlineStr">
        <is>
          <t>The deficit is rotational and positional, so symptoms appear near extension.</t>
        </is>
      </c>
    </row>
    <row r="29">
      <c r="A29" s="4" t="inlineStr">
        <is>
          <t>3.3.6</t>
        </is>
      </c>
      <c r="B29" s="4" t="inlineStr">
        <is>
          <t>Reverse Screw Home Mechanism</t>
        </is>
      </c>
      <c r="C29" s="4" t="inlineStr">
        <is>
          <t>A missed corner injury is a recognised cause of cruciate graft failure.</t>
        </is>
      </c>
    </row>
    <row r="30">
      <c r="A30" s="4" t="inlineStr">
        <is>
          <t>3.3.6</t>
        </is>
      </c>
      <c r="B30" s="4" t="inlineStr">
        <is>
          <t>Reverse Screw Home Mechanism</t>
        </is>
      </c>
      <c r="C30" s="4" t="inlineStr">
        <is>
          <t>Varus alignment loads a reconstructed corner and is addressable.</t>
        </is>
      </c>
    </row>
    <row r="31">
      <c r="A31" s="4" t="inlineStr">
        <is>
          <t>3.3.6</t>
        </is>
      </c>
      <c r="B31" s="4" t="inlineStr">
        <is>
          <t>Reverse Screw Home Mechanism</t>
        </is>
      </c>
      <c r="C31" s="4" t="inlineStr">
        <is>
          <t>No measurement shows whether a reconstructed popliteus is functioning.</t>
        </is>
      </c>
    </row>
    <row r="32">
      <c r="A32" s="4" t="inlineStr">
        <is>
          <t>3.3.7</t>
        </is>
      </c>
      <c r="B32" s="4" t="inlineStr">
        <is>
          <t>Instant Centre of Rotation</t>
        </is>
      </c>
      <c r="C32" s="4" t="inlineStr">
        <is>
          <t>Single radius and multi radius designs disagree about the centre path; both approximate.</t>
        </is>
      </c>
    </row>
    <row r="33">
      <c r="A33" s="4" t="inlineStr">
        <is>
          <t>3.3.7</t>
        </is>
      </c>
      <c r="B33" s="4" t="inlineStr">
        <is>
          <t>Instant Centre of Rotation</t>
        </is>
      </c>
      <c r="C33" s="4" t="inlineStr">
        <is>
          <t>Hinged implants abandon the native centrode deliberately for constraint.</t>
        </is>
      </c>
    </row>
    <row r="34">
      <c r="A34" s="4" t="inlineStr">
        <is>
          <t>3.3.7</t>
        </is>
      </c>
      <c r="B34" s="4" t="inlineStr">
        <is>
          <t>Instant Centre of Rotation</t>
        </is>
      </c>
      <c r="C34" s="4" t="inlineStr">
        <is>
          <t>An off axis hinged fixator translates the joint while it flexes.</t>
        </is>
      </c>
    </row>
    <row r="35">
      <c r="A35" s="4" t="inlineStr">
        <is>
          <t>3.3.7</t>
        </is>
      </c>
      <c r="B35" s="4" t="inlineStr">
        <is>
          <t>Instant Centre of Rotation</t>
        </is>
      </c>
      <c r="C35" s="4" t="inlineStr">
        <is>
          <t>A well designed implant placed off axis imposes the wrong path.</t>
        </is>
      </c>
    </row>
    <row r="36">
      <c r="A36" s="4" t="inlineStr">
        <is>
          <t>3.3.7</t>
        </is>
      </c>
      <c r="B36" s="4" t="inlineStr">
        <is>
          <t>Instant Centre of Rotation</t>
        </is>
      </c>
      <c r="C36" s="4" t="inlineStr">
        <is>
          <t>No routine postoperative measurement of the centrode exists.</t>
        </is>
      </c>
    </row>
    <row r="37">
      <c r="A37" s="4" t="inlineStr">
        <is>
          <t>3.3.8</t>
        </is>
      </c>
      <c r="B37" s="4" t="inlineStr">
        <is>
          <t>Changes Throughout Flexion</t>
        </is>
      </c>
      <c r="C37" s="4" t="inlineStr">
        <is>
          <t>Mid flexion is where reconstructions and replacements fail quietly.</t>
        </is>
      </c>
    </row>
    <row r="38">
      <c r="A38" s="4" t="inlineStr">
        <is>
          <t>3.3.8</t>
        </is>
      </c>
      <c r="B38" s="4" t="inlineStr">
        <is>
          <t>Changes Throughout Flexion</t>
        </is>
      </c>
      <c r="C38" s="4" t="inlineStr">
        <is>
          <t>Mid flexion instability is laxity at 30 to 60 degrees with stable extension and flexion.</t>
        </is>
      </c>
    </row>
    <row r="39">
      <c r="A39" s="4" t="inlineStr">
        <is>
          <t>3.3.8</t>
        </is>
      </c>
      <c r="B39" s="4" t="inlineStr">
        <is>
          <t>Changes Throughout Flexion</t>
        </is>
      </c>
      <c r="C39" s="4" t="inlineStr">
        <is>
          <t>Conventional teaching attributes it to femoral component position and radius of curvature.</t>
        </is>
      </c>
    </row>
    <row r="40">
      <c r="A40" s="4" t="inlineStr">
        <is>
          <t>3.3.8</t>
        </is>
      </c>
      <c r="B40" s="4" t="inlineStr">
        <is>
          <t>Changes Throughout Flexion</t>
        </is>
      </c>
      <c r="C40" s="4" t="inlineStr">
        <is>
          <t>Joint line position shifts the whole arc and the ligament tension through it.</t>
        </is>
      </c>
    </row>
    <row r="41">
      <c r="A41" s="4" t="inlineStr">
        <is>
          <t>3.3.8</t>
        </is>
      </c>
      <c r="B41" s="4" t="inlineStr">
        <is>
          <t>Changes Throughout Flexion</t>
        </is>
      </c>
      <c r="C41" s="4" t="inlineStr">
        <is>
          <t>Mid flexion instability has no agreed diagnostic threshold.</t>
        </is>
      </c>
    </row>
    <row r="42">
      <c r="A42" s="4" t="inlineStr">
        <is>
          <t>3.3.9</t>
        </is>
      </c>
      <c r="B42" s="4" t="inlineStr">
        <is>
          <t>Kinematics During Walking</t>
        </is>
      </c>
      <c r="C42" s="4" t="inlineStr">
        <is>
          <t>Walking is the patient's benchmark and a weak discriminator between constructs.</t>
        </is>
      </c>
    </row>
    <row r="43">
      <c r="A43" s="4" t="inlineStr">
        <is>
          <t>3.3.9</t>
        </is>
      </c>
      <c r="B43" s="4" t="inlineStr">
        <is>
          <t>Kinematics During Walking</t>
        </is>
      </c>
      <c r="C43" s="4" t="inlineStr">
        <is>
          <t>The adduction moment discriminates, and it is kinetic rather than kinematic.</t>
        </is>
      </c>
    </row>
    <row r="44">
      <c r="A44" s="4" t="inlineStr">
        <is>
          <t>3.3.9</t>
        </is>
      </c>
      <c r="B44" s="4" t="inlineStr">
        <is>
          <t>Kinematics During Walking</t>
        </is>
      </c>
      <c r="C44" s="4" t="inlineStr">
        <is>
          <t>Stiff knee gait has several causes; separating them is the clinical work.</t>
        </is>
      </c>
    </row>
    <row r="45">
      <c r="A45" s="4" t="inlineStr">
        <is>
          <t>3.3.9</t>
        </is>
      </c>
      <c r="B45" s="4" t="inlineStr">
        <is>
          <t>Kinematics During Walking</t>
        </is>
      </c>
      <c r="C45" s="4" t="inlineStr">
        <is>
          <t>Wearable monitoring answers the real world question that laboratory gait does not.</t>
        </is>
      </c>
    </row>
    <row r="46">
      <c r="A46" s="4" t="inlineStr">
        <is>
          <t>3.3.9</t>
        </is>
      </c>
      <c r="B46" s="4" t="inlineStr">
        <is>
          <t>Kinematics During Walking</t>
        </is>
      </c>
      <c r="C46" s="4" t="inlineStr">
        <is>
          <t>No kinematic measure substitutes for whether walking is acceptable to the patient.</t>
        </is>
      </c>
    </row>
    <row r="47">
      <c r="A47" s="4" t="inlineStr">
        <is>
          <t>3.3.10</t>
        </is>
      </c>
      <c r="B47" s="4" t="inlineStr">
        <is>
          <t>Kinematics During Running</t>
        </is>
      </c>
      <c r="C47" s="4" t="inlineStr">
        <is>
          <t>Return to running is a mechanical decision, not a time based one.</t>
        </is>
      </c>
    </row>
    <row r="48">
      <c r="A48" s="4" t="inlineStr">
        <is>
          <t>3.3.10</t>
        </is>
      </c>
      <c r="B48" s="4" t="inlineStr">
        <is>
          <t>Kinematics During Running</t>
        </is>
      </c>
      <c r="C48" s="4" t="inlineStr">
        <is>
          <t>Repeated loading distinguishes running from any single cycle clinical test.</t>
        </is>
      </c>
    </row>
    <row r="49">
      <c r="A49" s="4" t="inlineStr">
        <is>
          <t>3.3.10</t>
        </is>
      </c>
      <c r="B49" s="4" t="inlineStr">
        <is>
          <t>Kinematics During Running</t>
        </is>
      </c>
      <c r="C49" s="4" t="inlineStr">
        <is>
          <t>Cumulative cycles, not peak load, drive the cartilage consequence.</t>
        </is>
      </c>
    </row>
    <row r="50">
      <c r="A50" s="4" t="inlineStr">
        <is>
          <t>3.3.10</t>
        </is>
      </c>
      <c r="B50" s="4" t="inlineStr">
        <is>
          <t>Kinematics During Running</t>
        </is>
      </c>
      <c r="C50" s="4" t="inlineStr">
        <is>
          <t>Performance tests are proxies; they do not measure joint kinematics.</t>
        </is>
      </c>
    </row>
    <row r="51">
      <c r="A51" s="4" t="inlineStr">
        <is>
          <t>3.3.10</t>
        </is>
      </c>
      <c r="B51" s="4" t="inlineStr">
        <is>
          <t>Kinematics During Running</t>
        </is>
      </c>
      <c r="C51" s="4" t="inlineStr">
        <is>
          <t>No measurement predicts an individual's tolerance.</t>
        </is>
      </c>
    </row>
    <row r="52">
      <c r="A52" s="4" t="inlineStr">
        <is>
          <t>3.3.11</t>
        </is>
      </c>
      <c r="B52" s="4" t="inlineStr">
        <is>
          <t>Kinematics During Squatting</t>
        </is>
      </c>
      <c r="C52" s="4" t="inlineStr">
        <is>
          <t>Deep flexion loads a small posterior contact area; the design question is tolerance.</t>
        </is>
      </c>
    </row>
    <row r="53">
      <c r="A53" s="4" t="inlineStr">
        <is>
          <t>3.3.11</t>
        </is>
      </c>
      <c r="B53" s="4" t="inlineStr">
        <is>
          <t>Kinematics During Squatting</t>
        </is>
      </c>
      <c r="C53" s="4" t="inlineStr">
        <is>
          <t>High flexion demand is cultural and occupational, so the goal is set per patient.</t>
        </is>
      </c>
    </row>
    <row r="54">
      <c r="A54" s="4" t="inlineStr">
        <is>
          <t>3.3.11</t>
        </is>
      </c>
      <c r="B54" s="4" t="inlineStr">
        <is>
          <t>Kinematics During Squatting</t>
        </is>
      </c>
      <c r="C54" s="4" t="inlineStr">
        <is>
          <t>Posterior condylar offset and joint line position determine achievable flexion.</t>
        </is>
      </c>
    </row>
    <row r="55">
      <c r="A55" s="4" t="inlineStr">
        <is>
          <t>3.3.11</t>
        </is>
      </c>
      <c r="B55" s="4" t="inlineStr">
        <is>
          <t>Kinematics During Squatting</t>
        </is>
      </c>
      <c r="C55" s="4" t="inlineStr">
        <is>
          <t>Retrieval analysis shows where deep flexion loading actually fell.</t>
        </is>
      </c>
    </row>
    <row r="56">
      <c r="A56" s="4" t="inlineStr">
        <is>
          <t>3.3.11</t>
        </is>
      </c>
      <c r="B56" s="4" t="inlineStr">
        <is>
          <t>Kinematics During Squatting</t>
        </is>
      </c>
      <c r="C56" s="4" t="inlineStr">
        <is>
          <t>Measured range and the ability to kneel correlate imperfectly.</t>
        </is>
      </c>
    </row>
    <row r="57">
      <c r="A57" s="4" t="inlineStr">
        <is>
          <t>3.3.12</t>
        </is>
      </c>
      <c r="B57" s="4" t="inlineStr">
        <is>
          <t>Kinematics During Stair Climbing</t>
        </is>
      </c>
      <c r="C57" s="4" t="inlineStr">
        <is>
          <t>Stair function discriminates because it needs range and eccentric control.</t>
        </is>
      </c>
    </row>
    <row r="58">
      <c r="A58" s="4" t="inlineStr">
        <is>
          <t>3.3.12</t>
        </is>
      </c>
      <c r="B58" s="4" t="inlineStr">
        <is>
          <t>Kinematics During Stair Climbing</t>
        </is>
      </c>
      <c r="C58" s="4" t="inlineStr">
        <is>
          <t>Anterior knee pain from patellofemoral overload presents on stairs.</t>
        </is>
      </c>
    </row>
    <row r="59">
      <c r="A59" s="4" t="inlineStr">
        <is>
          <t>3.3.12</t>
        </is>
      </c>
      <c r="B59" s="4" t="inlineStr">
        <is>
          <t>Kinematics During Stair Climbing</t>
        </is>
      </c>
      <c r="C59" s="4" t="inlineStr">
        <is>
          <t>Stairs expose mid flexion instability and an unfavourable contact path.</t>
        </is>
      </c>
    </row>
    <row r="60">
      <c r="A60" s="4" t="inlineStr">
        <is>
          <t>3.3.12</t>
        </is>
      </c>
      <c r="B60" s="4" t="inlineStr">
        <is>
          <t>Kinematics During Stair Climbing</t>
        </is>
      </c>
      <c r="C60" s="4" t="inlineStr">
        <is>
          <t>Fluoroscopic step up studies underlie several arthroplasty kinematic comparisons.</t>
        </is>
      </c>
    </row>
    <row r="61">
      <c r="A61" s="4" t="inlineStr">
        <is>
          <t>3.3.12</t>
        </is>
      </c>
      <c r="B61" s="4" t="inlineStr">
        <is>
          <t>Kinematics During Stair Climbing</t>
        </is>
      </c>
      <c r="C61" s="4" t="inlineStr">
        <is>
          <t>No clinical measurement separates quadriceps capacity from mechanical restriction here.</t>
        </is>
      </c>
    </row>
    <row r="62">
      <c r="A62" s="4" t="inlineStr">
        <is>
          <t>3.3.13</t>
        </is>
      </c>
      <c r="B62" s="4" t="inlineStr">
        <is>
          <t>Kinematics During Landing</t>
        </is>
      </c>
      <c r="C62" s="4" t="inlineStr">
        <is>
          <t>The pattern is associated with injury; screening an individual has limited predictive value.</t>
        </is>
      </c>
    </row>
    <row r="63">
      <c r="A63" s="4" t="inlineStr">
        <is>
          <t>3.3.13</t>
        </is>
      </c>
      <c r="B63" s="4" t="inlineStr">
        <is>
          <t>Kinematics During Landing</t>
        </is>
      </c>
      <c r="C63" s="4" t="inlineStr">
        <is>
          <t>Prevention evidence rests on injury rates rather than on measured kinematic change.</t>
        </is>
      </c>
    </row>
    <row r="64">
      <c r="A64" s="4" t="inlineStr">
        <is>
          <t>3.3.13</t>
        </is>
      </c>
      <c r="B64" s="4" t="inlineStr">
        <is>
          <t>Kinematics During Landing</t>
        </is>
      </c>
      <c r="C64" s="4" t="inlineStr">
        <is>
          <t>Asymmetrical landing kinematics persists after reconstruction with normal laxity.</t>
        </is>
      </c>
    </row>
    <row r="65">
      <c r="A65" s="4" t="inlineStr">
        <is>
          <t>3.3.13</t>
        </is>
      </c>
      <c r="B65" s="4" t="inlineStr">
        <is>
          <t>Kinematics During Landing</t>
        </is>
      </c>
      <c r="C65" s="4" t="inlineStr">
        <is>
          <t>Limb symmetry indices have a ceiling effect when both limbs deconditioned.</t>
        </is>
      </c>
    </row>
    <row r="66">
      <c r="A66" s="4" t="inlineStr">
        <is>
          <t>3.3.13</t>
        </is>
      </c>
      <c r="B66" s="4" t="inlineStr">
        <is>
          <t>Kinematics During Landing</t>
        </is>
      </c>
      <c r="C66" s="4" t="inlineStr">
        <is>
          <t>No measurement identifies the individual who will reinjure.</t>
        </is>
      </c>
    </row>
    <row r="67">
      <c r="A67" s="4" t="inlineStr">
        <is>
          <t>3.3.14</t>
        </is>
      </c>
      <c r="B67" s="4" t="inlineStr">
        <is>
          <t>Kinematics During Cutting</t>
        </is>
      </c>
      <c r="C67" s="4" t="inlineStr">
        <is>
          <t>Cutting is the task a rotationally deficient knee fails.</t>
        </is>
      </c>
    </row>
    <row r="68">
      <c r="A68" s="4" t="inlineStr">
        <is>
          <t>3.3.14</t>
        </is>
      </c>
      <c r="B68" s="4" t="inlineStr">
        <is>
          <t>Kinematics During Cutting</t>
        </is>
      </c>
      <c r="C68" s="4" t="inlineStr">
        <is>
          <t>Lateral augmentation's mechanical argument rests on the coupled rotation this task demands.</t>
        </is>
      </c>
    </row>
    <row r="69">
      <c r="A69" s="4" t="inlineStr">
        <is>
          <t>3.3.14</t>
        </is>
      </c>
      <c r="B69" s="4" t="inlineStr">
        <is>
          <t>Kinematics During Cutting</t>
        </is>
      </c>
      <c r="C69" s="4" t="inlineStr">
        <is>
          <t>Increased posterior tibial slope is identified as a graft failure risk in pivoting athletes.</t>
        </is>
      </c>
    </row>
    <row r="70">
      <c r="A70" s="4" t="inlineStr">
        <is>
          <t>3.3.14</t>
        </is>
      </c>
      <c r="B70" s="4" t="inlineStr">
        <is>
          <t>Kinematics During Cutting</t>
        </is>
      </c>
      <c r="C70" s="4" t="inlineStr">
        <is>
          <t>Instrumented pivot shift measures the relevant laxity without an agreed threshold.</t>
        </is>
      </c>
    </row>
    <row r="71">
      <c r="A71" s="4" t="inlineStr">
        <is>
          <t>3.3.14</t>
        </is>
      </c>
      <c r="B71" s="4" t="inlineStr">
        <is>
          <t>Kinematics During Cutting</t>
        </is>
      </c>
      <c r="C71" s="4" t="inlineStr">
        <is>
          <t>No clinical measurement reproduces an unanticipated sporting cut.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3.3.1-P1</t>
        </is>
      </c>
      <c r="B3" s="4" t="inlineStr">
        <is>
          <t>3.3.1</t>
        </is>
      </c>
      <c r="C3" s="4" t="inlineStr">
        <is>
          <t>mrcs</t>
        </is>
      </c>
      <c r="D3" s="4" t="inlineStr">
        <is>
          <t>State the method and the loading condition with any kinematic figure, because the same knee gives different numbers under different methods.</t>
        </is>
      </c>
      <c r="E3" s="4" t="inlineStr"/>
      <c r="F3" s="4" t="inlineStr"/>
      <c r="G3" s="4" t="inlineStr"/>
    </row>
    <row r="4">
      <c r="A4" s="4" t="inlineStr">
        <is>
          <t>3.3.1-P2</t>
        </is>
      </c>
      <c r="B4" s="4" t="inlineStr">
        <is>
          <t>3.3.1</t>
        </is>
      </c>
      <c r="C4" s="4" t="inlineStr">
        <is>
          <t>mrcs</t>
        </is>
      </c>
      <c r="D4" s="4" t="inlineStr">
        <is>
          <t>Treat a non weight bearing measurement as describing a different task from the weight bearing one, not a more convenient version of it.</t>
        </is>
      </c>
      <c r="E4" s="4" t="inlineStr"/>
      <c r="F4" s="4" t="inlineStr"/>
      <c r="G4" s="4" t="inlineStr"/>
    </row>
    <row r="5">
      <c r="A5" s="4" t="inlineStr">
        <is>
          <t>3.3.1-P3</t>
        </is>
      </c>
      <c r="B5" s="4" t="inlineStr">
        <is>
          <t>3.3.1</t>
        </is>
      </c>
      <c r="C5" s="4" t="inlineStr">
        <is>
          <t>mrcs</t>
        </is>
      </c>
      <c r="D5" s="4" t="inlineStr">
        <is>
          <t>Read a small rotational difference with the measurement error in mind before calling it a finding.</t>
        </is>
      </c>
      <c r="E5" s="4" t="inlineStr"/>
      <c r="F5" s="4" t="inlineStr"/>
      <c r="G5" s="4" t="inlineStr"/>
    </row>
    <row r="6">
      <c r="A6" s="4" t="inlineStr">
        <is>
          <t>3.3.1-P4</t>
        </is>
      </c>
      <c r="B6" s="4" t="inlineStr">
        <is>
          <t>3.3.1</t>
        </is>
      </c>
      <c r="C6" s="4" t="inlineStr">
        <is>
          <t>mrcs</t>
        </is>
      </c>
      <c r="D6" s="4" t="inlineStr">
        <is>
          <t>Use the activity pages in this chapter as the normal comparator rather than a single quoted range of motion.</t>
        </is>
      </c>
      <c r="E6" s="4" t="inlineStr"/>
      <c r="F6" s="4" t="inlineStr"/>
      <c r="G6" s="4" t="inlineStr"/>
    </row>
    <row r="7">
      <c r="A7" s="4" t="inlineStr">
        <is>
          <t>3.3.1-P5</t>
        </is>
      </c>
      <c r="B7" s="4" t="inlineStr">
        <is>
          <t>3.3.1</t>
        </is>
      </c>
      <c r="C7" s="4" t="inlineStr">
        <is>
          <t>frcs</t>
        </is>
      </c>
      <c r="D7" s="4" t="inlineStr">
        <is>
          <t>Treat kinematics as the language in which a reconstruction's aim is stated.</t>
        </is>
      </c>
      <c r="E7" s="4" t="inlineStr"/>
      <c r="F7" s="4" t="inlineStr"/>
      <c r="G7" s="4" t="inlineStr"/>
    </row>
    <row r="8">
      <c r="A8" s="4" t="inlineStr">
        <is>
          <t>3.3.1-P6</t>
        </is>
      </c>
      <c r="B8" s="4" t="inlineStr">
        <is>
          <t>3.3.1</t>
        </is>
      </c>
      <c r="C8" s="4" t="inlineStr">
        <is>
          <t>frcs</t>
        </is>
      </c>
      <c r="D8" s="4" t="inlineStr">
        <is>
          <t>Expect restored laxity without restored motion, and ask about function rather than inferring it from an instrument.</t>
        </is>
      </c>
      <c r="E8" s="4" t="inlineStr"/>
      <c r="F8" s="4" t="inlineStr"/>
      <c r="G8" s="4" t="inlineStr"/>
    </row>
    <row r="9">
      <c r="A9" s="4" t="inlineStr">
        <is>
          <t>3.3.1-P7</t>
        </is>
      </c>
      <c r="B9" s="4" t="inlineStr">
        <is>
          <t>3.3.1</t>
        </is>
      </c>
      <c r="C9" s="4" t="inlineStr">
        <is>
          <t>frcs</t>
        </is>
      </c>
      <c r="D9" s="4" t="inlineStr">
        <is>
          <t>Record the loading condition in any comparison between operated and unoperated sides.</t>
        </is>
      </c>
      <c r="E9" s="4" t="inlineStr"/>
      <c r="F9" s="4" t="inlineStr"/>
      <c r="G9" s="4" t="inlineStr"/>
    </row>
    <row r="10">
      <c r="A10" s="4" t="inlineStr">
        <is>
          <t>3.3.2-P1</t>
        </is>
      </c>
      <c r="B10" s="4" t="inlineStr">
        <is>
          <t>3.3.2</t>
        </is>
      </c>
      <c r="C10" s="4" t="inlineStr">
        <is>
          <t>mrcs</t>
        </is>
      </c>
      <c r="D10" s="4" t="inlineStr">
        <is>
          <t>Expect a cruciate deficient knee to sit and to travel differently rather than only to translate further on testing.</t>
        </is>
      </c>
      <c r="E10" s="4" t="inlineStr"/>
      <c r="F10" s="4" t="inlineStr"/>
      <c r="G10" s="4" t="inlineStr"/>
    </row>
    <row r="11">
      <c r="A11" s="4" t="inlineStr">
        <is>
          <t>3.3.2-P2</t>
        </is>
      </c>
      <c r="B11" s="4" t="inlineStr">
        <is>
          <t>3.3.2</t>
        </is>
      </c>
      <c r="C11" s="4" t="inlineStr">
        <is>
          <t>mrcs</t>
        </is>
      </c>
      <c r="D11" s="4" t="inlineStr">
        <is>
          <t>Preserve the posterior horns where possible, on the mechanical ground that they guide the contact path.</t>
        </is>
      </c>
      <c r="E11" s="4" t="inlineStr"/>
      <c r="F11" s="4" t="inlineStr"/>
      <c r="G11" s="4" t="inlineStr"/>
    </row>
    <row r="12">
      <c r="A12" s="4" t="inlineStr">
        <is>
          <t>3.3.2-P3</t>
        </is>
      </c>
      <c r="B12" s="4" t="inlineStr">
        <is>
          <t>3.3.2</t>
        </is>
      </c>
      <c r="C12" s="4" t="inlineStr">
        <is>
          <t>mrcs</t>
        </is>
      </c>
      <c r="D12" s="4" t="inlineStr">
        <is>
          <t>Read a rollback figure with its loading condition attached, since unloaded and loaded measurements differ.</t>
        </is>
      </c>
      <c r="E12" s="4" t="inlineStr"/>
      <c r="F12" s="4" t="inlineStr"/>
      <c r="G12" s="4" t="inlineStr"/>
    </row>
    <row r="13">
      <c r="A13" s="4" t="inlineStr">
        <is>
          <t>3.3.2-P4</t>
        </is>
      </c>
      <c r="B13" s="4" t="inlineStr">
        <is>
          <t>3.3.2</t>
        </is>
      </c>
      <c r="C13" s="4" t="inlineStr">
        <is>
          <t>frcs</t>
        </is>
      </c>
      <c r="D13" s="4" t="inlineStr">
        <is>
          <t>Treat rollback as a design requirement rather than a description.</t>
        </is>
      </c>
      <c r="E13" s="4" t="inlineStr"/>
      <c r="F13" s="4" t="inlineStr"/>
      <c r="G13" s="4" t="inlineStr"/>
    </row>
    <row r="14">
      <c r="A14" s="4" t="inlineStr">
        <is>
          <t>3.3.2-P5</t>
        </is>
      </c>
      <c r="B14" s="4" t="inlineStr">
        <is>
          <t>3.3.2</t>
        </is>
      </c>
      <c r="C14" s="4" t="inlineStr">
        <is>
          <t>frcs</t>
        </is>
      </c>
      <c r="D14" s="4" t="inlineStr">
        <is>
          <t>Consider paradoxical motion when a well aligned replacement gives poor deep flexion without pain.</t>
        </is>
      </c>
      <c r="E14" s="4" t="inlineStr"/>
      <c r="F14" s="4" t="inlineStr"/>
      <c r="G14" s="4" t="inlineStr"/>
    </row>
    <row r="15">
      <c r="A15" s="4" t="inlineStr">
        <is>
          <t>3.3.2-P6</t>
        </is>
      </c>
      <c r="B15" s="4" t="inlineStr">
        <is>
          <t>3.3.2</t>
        </is>
      </c>
      <c r="C15" s="4" t="inlineStr">
        <is>
          <t>frcs</t>
        </is>
      </c>
      <c r="D15" s="4" t="inlineStr">
        <is>
          <t>Address slope where it is shifting the contact path rather than treating it as an incidental measurement.</t>
        </is>
      </c>
      <c r="E15" s="4" t="inlineStr"/>
      <c r="F15" s="4" t="inlineStr"/>
      <c r="G15" s="4" t="inlineStr"/>
    </row>
    <row r="16">
      <c r="A16" s="4" t="inlineStr">
        <is>
          <t>3.3.2-P7</t>
        </is>
      </c>
      <c r="B16" s="4" t="inlineStr">
        <is>
          <t>3.3.2</t>
        </is>
      </c>
      <c r="C16" s="4" t="inlineStr">
        <is>
          <t>frcs</t>
        </is>
      </c>
      <c r="D16" s="4" t="inlineStr">
        <is>
          <t>Read a design comparison by the task its kinematics were measured in.</t>
        </is>
      </c>
      <c r="E16" s="4" t="inlineStr"/>
      <c r="F16" s="4" t="inlineStr"/>
      <c r="G16" s="4" t="inlineStr"/>
    </row>
    <row r="17">
      <c r="A17" s="4" t="inlineStr">
        <is>
          <t>3.3.3-P1</t>
        </is>
      </c>
      <c r="B17" s="4" t="inlineStr">
        <is>
          <t>3.3.3</t>
        </is>
      </c>
      <c r="C17" s="4" t="inlineStr">
        <is>
          <t>medical_student</t>
        </is>
      </c>
      <c r="D17" s="4" t="inlineStr">
        <is>
          <t>Expect a patient to compensate at the hip or the ankle when the knee cannot do its share.</t>
        </is>
      </c>
      <c r="E17" s="4" t="inlineStr"/>
      <c r="F17" s="4" t="inlineStr"/>
      <c r="G17" s="4" t="inlineStr"/>
    </row>
    <row r="18">
      <c r="A18" s="4" t="inlineStr">
        <is>
          <t>3.3.3-P2</t>
        </is>
      </c>
      <c r="B18" s="4" t="inlineStr">
        <is>
          <t>3.3.3</t>
        </is>
      </c>
      <c r="C18" s="4" t="inlineStr">
        <is>
          <t>mrcs</t>
        </is>
      </c>
      <c r="D18" s="4" t="inlineStr">
        <is>
          <t>Treat the limb as a linked chain rather than as a joint.</t>
        </is>
      </c>
      <c r="E18" s="4" t="inlineStr"/>
      <c r="F18" s="4" t="inlineStr"/>
      <c r="G18" s="4" t="inlineStr"/>
    </row>
    <row r="19">
      <c r="A19" s="4" t="inlineStr">
        <is>
          <t>3.3.3-P3</t>
        </is>
      </c>
      <c r="B19" s="4" t="inlineStr">
        <is>
          <t>3.3.3</t>
        </is>
      </c>
      <c r="C19" s="4" t="inlineStr">
        <is>
          <t>mrcs</t>
        </is>
      </c>
      <c r="D19" s="4" t="inlineStr">
        <is>
          <t>Non weight bearing laboratory data describes open chain and should not be read across, which is a frequent error in applying kinematic figures.</t>
        </is>
      </c>
      <c r="E19" s="4" t="inlineStr"/>
      <c r="F19" s="4" t="inlineStr"/>
      <c r="G19" s="4" t="inlineStr"/>
    </row>
    <row r="20">
      <c r="A20" s="4" t="inlineStr">
        <is>
          <t>3.3.3-P4</t>
        </is>
      </c>
      <c r="B20" s="4" t="inlineStr">
        <is>
          <t>3.3.3</t>
        </is>
      </c>
      <c r="C20" s="4" t="inlineStr">
        <is>
          <t>mrcs</t>
        </is>
      </c>
      <c r="D20" s="4" t="inlineStr">
        <is>
          <t>Assess the hip and the ankle when a closed chain knee task is abnormal, because the chain distributes the problem.</t>
        </is>
      </c>
      <c r="E20" s="4" t="inlineStr"/>
      <c r="F20" s="4" t="inlineStr"/>
      <c r="G20" s="4" t="inlineStr"/>
    </row>
    <row r="21">
      <c r="A21" s="4" t="inlineStr">
        <is>
          <t>3.3.3-P5</t>
        </is>
      </c>
      <c r="B21" s="4" t="inlineStr">
        <is>
          <t>3.3.3</t>
        </is>
      </c>
      <c r="C21" s="4" t="inlineStr">
        <is>
          <t>mrcs</t>
        </is>
      </c>
      <c r="D21" s="4" t="inlineStr">
        <is>
          <t>Expect ground derived rotation to reach the knee in a planted foot, which is the mechanical setting for pivoting injury.</t>
        </is>
      </c>
      <c r="E21" s="4" t="inlineStr"/>
      <c r="F21" s="4" t="inlineStr"/>
      <c r="G21" s="4" t="inlineStr"/>
    </row>
    <row r="22">
      <c r="A22" s="4" t="inlineStr">
        <is>
          <t>3.3.3-P6</t>
        </is>
      </c>
      <c r="B22" s="4" t="inlineStr">
        <is>
          <t>3.3.3</t>
        </is>
      </c>
      <c r="C22" s="4" t="inlineStr">
        <is>
          <t>mrcs</t>
        </is>
      </c>
      <c r="D22" s="4" t="inlineStr">
        <is>
          <t>Use a closed chain measurement when the question is about function and an open chain one when the question is about the knee alone.</t>
        </is>
      </c>
      <c r="E22" s="4" t="inlineStr"/>
      <c r="F22" s="4" t="inlineStr"/>
      <c r="G22" s="4" t="inlineStr"/>
    </row>
    <row r="23">
      <c r="A23" s="4" t="inlineStr">
        <is>
          <t>3.3.3-P7</t>
        </is>
      </c>
      <c r="B23" s="4" t="inlineStr">
        <is>
          <t>3.3.3</t>
        </is>
      </c>
      <c r="C23" s="4" t="inlineStr">
        <is>
          <t>mrcs</t>
        </is>
      </c>
      <c r="D23" s="4" t="inlineStr">
        <is>
          <t>State the chain whenever a range or a translation is recorded.</t>
        </is>
      </c>
      <c r="E23" s="4" t="inlineStr"/>
      <c r="F23" s="4" t="inlineStr"/>
      <c r="G23" s="4" t="inlineStr"/>
    </row>
    <row r="24">
      <c r="A24" s="4" t="inlineStr">
        <is>
          <t>3.3.3-P8</t>
        </is>
      </c>
      <c r="B24" s="4" t="inlineStr">
        <is>
          <t>3.3.3</t>
        </is>
      </c>
      <c r="C24" s="4" t="inlineStr">
        <is>
          <t>mrcs</t>
        </is>
      </c>
      <c r="D24" s="4" t="inlineStr">
        <is>
          <t>- Non weight bearing data describes open chain and should not be read across.</t>
        </is>
      </c>
      <c r="E24" s="4" t="inlineStr"/>
      <c r="F24" s="4" t="inlineStr"/>
      <c r="G24" s="4" t="inlineStr"/>
    </row>
    <row r="25">
      <c r="A25" s="4" t="inlineStr">
        <is>
          <t>3.3.3-P9</t>
        </is>
      </c>
      <c r="B25" s="4" t="inlineStr">
        <is>
          <t>3.3.3</t>
        </is>
      </c>
      <c r="C25" s="4" t="inlineStr">
        <is>
          <t>frcs</t>
        </is>
      </c>
      <c r="D25" s="4" t="inlineStr">
        <is>
          <t>Treat closed chain kinematics as the condition most surgical decisions are really about, since patients present with symptoms in standing tasks rather than in seated ones.</t>
        </is>
      </c>
      <c r="E25" s="4" t="inlineStr"/>
      <c r="F25" s="4" t="inlineStr"/>
      <c r="G25" s="4" t="inlineStr"/>
    </row>
    <row r="26">
      <c r="A26" s="4" t="inlineStr">
        <is>
          <t>3.3.3-P10</t>
        </is>
      </c>
      <c r="B26" s="4" t="inlineStr">
        <is>
          <t>3.3.3</t>
        </is>
      </c>
      <c r="C26" s="4" t="inlineStr">
        <is>
          <t>frcs</t>
        </is>
      </c>
      <c r="D26" s="4" t="inlineStr">
        <is>
          <t>Measure alignment in a standing long leg film before attributing a closed chain symptom to the soft tissues alone.</t>
        </is>
      </c>
      <c r="E26" s="4" t="inlineStr"/>
      <c r="F26" s="4" t="inlineStr"/>
      <c r="G26" s="4" t="inlineStr"/>
    </row>
    <row r="27">
      <c r="A27" s="4" t="inlineStr">
        <is>
          <t>3.3.3-P11</t>
        </is>
      </c>
      <c r="B27" s="4" t="inlineStr">
        <is>
          <t>3.3.3</t>
        </is>
      </c>
      <c r="C27" s="4" t="inlineStr">
        <is>
          <t>frcs</t>
        </is>
      </c>
      <c r="D27" s="4" t="inlineStr">
        <is>
          <t>Expect compensation to mask a deficit in a kinematic record, and read the record alongside the examination.</t>
        </is>
      </c>
      <c r="E27" s="4" t="inlineStr"/>
      <c r="F27" s="4" t="inlineStr"/>
      <c r="G27" s="4" t="inlineStr"/>
    </row>
    <row r="28">
      <c r="A28" s="4" t="inlineStr">
        <is>
          <t>3.3.3-P12</t>
        </is>
      </c>
      <c r="B28" s="4" t="inlineStr">
        <is>
          <t>3.3.3</t>
        </is>
      </c>
      <c r="C28" s="4" t="inlineStr">
        <is>
          <t>frcs</t>
        </is>
      </c>
      <c r="D28" s="4" t="inlineStr">
        <is>
          <t>Consider adjacent joint pathology as a cause of knee overload rather than only as a comorbidity.</t>
        </is>
      </c>
      <c r="E28" s="4" t="inlineStr"/>
      <c r="F28" s="4" t="inlineStr"/>
      <c r="G28" s="4" t="inlineStr"/>
    </row>
    <row r="29">
      <c r="A29" s="4" t="inlineStr">
        <is>
          <t>3.3.3-P13</t>
        </is>
      </c>
      <c r="B29" s="4" t="inlineStr">
        <is>
          <t>3.3.3</t>
        </is>
      </c>
      <c r="C29" s="4" t="inlineStr">
        <is>
          <t>frcs</t>
        </is>
      </c>
      <c r="D29" s="4" t="inlineStr">
        <is>
          <t>Set rehabilitation goals in the chain the patient's symptoms occur in.</t>
        </is>
      </c>
      <c r="E29" s="4" t="inlineStr"/>
      <c r="F29" s="4" t="inlineStr"/>
      <c r="G29" s="4" t="inlineStr"/>
    </row>
    <row r="30">
      <c r="A30" s="4" t="inlineStr">
        <is>
          <t>3.3.4-P1</t>
        </is>
      </c>
      <c r="B30" s="4" t="inlineStr">
        <is>
          <t>3.3.4</t>
        </is>
      </c>
      <c r="C30" s="4" t="inlineStr">
        <is>
          <t>mrcs</t>
        </is>
      </c>
      <c r="D30" s="4" t="inlineStr">
        <is>
          <t>Record the hip position when measuring open chain range or strength, since the two joint muscles change the answer.</t>
        </is>
      </c>
      <c r="E30" s="4" t="inlineStr"/>
      <c r="F30" s="4" t="inlineStr"/>
      <c r="G30" s="4" t="inlineStr"/>
    </row>
    <row r="31">
      <c r="A31" s="4" t="inlineStr">
        <is>
          <t>3.3.4-P2</t>
        </is>
      </c>
      <c r="B31" s="4" t="inlineStr">
        <is>
          <t>3.3.4</t>
        </is>
      </c>
      <c r="C31" s="4" t="inlineStr">
        <is>
          <t>mrcs</t>
        </is>
      </c>
      <c r="D31" s="4" t="inlineStr">
        <is>
          <t>Expect guarding to reduce the measured laxity, and plan around the larger figure from examination under anaesthetic.</t>
        </is>
      </c>
      <c r="E31" s="4" t="inlineStr"/>
      <c r="F31" s="4" t="inlineStr"/>
      <c r="G31" s="4" t="inlineStr"/>
    </row>
    <row r="32">
      <c r="A32" s="4" t="inlineStr">
        <is>
          <t>3.3.4-P3</t>
        </is>
      </c>
      <c r="B32" s="4" t="inlineStr">
        <is>
          <t>3.3.4</t>
        </is>
      </c>
      <c r="C32" s="4" t="inlineStr">
        <is>
          <t>mrcs</t>
        </is>
      </c>
      <c r="D32" s="4" t="inlineStr">
        <is>
          <t>Treat an effusion as a cause of an altered range before attributing the range to a structure.</t>
        </is>
      </c>
      <c r="E32" s="4" t="inlineStr"/>
      <c r="F32" s="4" t="inlineStr"/>
      <c r="G32" s="4" t="inlineStr"/>
    </row>
    <row r="33">
      <c r="A33" s="4" t="inlineStr">
        <is>
          <t>3.3.4-P4</t>
        </is>
      </c>
      <c r="B33" s="4" t="inlineStr">
        <is>
          <t>3.3.4</t>
        </is>
      </c>
      <c r="C33" s="4" t="inlineStr">
        <is>
          <t>mrcs</t>
        </is>
      </c>
      <c r="D33" s="4" t="inlineStr">
        <is>
          <t>Keep open chain and closed chain figures in separate columns rather than combining them into one range.</t>
        </is>
      </c>
      <c r="E33" s="4" t="inlineStr"/>
      <c r="F33" s="4" t="inlineStr"/>
      <c r="G33" s="4" t="inlineStr"/>
    </row>
    <row r="34">
      <c r="A34" s="4" t="inlineStr">
        <is>
          <t>3.3.4-P5</t>
        </is>
      </c>
      <c r="B34" s="4" t="inlineStr">
        <is>
          <t>3.3.4</t>
        </is>
      </c>
      <c r="C34" s="4" t="inlineStr">
        <is>
          <t>frcs</t>
        </is>
      </c>
      <c r="D34" s="4" t="inlineStr">
        <is>
          <t>Treat the open chain measurement as a structural question and the closed chain one as a functional question, then expect them to disagree in the patients who are difficult.</t>
        </is>
      </c>
      <c r="E34" s="4" t="inlineStr"/>
      <c r="F34" s="4" t="inlineStr"/>
      <c r="G34" s="4" t="inlineStr"/>
    </row>
    <row r="35">
      <c r="A35" s="4" t="inlineStr">
        <is>
          <t>3.3.4-P6</t>
        </is>
      </c>
      <c r="B35" s="4" t="inlineStr">
        <is>
          <t>3.3.4</t>
        </is>
      </c>
      <c r="C35" s="4" t="inlineStr">
        <is>
          <t>frcs</t>
        </is>
      </c>
      <c r="D35" s="4" t="inlineStr">
        <is>
          <t>Measure under anaesthetic when the structural question decides the operation.</t>
        </is>
      </c>
      <c r="E35" s="4" t="inlineStr"/>
      <c r="F35" s="4" t="inlineStr"/>
      <c r="G35" s="4" t="inlineStr"/>
    </row>
    <row r="36">
      <c r="A36" s="4" t="inlineStr">
        <is>
          <t>3.3.4-P7</t>
        </is>
      </c>
      <c r="B36" s="4" t="inlineStr">
        <is>
          <t>3.3.4</t>
        </is>
      </c>
      <c r="C36" s="4" t="inlineStr">
        <is>
          <t>frcs</t>
        </is>
      </c>
      <c r="D36" s="4" t="inlineStr">
        <is>
          <t>Expect a tight open chain measurement to coexist with closed chain symptoms, and counsel accordingly.</t>
        </is>
      </c>
      <c r="E36" s="4" t="inlineStr"/>
      <c r="F36" s="4" t="inlineStr"/>
      <c r="G36" s="4" t="inlineStr"/>
    </row>
    <row r="37">
      <c r="A37" s="4" t="inlineStr">
        <is>
          <t>3.3.4-P8</t>
        </is>
      </c>
      <c r="B37" s="4" t="inlineStr">
        <is>
          <t>3.3.4</t>
        </is>
      </c>
      <c r="C37" s="4" t="inlineStr">
        <is>
          <t>frcs</t>
        </is>
      </c>
      <c r="D37" s="4" t="inlineStr">
        <is>
          <t>Stage rehabilitation by the range at which each chain loads the graft rather than by time alone.</t>
        </is>
      </c>
      <c r="E37" s="4" t="inlineStr"/>
      <c r="F37" s="4" t="inlineStr"/>
      <c r="G37" s="4" t="inlineStr"/>
    </row>
    <row r="38">
      <c r="A38" s="4" t="inlineStr">
        <is>
          <t>3.3.4-P9</t>
        </is>
      </c>
      <c r="B38" s="4" t="inlineStr">
        <is>
          <t>3.3.4</t>
        </is>
      </c>
      <c r="C38" s="4" t="inlineStr">
        <is>
          <t>frcs</t>
        </is>
      </c>
      <c r="D38" s="4" t="inlineStr">
        <is>
          <t>Avoid treating a small arthrometer difference as a finding without the instrument's limit of agreement in mind.</t>
        </is>
      </c>
      <c r="E38" s="4" t="inlineStr"/>
      <c r="F38" s="4" t="inlineStr"/>
      <c r="G38" s="4" t="inlineStr"/>
    </row>
    <row r="39">
      <c r="A39" s="4" t="inlineStr">
        <is>
          <t>3.3.5-P1</t>
        </is>
      </c>
      <c r="B39" s="4" t="inlineStr">
        <is>
          <t>3.3.5</t>
        </is>
      </c>
      <c r="C39" s="4" t="inlineStr">
        <is>
          <t>mrcs</t>
        </is>
      </c>
      <c r="D39" s="4" t="inlineStr">
        <is>
          <t>Protect and restore full extension after any knee injury or operation, because the locking position depends on the last few degrees.</t>
        </is>
      </c>
      <c r="E39" s="4" t="inlineStr"/>
      <c r="F39" s="4" t="inlineStr"/>
      <c r="G39" s="4" t="inlineStr"/>
    </row>
    <row r="40">
      <c r="A40" s="4" t="inlineStr">
        <is>
          <t>3.3.5-P2</t>
        </is>
      </c>
      <c r="B40" s="4" t="inlineStr">
        <is>
          <t>3.3.5</t>
        </is>
      </c>
      <c r="C40" s="4" t="inlineStr">
        <is>
          <t>mrcs</t>
        </is>
      </c>
      <c r="D40" s="4" t="inlineStr">
        <is>
          <t>Expect a knee that cannot fully extend to fatigue the quadriceps in standing, and treat the extension rather than the muscle.</t>
        </is>
      </c>
      <c r="E40" s="4" t="inlineStr"/>
      <c r="F40" s="4" t="inlineStr"/>
      <c r="G40" s="4" t="inlineStr"/>
    </row>
    <row r="41">
      <c r="A41" s="4" t="inlineStr">
        <is>
          <t>3.3.5-P3</t>
        </is>
      </c>
      <c r="B41" s="4" t="inlineStr">
        <is>
          <t>3.3.5</t>
        </is>
      </c>
      <c r="C41" s="4" t="inlineStr">
        <is>
          <t>mrcs</t>
        </is>
      </c>
      <c r="D41" s="4" t="inlineStr">
        <is>
          <t>Avoid quoting terminal rotation as a precise figure, since the published range is wide relative to the quantity.</t>
        </is>
      </c>
      <c r="E41" s="4" t="inlineStr"/>
      <c r="F41" s="4" t="inlineStr"/>
      <c r="G41" s="4" t="inlineStr"/>
    </row>
    <row r="42">
      <c r="A42" s="4" t="inlineStr">
        <is>
          <t>3.3.5-P4</t>
        </is>
      </c>
      <c r="B42" s="4" t="inlineStr">
        <is>
          <t>3.3.5</t>
        </is>
      </c>
      <c r="C42" s="4" t="inlineStr">
        <is>
          <t>frcs</t>
        </is>
      </c>
      <c r="D42" s="4" t="inlineStr">
        <is>
          <t>Treat terminal extension as a design and a technical target.</t>
        </is>
      </c>
      <c r="E42" s="4" t="inlineStr"/>
      <c r="F42" s="4" t="inlineStr"/>
      <c r="G42" s="4" t="inlineStr"/>
    </row>
    <row r="43">
      <c r="A43" s="4" t="inlineStr">
        <is>
          <t>3.3.5-P5</t>
        </is>
      </c>
      <c r="B43" s="4" t="inlineStr">
        <is>
          <t>3.3.5</t>
        </is>
      </c>
      <c r="C43" s="4" t="inlineStr">
        <is>
          <t>frcs</t>
        </is>
      </c>
      <c r="D43" s="4" t="inlineStr">
        <is>
          <t>Place the femoral tunnel to allow terminal extension, and check it on the table.</t>
        </is>
      </c>
      <c r="E43" s="4" t="inlineStr"/>
      <c r="F43" s="4" t="inlineStr"/>
      <c r="G43" s="4" t="inlineStr"/>
    </row>
    <row r="44">
      <c r="A44" s="4" t="inlineStr">
        <is>
          <t>3.3.5-P6</t>
        </is>
      </c>
      <c r="B44" s="4" t="inlineStr">
        <is>
          <t>3.3.5</t>
        </is>
      </c>
      <c r="C44" s="4" t="inlineStr">
        <is>
          <t>frcs</t>
        </is>
      </c>
      <c r="D44" s="4" t="inlineStr">
        <is>
          <t>Consider component rotation when a replaced knee loses terminal extension without mechanical obstruction.</t>
        </is>
      </c>
      <c r="E44" s="4" t="inlineStr"/>
      <c r="F44" s="4" t="inlineStr"/>
      <c r="G44" s="4" t="inlineStr"/>
    </row>
    <row r="45">
      <c r="A45" s="4" t="inlineStr">
        <is>
          <t>3.3.6-P1</t>
        </is>
      </c>
      <c r="B45" s="4" t="inlineStr">
        <is>
          <t>3.3.6</t>
        </is>
      </c>
      <c r="C45" s="4" t="inlineStr">
        <is>
          <t>mrcs</t>
        </is>
      </c>
      <c r="D45" s="4" t="inlineStr">
        <is>
          <t>Treat the popliteus as a rotator with a flexion component rather than as a flexor, and its clinical significance follows from the first description.</t>
        </is>
      </c>
      <c r="E45" s="4" t="inlineStr"/>
      <c r="F45" s="4" t="inlineStr"/>
      <c r="G45" s="4" t="inlineStr"/>
    </row>
    <row r="46">
      <c r="A46" s="4" t="inlineStr">
        <is>
          <t>3.3.6-P2</t>
        </is>
      </c>
      <c r="B46" s="4" t="inlineStr">
        <is>
          <t>3.3.6</t>
        </is>
      </c>
      <c r="C46" s="4" t="inlineStr">
        <is>
          <t>mrcs</t>
        </is>
      </c>
      <c r="D46" s="4" t="inlineStr">
        <is>
          <t>Assess rotation at 30 degrees when a posterolateral injury is suspected, since that is where the complex is the restraint.</t>
        </is>
      </c>
      <c r="E46" s="4" t="inlineStr"/>
      <c r="F46" s="4" t="inlineStr"/>
      <c r="G46" s="4" t="inlineStr"/>
    </row>
    <row r="47">
      <c r="A47" s="4" t="inlineStr">
        <is>
          <t>3.3.6-P3</t>
        </is>
      </c>
      <c r="B47" s="4" t="inlineStr">
        <is>
          <t>3.3.6</t>
        </is>
      </c>
      <c r="C47" s="4" t="inlineStr">
        <is>
          <t>mrcs</t>
        </is>
      </c>
      <c r="D47" s="4" t="inlineStr">
        <is>
          <t>Expect a corner injury to affect the initiation of flexion as well as rotational stability.</t>
        </is>
      </c>
      <c r="E47" s="4" t="inlineStr"/>
      <c r="F47" s="4" t="inlineStr"/>
      <c r="G47" s="4" t="inlineStr"/>
    </row>
    <row r="48">
      <c r="A48" s="4" t="inlineStr">
        <is>
          <t>3.3.6-P4</t>
        </is>
      </c>
      <c r="B48" s="4" t="inlineStr">
        <is>
          <t>3.3.6</t>
        </is>
      </c>
      <c r="C48" s="4" t="inlineStr">
        <is>
          <t>mrcs</t>
        </is>
      </c>
      <c r="D48" s="4" t="inlineStr">
        <is>
          <t>Consider the popliteomeniscal fascicles when a lateral meniscus is hypermobile without a tear.</t>
        </is>
      </c>
      <c r="E48" s="4" t="inlineStr"/>
      <c r="F48" s="4" t="inlineStr"/>
      <c r="G48" s="4" t="inlineStr"/>
    </row>
    <row r="49">
      <c r="A49" s="4" t="inlineStr">
        <is>
          <t>3.3.6-P5</t>
        </is>
      </c>
      <c r="B49" s="4" t="inlineStr">
        <is>
          <t>3.3.6</t>
        </is>
      </c>
      <c r="C49" s="4" t="inlineStr">
        <is>
          <t>mrcs</t>
        </is>
      </c>
      <c r="D49" s="4" t="inlineStr">
        <is>
          <t>Avoid attributing a rotational finding to the popliteus alone, since no clinical test isolates it.</t>
        </is>
      </c>
      <c r="E49" s="4" t="inlineStr"/>
      <c r="F49" s="4" t="inlineStr"/>
      <c r="G49" s="4" t="inlineStr"/>
    </row>
    <row r="50">
      <c r="A50" s="4" t="inlineStr">
        <is>
          <t>3.3.6-P6</t>
        </is>
      </c>
      <c r="B50" s="4" t="inlineStr">
        <is>
          <t>3.3.6</t>
        </is>
      </c>
      <c r="C50" s="4" t="inlineStr">
        <is>
          <t>frcs</t>
        </is>
      </c>
      <c r="D50" s="4" t="inlineStr">
        <is>
          <t>Treat the popliteus complex as a reconstruction target rather than as a muscle to be noted.</t>
        </is>
      </c>
      <c r="E50" s="4" t="inlineStr"/>
      <c r="F50" s="4" t="inlineStr"/>
      <c r="G50" s="4" t="inlineStr"/>
    </row>
    <row r="51">
      <c r="A51" s="4" t="inlineStr">
        <is>
          <t>3.3.6-P7</t>
        </is>
      </c>
      <c r="B51" s="4" t="inlineStr">
        <is>
          <t>3.3.6</t>
        </is>
      </c>
      <c r="C51" s="4" t="inlineStr">
        <is>
          <t>frcs</t>
        </is>
      </c>
      <c r="D51" s="4" t="inlineStr">
        <is>
          <t>Conventional teaching holds that anatomic posterolateral reconstruction should address the popliteus tendon, the popliteofibular ligament and the lateral collateral ligament rather than a subset.</t>
        </is>
      </c>
      <c r="E51" s="4" t="inlineStr"/>
      <c r="F51" s="4" t="inlineStr"/>
      <c r="G51" s="4" t="inlineStr"/>
    </row>
    <row r="52">
      <c r="A52" s="4" t="inlineStr">
        <is>
          <t>3.3.6-P8</t>
        </is>
      </c>
      <c r="B52" s="4" t="inlineStr">
        <is>
          <t>3.3.6</t>
        </is>
      </c>
      <c r="C52" s="4" t="inlineStr">
        <is>
          <t>frcs</t>
        </is>
      </c>
      <c r="D52" s="4" t="inlineStr">
        <is>
          <t>Examine the posterolateral corner in every cruciate injury, since missing it fails the graft.</t>
        </is>
      </c>
      <c r="E52" s="4" t="inlineStr"/>
      <c r="F52" s="4" t="inlineStr"/>
      <c r="G52" s="4" t="inlineStr"/>
    </row>
    <row r="53">
      <c r="A53" s="4" t="inlineStr">
        <is>
          <t>3.3.6-P9</t>
        </is>
      </c>
      <c r="B53" s="4" t="inlineStr">
        <is>
          <t>3.3.6</t>
        </is>
      </c>
      <c r="C53" s="4" t="inlineStr">
        <is>
          <t>frcs</t>
        </is>
      </c>
      <c r="D53" s="4" t="inlineStr">
        <is>
          <t>Address varus alignment before or with a corner reconstruction in a varus limb.</t>
        </is>
      </c>
      <c r="E53" s="4" t="inlineStr"/>
      <c r="F53" s="4" t="inlineStr"/>
      <c r="G53" s="4" t="inlineStr"/>
    </row>
    <row r="54">
      <c r="A54" s="4" t="inlineStr">
        <is>
          <t>3.3.7-P1</t>
        </is>
      </c>
      <c r="B54" s="4" t="inlineStr">
        <is>
          <t>3.3.7</t>
        </is>
      </c>
      <c r="C54" s="4" t="inlineStr">
        <is>
          <t>mrcs</t>
        </is>
      </c>
      <c r="D54" s="4" t="inlineStr">
        <is>
          <t>Use the epicondylar axis as the working approximation in surgery and keep its approximate status in mind.</t>
        </is>
      </c>
      <c r="E54" s="4" t="inlineStr"/>
      <c r="F54" s="4" t="inlineStr"/>
      <c r="G54" s="4" t="inlineStr"/>
    </row>
    <row r="55">
      <c r="A55" s="4" t="inlineStr">
        <is>
          <t>3.3.7-P2</t>
        </is>
      </c>
      <c r="B55" s="4" t="inlineStr">
        <is>
          <t>3.3.7</t>
        </is>
      </c>
      <c r="C55" s="4" t="inlineStr">
        <is>
          <t>mrcs</t>
        </is>
      </c>
      <c r="D55" s="4" t="inlineStr">
        <is>
          <t>Expect a single axis brace or external fixator spanning the knee to fit the limb imperfectly through range.</t>
        </is>
      </c>
      <c r="E55" s="4" t="inlineStr"/>
      <c r="F55" s="4" t="inlineStr"/>
      <c r="G55" s="4" t="inlineStr"/>
    </row>
    <row r="56">
      <c r="A56" s="4" t="inlineStr">
        <is>
          <t>3.3.7-P3</t>
        </is>
      </c>
      <c r="B56" s="4" t="inlineStr">
        <is>
          <t>3.3.7</t>
        </is>
      </c>
      <c r="C56" s="4" t="inlineStr">
        <is>
          <t>mrcs</t>
        </is>
      </c>
      <c r="D56" s="4" t="inlineStr">
        <is>
          <t>Read a published centrode with its angular increment and its method attached.</t>
        </is>
      </c>
      <c r="E56" s="4" t="inlineStr"/>
      <c r="F56" s="4" t="inlineStr"/>
      <c r="G56" s="4" t="inlineStr"/>
    </row>
    <row r="57">
      <c r="A57" s="4" t="inlineStr">
        <is>
          <t>3.3.7-P4</t>
        </is>
      </c>
      <c r="B57" s="4" t="inlineStr">
        <is>
          <t>3.3.7</t>
        </is>
      </c>
      <c r="C57" s="4" t="inlineStr">
        <is>
          <t>frcs</t>
        </is>
      </c>
      <c r="D57" s="4" t="inlineStr">
        <is>
          <t>Treat the centrode as the design variable that single radius and multi radius implants disagree about.</t>
        </is>
      </c>
      <c r="E57" s="4" t="inlineStr"/>
      <c r="F57" s="4" t="inlineStr"/>
      <c r="G57" s="4" t="inlineStr"/>
    </row>
    <row r="58">
      <c r="A58" s="4" t="inlineStr">
        <is>
          <t>3.3.7-P5</t>
        </is>
      </c>
      <c r="B58" s="4" t="inlineStr">
        <is>
          <t>3.3.7</t>
        </is>
      </c>
      <c r="C58" s="4" t="inlineStr">
        <is>
          <t>frcs</t>
        </is>
      </c>
      <c r="D58" s="4" t="inlineStr">
        <is>
          <t>Set a hinged external fixator's axis to the epicondylar line, since an off axis hinge translates the joint through range.</t>
        </is>
      </c>
      <c r="E58" s="4" t="inlineStr"/>
      <c r="F58" s="4" t="inlineStr"/>
      <c r="G58" s="4" t="inlineStr"/>
    </row>
    <row r="59">
      <c r="A59" s="4" t="inlineStr">
        <is>
          <t>3.3.7-P6</t>
        </is>
      </c>
      <c r="B59" s="4" t="inlineStr">
        <is>
          <t>3.3.7</t>
        </is>
      </c>
      <c r="C59" s="4" t="inlineStr">
        <is>
          <t>frcs</t>
        </is>
      </c>
      <c r="D59" s="4" t="inlineStr">
        <is>
          <t>Expect deep flexion behaviour to differ between single and multi radius designs on kinematic grounds.</t>
        </is>
      </c>
      <c r="E59" s="4" t="inlineStr"/>
      <c r="F59" s="4" t="inlineStr"/>
      <c r="G59" s="4" t="inlineStr"/>
    </row>
    <row r="60">
      <c r="A60" s="4" t="inlineStr">
        <is>
          <t>3.3.7-P7</t>
        </is>
      </c>
      <c r="B60" s="4" t="inlineStr">
        <is>
          <t>3.3.7</t>
        </is>
      </c>
      <c r="C60" s="4" t="inlineStr">
        <is>
          <t>frcs</t>
        </is>
      </c>
      <c r="D60" s="4" t="inlineStr">
        <is>
          <t>Consider component position before design when a replaced knee's motion is wrong.</t>
        </is>
      </c>
      <c r="E60" s="4" t="inlineStr"/>
      <c r="F60" s="4" t="inlineStr"/>
      <c r="G60" s="4" t="inlineStr"/>
    </row>
    <row r="61">
      <c r="A61" s="4" t="inlineStr">
        <is>
          <t>3.3.7-P8</t>
        </is>
      </c>
      <c r="B61" s="4" t="inlineStr">
        <is>
          <t>3.3.7</t>
        </is>
      </c>
      <c r="C61" s="4" t="inlineStr">
        <is>
          <t>frcs</t>
        </is>
      </c>
      <c r="D61" s="4" t="inlineStr">
        <is>
          <t>Keep intraoperative axis measurement distinct from the functioning knee's behaviour.</t>
        </is>
      </c>
      <c r="E61" s="4" t="inlineStr"/>
      <c r="F61" s="4" t="inlineStr"/>
      <c r="G61" s="4" t="inlineStr"/>
    </row>
    <row r="62">
      <c r="A62" s="4" t="inlineStr">
        <is>
          <t>3.3.8-P1</t>
        </is>
      </c>
      <c r="B62" s="4" t="inlineStr">
        <is>
          <t>3.3.8</t>
        </is>
      </c>
      <c r="C62" s="4" t="inlineStr">
        <is>
          <t>medical_student</t>
        </is>
      </c>
      <c r="D62" s="4" t="inlineStr">
        <is>
          <t>Expect symptoms to be angle specific.</t>
        </is>
      </c>
      <c r="E62" s="4" t="inlineStr"/>
      <c r="F62" s="4" t="inlineStr"/>
      <c r="G62" s="4" t="inlineStr"/>
    </row>
    <row r="63">
      <c r="A63" s="4" t="inlineStr">
        <is>
          <t>3.3.8-P2</t>
        </is>
      </c>
      <c r="B63" s="4" t="inlineStr">
        <is>
          <t>3.3.8</t>
        </is>
      </c>
      <c r="C63" s="4" t="inlineStr">
        <is>
          <t>mrcs</t>
        </is>
      </c>
      <c r="D63" s="4" t="inlineStr">
        <is>
          <t>Examine at 0, 30 and 90 degrees deliberately, because each samples a different restraint set.</t>
        </is>
      </c>
      <c r="E63" s="4" t="inlineStr"/>
      <c r="F63" s="4" t="inlineStr"/>
      <c r="G63" s="4" t="inlineStr"/>
    </row>
    <row r="64">
      <c r="A64" s="4" t="inlineStr">
        <is>
          <t>3.3.8-P3</t>
        </is>
      </c>
      <c r="B64" s="4" t="inlineStr">
        <is>
          <t>3.3.8</t>
        </is>
      </c>
      <c r="C64" s="4" t="inlineStr">
        <is>
          <t>mrcs</t>
        </is>
      </c>
      <c r="D64" s="4" t="inlineStr">
        <is>
          <t>Expect a finding to be present at one angle and absent at another, and record the angle rather than the finding alone.</t>
        </is>
      </c>
      <c r="E64" s="4" t="inlineStr"/>
      <c r="F64" s="4" t="inlineStr"/>
      <c r="G64" s="4" t="inlineStr"/>
    </row>
    <row r="65">
      <c r="A65" s="4" t="inlineStr">
        <is>
          <t>3.3.8-P4</t>
        </is>
      </c>
      <c r="B65" s="4" t="inlineStr">
        <is>
          <t>3.3.8</t>
        </is>
      </c>
      <c r="C65" s="4" t="inlineStr">
        <is>
          <t>mrcs</t>
        </is>
      </c>
      <c r="D65" s="4" t="inlineStr">
        <is>
          <t>Read a graft's behaviour as angle dependent, since the bundles tighten at different angles.</t>
        </is>
      </c>
      <c r="E65" s="4" t="inlineStr"/>
      <c r="F65" s="4" t="inlineStr"/>
      <c r="G65" s="4" t="inlineStr"/>
    </row>
    <row r="66">
      <c r="A66" s="4" t="inlineStr">
        <is>
          <t>3.3.8-P5</t>
        </is>
      </c>
      <c r="B66" s="4" t="inlineStr">
        <is>
          <t>3.3.8</t>
        </is>
      </c>
      <c r="C66" s="4" t="inlineStr">
        <is>
          <t>mrcs</t>
        </is>
      </c>
      <c r="D66" s="4" t="inlineStr">
        <is>
          <t>Consider deep flexion loading in a patient whose symptoms appear only at the end of range.</t>
        </is>
      </c>
      <c r="E66" s="4" t="inlineStr"/>
      <c r="F66" s="4" t="inlineStr"/>
      <c r="G66" s="4" t="inlineStr"/>
    </row>
    <row r="67">
      <c r="A67" s="4" t="inlineStr">
        <is>
          <t>3.3.8-P6</t>
        </is>
      </c>
      <c r="B67" s="4" t="inlineStr">
        <is>
          <t>3.3.8</t>
        </is>
      </c>
      <c r="C67" s="4" t="inlineStr">
        <is>
          <t>frcs</t>
        </is>
      </c>
      <c r="D67" s="4" t="inlineStr">
        <is>
          <t>Treat mid flexion as the zone where reconstructions and replacements fail quietly.</t>
        </is>
      </c>
      <c r="E67" s="4" t="inlineStr"/>
      <c r="F67" s="4" t="inlineStr"/>
      <c r="G67" s="4" t="inlineStr"/>
    </row>
    <row r="68">
      <c r="A68" s="4" t="inlineStr">
        <is>
          <t>3.3.8-P7</t>
        </is>
      </c>
      <c r="B68" s="4" t="inlineStr">
        <is>
          <t>3.3.8</t>
        </is>
      </c>
      <c r="C68" s="4" t="inlineStr">
        <is>
          <t>frcs</t>
        </is>
      </c>
      <c r="D68" s="4" t="inlineStr">
        <is>
          <t>Check gaps through mid flexion rather than at extension and 90 degrees alone.</t>
        </is>
      </c>
      <c r="E68" s="4" t="inlineStr"/>
      <c r="F68" s="4" t="inlineStr"/>
      <c r="G68" s="4" t="inlineStr"/>
    </row>
    <row r="69">
      <c r="A69" s="4" t="inlineStr">
        <is>
          <t>3.3.8-P8</t>
        </is>
      </c>
      <c r="B69" s="4" t="inlineStr">
        <is>
          <t>3.3.8</t>
        </is>
      </c>
      <c r="C69" s="4" t="inlineStr">
        <is>
          <t>frcs</t>
        </is>
      </c>
      <c r="D69" s="4" t="inlineStr">
        <is>
          <t>Restore the joint line, since shifting it changes ligament tension through the whole arc.</t>
        </is>
      </c>
      <c r="E69" s="4" t="inlineStr"/>
      <c r="F69" s="4" t="inlineStr"/>
      <c r="G69" s="4" t="inlineStr"/>
    </row>
    <row r="70">
      <c r="A70" s="4" t="inlineStr">
        <is>
          <t>3.3.9-P1</t>
        </is>
      </c>
      <c r="B70" s="4" t="inlineStr">
        <is>
          <t>3.3.9</t>
        </is>
      </c>
      <c r="C70" s="4" t="inlineStr">
        <is>
          <t>mrcs</t>
        </is>
      </c>
      <c r="D70" s="4" t="inlineStr">
        <is>
          <t>Expect normal walking in a knee with significant pathology, because the task is undemanding.</t>
        </is>
      </c>
      <c r="E70" s="4" t="inlineStr"/>
      <c r="F70" s="4" t="inlineStr"/>
      <c r="G70" s="4" t="inlineStr"/>
    </row>
    <row r="71">
      <c r="A71" s="4" t="inlineStr">
        <is>
          <t>3.3.9-P2</t>
        </is>
      </c>
      <c r="B71" s="4" t="inlineStr">
        <is>
          <t>3.3.9</t>
        </is>
      </c>
      <c r="C71" s="4" t="inlineStr">
        <is>
          <t>mrcs</t>
        </is>
      </c>
      <c r="D71" s="4" t="inlineStr">
        <is>
          <t>Read coronal and transverse gait quantities with the measurement error in mind.</t>
        </is>
      </c>
      <c r="E71" s="4" t="inlineStr"/>
      <c r="F71" s="4" t="inlineStr"/>
      <c r="G71" s="4" t="inlineStr"/>
    </row>
    <row r="72">
      <c r="A72" s="4" t="inlineStr">
        <is>
          <t>3.3.9-P3</t>
        </is>
      </c>
      <c r="B72" s="4" t="inlineStr">
        <is>
          <t>3.3.9</t>
        </is>
      </c>
      <c r="C72" s="4" t="inlineStr">
        <is>
          <t>frcs</t>
        </is>
      </c>
      <c r="D72" s="4" t="inlineStr">
        <is>
          <t>Treat gait kinematics as the task most patients judge an operation by, and as a weak discriminator between constructs, since walking demands little of the knee.</t>
        </is>
      </c>
      <c r="E72" s="4" t="inlineStr"/>
      <c r="F72" s="4" t="inlineStr"/>
      <c r="G72" s="4" t="inlineStr"/>
    </row>
    <row r="73">
      <c r="A73" s="4" t="inlineStr">
        <is>
          <t>3.3.9-P4</t>
        </is>
      </c>
      <c r="B73" s="4" t="inlineStr">
        <is>
          <t>3.3.9</t>
        </is>
      </c>
      <c r="C73" s="4" t="inlineStr">
        <is>
          <t>frcs</t>
        </is>
      </c>
      <c r="D73" s="4" t="inlineStr">
        <is>
          <t>Use gait as the patient's benchmark and not as the test that separates two constructs.</t>
        </is>
      </c>
      <c r="E73" s="4" t="inlineStr"/>
      <c r="F73" s="4" t="inlineStr"/>
      <c r="G73" s="4" t="inlineStr"/>
    </row>
    <row r="74">
      <c r="A74" s="4" t="inlineStr">
        <is>
          <t>3.3.9-P5</t>
        </is>
      </c>
      <c r="B74" s="4" t="inlineStr">
        <is>
          <t>3.3.9</t>
        </is>
      </c>
      <c r="C74" s="4" t="inlineStr">
        <is>
          <t>frcs</t>
        </is>
      </c>
      <c r="D74" s="4" t="inlineStr">
        <is>
          <t>Measure or estimate the adduction moment when alignment is the question rather than relying on sagittal kinematics.</t>
        </is>
      </c>
      <c r="E74" s="4" t="inlineStr"/>
      <c r="F74" s="4" t="inlineStr"/>
      <c r="G74" s="4" t="inlineStr"/>
    </row>
    <row r="75">
      <c r="A75" s="4" t="inlineStr">
        <is>
          <t>3.3.9-P6</t>
        </is>
      </c>
      <c r="B75" s="4" t="inlineStr">
        <is>
          <t>3.3.9</t>
        </is>
      </c>
      <c r="C75" s="4" t="inlineStr">
        <is>
          <t>frcs</t>
        </is>
      </c>
      <c r="D75" s="4" t="inlineStr">
        <is>
          <t>Expect habit to outlast the mechanical cause, and rehabilitate accordingly.</t>
        </is>
      </c>
      <c r="E75" s="4" t="inlineStr"/>
      <c r="F75" s="4" t="inlineStr"/>
      <c r="G75" s="4" t="inlineStr"/>
    </row>
    <row r="76">
      <c r="A76" s="4" t="inlineStr">
        <is>
          <t>3.3.10-P1</t>
        </is>
      </c>
      <c r="B76" s="4" t="inlineStr">
        <is>
          <t>3.3.10</t>
        </is>
      </c>
      <c r="C76" s="4" t="inlineStr">
        <is>
          <t>mrcs</t>
        </is>
      </c>
      <c r="D76" s="4" t="inlineStr">
        <is>
          <t>Treat running as a repeated absorb and return cycle.</t>
        </is>
      </c>
      <c r="E76" s="4" t="inlineStr"/>
      <c r="F76" s="4" t="inlineStr"/>
      <c r="G76" s="4" t="inlineStr"/>
    </row>
    <row r="77">
      <c r="A77" s="4" t="inlineStr">
        <is>
          <t>3.3.10-P2</t>
        </is>
      </c>
      <c r="B77" s="4" t="inlineStr">
        <is>
          <t>3.3.10</t>
        </is>
      </c>
      <c r="C77" s="4" t="inlineStr">
        <is>
          <t>mrcs</t>
        </is>
      </c>
      <c r="D77" s="4" t="inlineStr">
        <is>
          <t>Assess running separately from walking when a patient's symptoms are activity specific.</t>
        </is>
      </c>
      <c r="E77" s="4" t="inlineStr"/>
      <c r="F77" s="4" t="inlineStr"/>
      <c r="G77" s="4" t="inlineStr"/>
    </row>
    <row r="78">
      <c r="A78" s="4" t="inlineStr">
        <is>
          <t>3.3.10-P3</t>
        </is>
      </c>
      <c r="B78" s="4" t="inlineStr">
        <is>
          <t>3.3.10</t>
        </is>
      </c>
      <c r="C78" s="4" t="inlineStr">
        <is>
          <t>mrcs</t>
        </is>
      </c>
      <c r="D78" s="4" t="inlineStr">
        <is>
          <t>Expect patellofemoral symptoms to appear in running before walking, on the loading argument rather than on a structural one.</t>
        </is>
      </c>
      <c r="E78" s="4" t="inlineStr"/>
      <c r="F78" s="4" t="inlineStr"/>
      <c r="G78" s="4" t="inlineStr"/>
    </row>
    <row r="79">
      <c r="A79" s="4" t="inlineStr">
        <is>
          <t>3.3.10-P4</t>
        </is>
      </c>
      <c r="B79" s="4" t="inlineStr">
        <is>
          <t>3.3.10</t>
        </is>
      </c>
      <c r="C79" s="4" t="inlineStr">
        <is>
          <t>mrcs</t>
        </is>
      </c>
      <c r="D79" s="4" t="inlineStr">
        <is>
          <t>Read two dimensional video coronal measurements cautiously, since rotation confounds them.</t>
        </is>
      </c>
      <c r="E79" s="4" t="inlineStr"/>
      <c r="F79" s="4" t="inlineStr"/>
      <c r="G79" s="4" t="inlineStr"/>
    </row>
    <row r="80">
      <c r="A80" s="4" t="inlineStr">
        <is>
          <t>3.3.10-P5</t>
        </is>
      </c>
      <c r="B80" s="4" t="inlineStr">
        <is>
          <t>3.3.10</t>
        </is>
      </c>
      <c r="C80" s="4" t="inlineStr">
        <is>
          <t>mrcs</t>
        </is>
      </c>
      <c r="D80" s="4" t="inlineStr">
        <is>
          <t>Consider fatigue when symptoms appear late in an activity rather than at the start.</t>
        </is>
      </c>
      <c r="E80" s="4" t="inlineStr"/>
      <c r="F80" s="4" t="inlineStr"/>
      <c r="G80" s="4" t="inlineStr"/>
    </row>
    <row r="81">
      <c r="A81" s="4" t="inlineStr">
        <is>
          <t>3.3.10-P6</t>
        </is>
      </c>
      <c r="B81" s="4" t="inlineStr">
        <is>
          <t>3.3.10</t>
        </is>
      </c>
      <c r="C81" s="4" t="inlineStr">
        <is>
          <t>frcs</t>
        </is>
      </c>
      <c r="D81" s="4" t="inlineStr">
        <is>
          <t>Treat return to running as a mechanical decision rather than a time based one.</t>
        </is>
      </c>
      <c r="E81" s="4" t="inlineStr"/>
      <c r="F81" s="4" t="inlineStr"/>
      <c r="G81" s="4" t="inlineStr"/>
    </row>
    <row r="82">
      <c r="A82" s="4" t="inlineStr">
        <is>
          <t>3.3.10-P7</t>
        </is>
      </c>
      <c r="B82" s="4" t="inlineStr">
        <is>
          <t>3.3.10</t>
        </is>
      </c>
      <c r="C82" s="4" t="inlineStr">
        <is>
          <t>frcs</t>
        </is>
      </c>
      <c r="D82" s="4" t="inlineStr">
        <is>
          <t>Stage return to running by criteria rather than by time after surgery.</t>
        </is>
      </c>
      <c r="E82" s="4" t="inlineStr"/>
      <c r="F82" s="4" t="inlineStr"/>
      <c r="G82" s="4" t="inlineStr"/>
    </row>
    <row r="83">
      <c r="A83" s="4" t="inlineStr">
        <is>
          <t>3.3.10-P8</t>
        </is>
      </c>
      <c r="B83" s="4" t="inlineStr">
        <is>
          <t>3.3.10</t>
        </is>
      </c>
      <c r="C83" s="4" t="inlineStr">
        <is>
          <t>frcs</t>
        </is>
      </c>
      <c r="D83" s="4" t="inlineStr">
        <is>
          <t>Correct alignment where repeated single compartment loading is the problem.</t>
        </is>
      </c>
      <c r="E83" s="4" t="inlineStr"/>
      <c r="F83" s="4" t="inlineStr"/>
      <c r="G83" s="4" t="inlineStr"/>
    </row>
    <row r="84">
      <c r="A84" s="4" t="inlineStr">
        <is>
          <t>3.3.10-P9</t>
        </is>
      </c>
      <c r="B84" s="4" t="inlineStr">
        <is>
          <t>3.3.10</t>
        </is>
      </c>
      <c r="C84" s="4" t="inlineStr">
        <is>
          <t>frcs</t>
        </is>
      </c>
      <c r="D84" s="4" t="inlineStr">
        <is>
          <t>State the uncertainty about individual tolerance rather than offering a figure.</t>
        </is>
      </c>
      <c r="E84" s="4" t="inlineStr"/>
      <c r="F84" s="4" t="inlineStr"/>
      <c r="G84" s="4" t="inlineStr"/>
    </row>
    <row r="85">
      <c r="A85" s="4" t="inlineStr">
        <is>
          <t>3.3.11-P1</t>
        </is>
      </c>
      <c r="B85" s="4" t="inlineStr">
        <is>
          <t>3.3.11</t>
        </is>
      </c>
      <c r="C85" s="4" t="inlineStr">
        <is>
          <t>mrcs</t>
        </is>
      </c>
      <c r="D85" s="4" t="inlineStr">
        <is>
          <t>Treat the squat as the clinical test of deep flexion mechanics, and treat its shape as information.</t>
        </is>
      </c>
      <c r="E85" s="4" t="inlineStr"/>
      <c r="F85" s="4" t="inlineStr"/>
      <c r="G85" s="4" t="inlineStr"/>
    </row>
    <row r="86">
      <c r="A86" s="4" t="inlineStr">
        <is>
          <t>3.3.11-P2</t>
        </is>
      </c>
      <c r="B86" s="4" t="inlineStr">
        <is>
          <t>3.3.11</t>
        </is>
      </c>
      <c r="C86" s="4" t="inlineStr">
        <is>
          <t>mrcs</t>
        </is>
      </c>
      <c r="D86" s="4" t="inlineStr">
        <is>
          <t>Measure ankle dorsiflexion when a squat is limited, before attributing it to the knee.</t>
        </is>
      </c>
      <c r="E86" s="4" t="inlineStr"/>
      <c r="F86" s="4" t="inlineStr"/>
      <c r="G86" s="4" t="inlineStr"/>
    </row>
    <row r="87">
      <c r="A87" s="4" t="inlineStr">
        <is>
          <t>3.3.11-P3</t>
        </is>
      </c>
      <c r="B87" s="4" t="inlineStr">
        <is>
          <t>3.3.11</t>
        </is>
      </c>
      <c r="C87" s="4" t="inlineStr">
        <is>
          <t>mrcs</t>
        </is>
      </c>
      <c r="D87" s="4" t="inlineStr">
        <is>
          <t>Expect posterior horn symptoms to appear in deep flexion and to be absent in mid flexion testing.</t>
        </is>
      </c>
      <c r="E87" s="4" t="inlineStr"/>
      <c r="F87" s="4" t="inlineStr"/>
      <c r="G87" s="4" t="inlineStr"/>
    </row>
    <row r="88">
      <c r="A88" s="4" t="inlineStr">
        <is>
          <t>3.3.11-P4</t>
        </is>
      </c>
      <c r="B88" s="4" t="inlineStr">
        <is>
          <t>3.3.11</t>
        </is>
      </c>
      <c r="C88" s="4" t="inlineStr">
        <is>
          <t>mrcs</t>
        </is>
      </c>
      <c r="D88" s="4" t="inlineStr">
        <is>
          <t>Read patellofemoral symptoms in squatting as a loading consequence of flexion angle.</t>
        </is>
      </c>
      <c r="E88" s="4" t="inlineStr"/>
      <c r="F88" s="4" t="inlineStr"/>
      <c r="G88" s="4" t="inlineStr"/>
    </row>
    <row r="89">
      <c r="A89" s="4" t="inlineStr">
        <is>
          <t>3.3.11-P5</t>
        </is>
      </c>
      <c r="B89" s="4" t="inlineStr">
        <is>
          <t>3.3.11</t>
        </is>
      </c>
      <c r="C89" s="4" t="inlineStr">
        <is>
          <t>mrcs</t>
        </is>
      </c>
      <c r="D89" s="4" t="inlineStr">
        <is>
          <t>Treat the thinness of the deep flexion literature as a limit on confidence rather than as absence of a problem.</t>
        </is>
      </c>
      <c r="E89" s="4" t="inlineStr"/>
      <c r="F89" s="4" t="inlineStr"/>
      <c r="G89" s="4" t="inlineStr"/>
    </row>
    <row r="90">
      <c r="A90" s="4" t="inlineStr">
        <is>
          <t>3.3.11-P6</t>
        </is>
      </c>
      <c r="B90" s="4" t="inlineStr">
        <is>
          <t>3.3.11</t>
        </is>
      </c>
      <c r="C90" s="4" t="inlineStr">
        <is>
          <t>frcs</t>
        </is>
      </c>
      <c r="D90" s="4" t="inlineStr">
        <is>
          <t>Treat deep flexion as a stated goal with a stated cost.</t>
        </is>
      </c>
      <c r="E90" s="4" t="inlineStr"/>
      <c r="F90" s="4" t="inlineStr"/>
      <c r="G90" s="4" t="inlineStr"/>
    </row>
    <row r="91">
      <c r="A91" s="4" t="inlineStr">
        <is>
          <t>3.3.11-P7</t>
        </is>
      </c>
      <c r="B91" s="4" t="inlineStr">
        <is>
          <t>3.3.11</t>
        </is>
      </c>
      <c r="C91" s="4" t="inlineStr">
        <is>
          <t>frcs</t>
        </is>
      </c>
      <c r="D91" s="4" t="inlineStr">
        <is>
          <t>Set the deep flexion goal from the patient's needs rather than from the implant's claim.</t>
        </is>
      </c>
      <c r="E91" s="4" t="inlineStr"/>
      <c r="F91" s="4" t="inlineStr"/>
      <c r="G91" s="4" t="inlineStr"/>
    </row>
    <row r="92">
      <c r="A92" s="4" t="inlineStr">
        <is>
          <t>3.3.11-P8</t>
        </is>
      </c>
      <c r="B92" s="4" t="inlineStr">
        <is>
          <t>3.3.11</t>
        </is>
      </c>
      <c r="C92" s="4" t="inlineStr">
        <is>
          <t>frcs</t>
        </is>
      </c>
      <c r="D92" s="4" t="inlineStr">
        <is>
          <t>Restore posterior condylar offset, since it limits achievable flexion.</t>
        </is>
      </c>
      <c r="E92" s="4" t="inlineStr"/>
      <c r="F92" s="4" t="inlineStr"/>
      <c r="G92" s="4" t="inlineStr"/>
    </row>
    <row r="93">
      <c r="A93" s="4" t="inlineStr">
        <is>
          <t>3.3.11-P9</t>
        </is>
      </c>
      <c r="B93" s="4" t="inlineStr">
        <is>
          <t>3.3.11</t>
        </is>
      </c>
      <c r="C93" s="4" t="inlineStr">
        <is>
          <t>frcs</t>
        </is>
      </c>
      <c r="D93" s="4" t="inlineStr">
        <is>
          <t>Counsel that measured range and the ability to kneel correlate imperfectly.</t>
        </is>
      </c>
      <c r="E93" s="4" t="inlineStr"/>
      <c r="F93" s="4" t="inlineStr"/>
      <c r="G93" s="4" t="inlineStr"/>
    </row>
    <row r="94">
      <c r="A94" s="4" t="inlineStr">
        <is>
          <t>3.3.12-P1</t>
        </is>
      </c>
      <c r="B94" s="4" t="inlineStr">
        <is>
          <t>3.3.12</t>
        </is>
      </c>
      <c r="C94" s="4" t="inlineStr">
        <is>
          <t>medical_student</t>
        </is>
      </c>
      <c r="D94" s="4" t="inlineStr">
        <is>
          <t>Ask about stairs separately in each direction, because the two directions test different things.</t>
        </is>
      </c>
      <c r="E94" s="4" t="inlineStr"/>
      <c r="F94" s="4" t="inlineStr"/>
      <c r="G94" s="4" t="inlineStr"/>
    </row>
    <row r="95">
      <c r="A95" s="4" t="inlineStr">
        <is>
          <t>3.3.12-P2</t>
        </is>
      </c>
      <c r="B95" s="4" t="inlineStr">
        <is>
          <t>3.3.12</t>
        </is>
      </c>
      <c r="C95" s="4" t="inlineStr">
        <is>
          <t>mrcs</t>
        </is>
      </c>
      <c r="D95" s="4" t="inlineStr">
        <is>
          <t>Record the direction, the step height and whether a handrail was used when documenting stair ability.</t>
        </is>
      </c>
      <c r="E95" s="4" t="inlineStr"/>
      <c r="F95" s="4" t="inlineStr"/>
      <c r="G95" s="4" t="inlineStr"/>
    </row>
    <row r="96">
      <c r="A96" s="4" t="inlineStr">
        <is>
          <t>3.3.12-P3</t>
        </is>
      </c>
      <c r="B96" s="4" t="inlineStr">
        <is>
          <t>3.3.12</t>
        </is>
      </c>
      <c r="C96" s="4" t="inlineStr">
        <is>
          <t>mrcs</t>
        </is>
      </c>
      <c r="D96" s="4" t="inlineStr">
        <is>
          <t>Expect patellofemoral pathology to present on stairs, given the simultaneous rise in angle and quadriceps force.</t>
        </is>
      </c>
      <c r="E96" s="4" t="inlineStr"/>
      <c r="F96" s="4" t="inlineStr"/>
      <c r="G96" s="4" t="inlineStr"/>
    </row>
    <row r="97">
      <c r="A97" s="4" t="inlineStr">
        <is>
          <t>3.3.12-P4</t>
        </is>
      </c>
      <c r="B97" s="4" t="inlineStr">
        <is>
          <t>3.3.12</t>
        </is>
      </c>
      <c r="C97" s="4" t="inlineStr">
        <is>
          <t>mrcs</t>
        </is>
      </c>
      <c r="D97" s="4" t="inlineStr">
        <is>
          <t>Treat a timed stair test as a performance measure rather than a kinematic one.</t>
        </is>
      </c>
      <c r="E97" s="4" t="inlineStr"/>
      <c r="F97" s="4" t="inlineStr"/>
      <c r="G97" s="4" t="inlineStr"/>
    </row>
    <row r="98">
      <c r="A98" s="4" t="inlineStr">
        <is>
          <t>3.3.12-P5</t>
        </is>
      </c>
      <c r="B98" s="4" t="inlineStr">
        <is>
          <t>3.3.12</t>
        </is>
      </c>
      <c r="C98" s="4" t="inlineStr">
        <is>
          <t>frcs</t>
        </is>
      </c>
      <c r="D98" s="4" t="inlineStr">
        <is>
          <t>Treat stair function as a discriminating outcome measure, since it needs more range and more eccentric control than the tasks most patients recover first.</t>
        </is>
      </c>
      <c r="E98" s="4" t="inlineStr"/>
      <c r="F98" s="4" t="inlineStr"/>
      <c r="G98" s="4" t="inlineStr"/>
    </row>
    <row r="99">
      <c r="A99" s="4" t="inlineStr">
        <is>
          <t>3.3.12-P6</t>
        </is>
      </c>
      <c r="B99" s="4" t="inlineStr">
        <is>
          <t>3.3.12</t>
        </is>
      </c>
      <c r="C99" s="4" t="inlineStr">
        <is>
          <t>frcs</t>
        </is>
      </c>
      <c r="D99" s="4" t="inlineStr">
        <is>
          <t>Use stair function rather than level walking when judging whether a knee has recovered.</t>
        </is>
      </c>
      <c r="E99" s="4" t="inlineStr"/>
      <c r="F99" s="4" t="inlineStr"/>
      <c r="G99" s="4" t="inlineStr"/>
    </row>
    <row r="100">
      <c r="A100" s="4" t="inlineStr">
        <is>
          <t>3.3.12-P7</t>
        </is>
      </c>
      <c r="B100" s="4" t="inlineStr">
        <is>
          <t>3.3.12</t>
        </is>
      </c>
      <c r="C100" s="4" t="inlineStr">
        <is>
          <t>frcs</t>
        </is>
      </c>
      <c r="D100" s="4" t="inlineStr">
        <is>
          <t>Consider mid flexion instability in a replaced knee whose only complaint is stairs.</t>
        </is>
      </c>
      <c r="E100" s="4" t="inlineStr"/>
      <c r="F100" s="4" t="inlineStr"/>
      <c r="G100" s="4" t="inlineStr"/>
    </row>
    <row r="101">
      <c r="A101" s="4" t="inlineStr">
        <is>
          <t>3.3.12-P8</t>
        </is>
      </c>
      <c r="B101" s="4" t="inlineStr">
        <is>
          <t>3.3.12</t>
        </is>
      </c>
      <c r="C101" s="4" t="inlineStr">
        <is>
          <t>frcs</t>
        </is>
      </c>
      <c r="D101" s="4" t="inlineStr">
        <is>
          <t>Exclude quadriceps weakness before attributing stair difficulty to the mechanics.</t>
        </is>
      </c>
      <c r="E101" s="4" t="inlineStr"/>
      <c r="F101" s="4" t="inlineStr"/>
      <c r="G101" s="4" t="inlineStr"/>
    </row>
    <row r="102">
      <c r="A102" s="4" t="inlineStr">
        <is>
          <t>3.3.13-P1</t>
        </is>
      </c>
      <c r="B102" s="4" t="inlineStr">
        <is>
          <t>3.3.13</t>
        </is>
      </c>
      <c r="C102" s="4" t="inlineStr">
        <is>
          <t>mrcs</t>
        </is>
      </c>
      <c r="D102" s="4" t="inlineStr">
        <is>
          <t>Assess the hip and trunk when a knee lands in valgus, since the knee position is largely set proximally.</t>
        </is>
      </c>
      <c r="E102" s="4" t="inlineStr"/>
      <c r="F102" s="4" t="inlineStr"/>
      <c r="G102" s="4" t="inlineStr"/>
    </row>
    <row r="103">
      <c r="A103" s="4" t="inlineStr">
        <is>
          <t>3.3.13-P2</t>
        </is>
      </c>
      <c r="B103" s="4" t="inlineStr">
        <is>
          <t>3.3.13</t>
        </is>
      </c>
      <c r="C103" s="4" t="inlineStr">
        <is>
          <t>mrcs</t>
        </is>
      </c>
      <c r="D103" s="4" t="inlineStr">
        <is>
          <t>Read a video frontal plane angle as a screening measure rather than a measurement of valgus.</t>
        </is>
      </c>
      <c r="E103" s="4" t="inlineStr"/>
      <c r="F103" s="4" t="inlineStr"/>
      <c r="G103" s="4" t="inlineStr"/>
    </row>
    <row r="104">
      <c r="A104" s="4" t="inlineStr">
        <is>
          <t>3.3.13-P3</t>
        </is>
      </c>
      <c r="B104" s="4" t="inlineStr">
        <is>
          <t>3.3.13</t>
        </is>
      </c>
      <c r="C104" s="4" t="inlineStr">
        <is>
          <t>mrcs</t>
        </is>
      </c>
      <c r="D104" s="4" t="inlineStr">
        <is>
          <t>Use landing tasks in return to sport assessment because they reproduce the injury loading.</t>
        </is>
      </c>
      <c r="E104" s="4" t="inlineStr"/>
      <c r="F104" s="4" t="inlineStr"/>
      <c r="G104" s="4" t="inlineStr"/>
    </row>
    <row r="105">
      <c r="A105" s="4" t="inlineStr">
        <is>
          <t>3.3.13-P4</t>
        </is>
      </c>
      <c r="B105" s="4" t="inlineStr">
        <is>
          <t>3.3.13</t>
        </is>
      </c>
      <c r="C105" s="4" t="inlineStr">
        <is>
          <t>frcs</t>
        </is>
      </c>
      <c r="D105" s="4" t="inlineStr">
        <is>
          <t>Treat landing kinematics as a modifiable risk factor and as an imperfect predictor.</t>
        </is>
      </c>
      <c r="E105" s="4" t="inlineStr"/>
      <c r="F105" s="4" t="inlineStr"/>
      <c r="G105" s="4" t="inlineStr"/>
    </row>
    <row r="106">
      <c r="A106" s="4" t="inlineStr">
        <is>
          <t>3.3.13-P5</t>
        </is>
      </c>
      <c r="B106" s="4" t="inlineStr">
        <is>
          <t>3.3.13</t>
        </is>
      </c>
      <c r="C106" s="4" t="inlineStr">
        <is>
          <t>frcs</t>
        </is>
      </c>
      <c r="D106" s="4" t="inlineStr">
        <is>
          <t>Expect asymmetrical landing kinematics to persist after reconstruction with normal laxity.</t>
        </is>
      </c>
      <c r="E106" s="4" t="inlineStr"/>
      <c r="F106" s="4" t="inlineStr"/>
      <c r="G106" s="4" t="inlineStr"/>
    </row>
    <row r="107">
      <c r="A107" s="4" t="inlineStr">
        <is>
          <t>3.3.13-P6</t>
        </is>
      </c>
      <c r="B107" s="4" t="inlineStr">
        <is>
          <t>3.3.13</t>
        </is>
      </c>
      <c r="C107" s="4" t="inlineStr">
        <is>
          <t>frcs</t>
        </is>
      </c>
      <c r="D107" s="4" t="inlineStr">
        <is>
          <t>State that screening does not identify the individual at risk, while the population association stands.</t>
        </is>
      </c>
      <c r="E107" s="4" t="inlineStr"/>
      <c r="F107" s="4" t="inlineStr"/>
      <c r="G107" s="4" t="inlineStr"/>
    </row>
    <row r="108">
      <c r="A108" s="4" t="inlineStr">
        <is>
          <t>3.3.14-P1</t>
        </is>
      </c>
      <c r="B108" s="4" t="inlineStr">
        <is>
          <t>3.3.14</t>
        </is>
      </c>
      <c r="C108" s="4" t="inlineStr">
        <is>
          <t>mrcs</t>
        </is>
      </c>
      <c r="D108" s="4" t="inlineStr">
        <is>
          <t>Read transverse plane cutting data with the measurement error in mind.</t>
        </is>
      </c>
      <c r="E108" s="4" t="inlineStr"/>
      <c r="F108" s="4" t="inlineStr"/>
      <c r="G108" s="4" t="inlineStr"/>
    </row>
    <row r="109">
      <c r="A109" s="4" t="inlineStr">
        <is>
          <t>3.3.14-P2</t>
        </is>
      </c>
      <c r="B109" s="4" t="inlineStr">
        <is>
          <t>3.3.14</t>
        </is>
      </c>
      <c r="C109" s="4" t="inlineStr">
        <is>
          <t>frcs</t>
        </is>
      </c>
      <c r="D109" s="4" t="inlineStr">
        <is>
          <t>Treat cutting as the task a rotationally deficient knee fails, which is why rotatory laxity and not translation decides the functional result in a pivoting athlete.</t>
        </is>
      </c>
      <c r="E109" s="4" t="inlineStr"/>
      <c r="F109" s="4" t="inlineStr"/>
      <c r="G109" s="4" t="inlineStr"/>
    </row>
    <row r="110">
      <c r="A110" s="4" t="inlineStr">
        <is>
          <t>3.3.14-P3</t>
        </is>
      </c>
      <c r="B110" s="4" t="inlineStr">
        <is>
          <t>3.3.14</t>
        </is>
      </c>
      <c r="C110" s="4" t="inlineStr">
        <is>
          <t>frcs</t>
        </is>
      </c>
      <c r="D110" s="4" t="inlineStr">
        <is>
          <t>Assess rotatory laxity rather than translation alone when counselling a pivoting athlete.</t>
        </is>
      </c>
      <c r="E110" s="4" t="inlineStr"/>
      <c r="F110" s="4" t="inlineStr"/>
      <c r="G110" s="4" t="inlineStr"/>
    </row>
    <row r="111">
      <c r="A111" s="4" t="inlineStr">
        <is>
          <t>3.3.14-P4</t>
        </is>
      </c>
      <c r="B111" s="4" t="inlineStr">
        <is>
          <t>3.3.14</t>
        </is>
      </c>
      <c r="C111" s="4" t="inlineStr">
        <is>
          <t>frcs</t>
        </is>
      </c>
      <c r="D111" s="4" t="inlineStr">
        <is>
          <t>Consider lateral augmentation in high grade rotatory laxity and in revision, on the mechanics of this task.</t>
        </is>
      </c>
      <c r="E111" s="4" t="inlineStr"/>
      <c r="F111" s="4" t="inlineStr"/>
      <c r="G111" s="4" t="inlineStr"/>
    </row>
    <row r="112">
      <c r="A112" s="4" t="inlineStr">
        <is>
          <t>3.3.14-P5</t>
        </is>
      </c>
      <c r="B112" s="4" t="inlineStr">
        <is>
          <t>3.3.14</t>
        </is>
      </c>
      <c r="C112" s="4" t="inlineStr">
        <is>
          <t>frcs</t>
        </is>
      </c>
      <c r="D112" s="4" t="inlineStr">
        <is>
          <t>Measure slope before revising a graft that failed without a new injury.</t>
        </is>
      </c>
      <c r="E112" s="4" t="inlineStr"/>
      <c r="F112" s="4" t="inlineStr"/>
      <c r="G112" s="4" t="inlineStr"/>
    </row>
    <row r="113">
      <c r="A113" s="4" t="inlineStr">
        <is>
          <t>3.3.14-P6</t>
        </is>
      </c>
      <c r="B113" s="4" t="inlineStr">
        <is>
          <t>3.3.14</t>
        </is>
      </c>
      <c r="C113" s="4" t="inlineStr">
        <is>
          <t>frcs</t>
        </is>
      </c>
      <c r="D113" s="4" t="inlineStr">
        <is>
          <t>State that no assessment reproduces an unanticipated cut when discussing return to sport.</t>
        </is>
      </c>
      <c r="E113" s="4" t="inlineStr"/>
      <c r="F113" s="4" t="inlineStr"/>
      <c r="G113" s="4" t="inlineStr"/>
    </row>
  </sheetData>
  <dataValidations count="1">
    <dataValidation sqref="E3:E113"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3.3.1-F1</t>
        </is>
      </c>
      <c r="B3" s="4" t="inlineStr">
        <is>
          <t>3.3.1</t>
        </is>
      </c>
      <c r="C3" s="4" t="inlineStr">
        <is>
          <t>medical_student</t>
        </is>
      </c>
      <c r="D3" s="4" t="inlineStr">
        <is>
          <t>six degrees</t>
        </is>
      </c>
      <c r="E3" s="4" t="inlineStr">
        <is>
          <t>3.2.1 names the six degrees of freedom this chapter then describes through range.</t>
        </is>
      </c>
      <c r="F3" s="4" t="inlineStr"/>
      <c r="G3" s="4" t="inlineStr"/>
      <c r="H3" s="4" t="inlineStr"/>
    </row>
    <row r="4">
      <c r="A4" s="4" t="inlineStr">
        <is>
          <t>3.3.2-F1</t>
        </is>
      </c>
      <c r="B4" s="4" t="inlineStr">
        <is>
          <t>3.3.2</t>
        </is>
      </c>
      <c r="C4" s="4" t="inlineStr">
        <is>
          <t>mrcs</t>
        </is>
      </c>
      <c r="D4" s="4" t="inlineStr">
        <is>
          <t>20 to 30 degrees</t>
        </is>
      </c>
      <c r="E4" s="4" t="inlineStr">
        <is>
          <t>Conventional teaching describes rolling as dominant through roughly the first 20 to 30 degrees of flexion, with gliding taking an increasing share beyond that.</t>
        </is>
      </c>
      <c r="F4" s="4" t="inlineStr"/>
      <c r="G4" s="4" t="inlineStr"/>
      <c r="H4" s="4" t="inlineStr"/>
    </row>
    <row r="5">
      <c r="A5" s="4" t="inlineStr">
        <is>
          <t>3.3.4-F1</t>
        </is>
      </c>
      <c r="B5" s="4" t="inlineStr">
        <is>
          <t>3.3.4</t>
        </is>
      </c>
      <c r="C5" s="4" t="inlineStr">
        <is>
          <t>mrcs</t>
        </is>
      </c>
      <c r="D5" s="4" t="inlineStr">
        <is>
          <t>25 to 30 degrees</t>
        </is>
      </c>
      <c r="E5" s="4" t="inlineStr">
        <is>
          <t>Conventional teaching gives roughly 25 to 30 degrees of total axial rotation at 90 degrees of flexion in open chain, falling to near zero in full extension.</t>
        </is>
      </c>
      <c r="F5" s="4" t="inlineStr"/>
      <c r="G5" s="4" t="inlineStr"/>
      <c r="H5" s="4" t="inlineStr"/>
    </row>
    <row r="6">
      <c r="A6" s="4" t="inlineStr">
        <is>
          <t>3.3.4-F2</t>
        </is>
      </c>
      <c r="B6" s="4" t="inlineStr">
        <is>
          <t>3.3.4</t>
        </is>
      </c>
      <c r="C6" s="4" t="inlineStr">
        <is>
          <t>mrcs</t>
        </is>
      </c>
      <c r="D6" s="4" t="inlineStr">
        <is>
          <t>90 degrees</t>
        </is>
      </c>
      <c r="E6" s="4" t="inlineStr">
        <is>
          <t>Conventional teaching gives roughly 25 to 30 degrees of total axial rotation at 90 degrees of flexion in open chain, falling to near zero in full extension.</t>
        </is>
      </c>
      <c r="F6" s="4" t="inlineStr"/>
      <c r="G6" s="4" t="inlineStr"/>
      <c r="H6" s="4" t="inlineStr"/>
    </row>
    <row r="7">
      <c r="A7" s="4" t="inlineStr">
        <is>
          <t>3.3.5-F1</t>
        </is>
      </c>
      <c r="B7" s="4" t="inlineStr">
        <is>
          <t>3.3.5</t>
        </is>
      </c>
      <c r="C7" s="4" t="inlineStr">
        <is>
          <t>medical_student</t>
        </is>
      </c>
      <c r="D7" s="4" t="inlineStr">
        <is>
          <t>30 degrees</t>
        </is>
      </c>
      <c r="E7" s="4" t="inlineStr">
        <is>
          <t>Through roughly the last 30 degrees of extension the tibia rotates externally relative to the femur.</t>
        </is>
      </c>
      <c r="F7" s="4" t="inlineStr"/>
      <c r="G7" s="4" t="inlineStr"/>
      <c r="H7" s="4" t="inlineStr"/>
    </row>
    <row r="8">
      <c r="A8" s="4" t="inlineStr">
        <is>
          <t>3.3.5-F2</t>
        </is>
      </c>
      <c r="B8" s="4" t="inlineStr">
        <is>
          <t>3.3.5</t>
        </is>
      </c>
      <c r="C8" s="4" t="inlineStr">
        <is>
          <t>medical_student</t>
        </is>
      </c>
      <c r="D8" s="4" t="inlineStr">
        <is>
          <t>5 to 10 degrees</t>
        </is>
      </c>
      <c r="E8" s="4" t="inlineStr">
        <is>
          <t>Conventional teaching gives about 5 to 10 degrees of rotation.</t>
        </is>
      </c>
      <c r="F8" s="4" t="inlineStr"/>
      <c r="G8" s="4" t="inlineStr"/>
      <c r="H8" s="4" t="inlineStr"/>
    </row>
    <row r="9">
      <c r="A9" s="4" t="inlineStr">
        <is>
          <t>3.3.6-F1</t>
        </is>
      </c>
      <c r="B9" s="4" t="inlineStr">
        <is>
          <t>3.3.6</t>
        </is>
      </c>
      <c r="C9" s="4" t="inlineStr">
        <is>
          <t>mrcs</t>
        </is>
      </c>
      <c r="D9" s="4" t="inlineStr">
        <is>
          <t>30 degrees</t>
        </is>
      </c>
      <c r="E9" s="4" t="inlineStr">
        <is>
          <t>Posterolateral corner injury, which usually involves the popliteus complex and alters external rotation at 30 degrees.</t>
        </is>
      </c>
      <c r="F9" s="4" t="inlineStr"/>
      <c r="G9" s="4" t="inlineStr"/>
      <c r="H9" s="4" t="inlineStr"/>
    </row>
    <row r="10">
      <c r="A10" s="4" t="inlineStr">
        <is>
          <t>3.3.8-F1</t>
        </is>
      </c>
      <c r="B10" s="4" t="inlineStr">
        <is>
          <t>3.3.8</t>
        </is>
      </c>
      <c r="C10" s="4" t="n"/>
      <c r="D10" s="4" t="inlineStr">
        <is>
          <t>0</t>
        </is>
      </c>
      <c r="E10" s="4" t="inlineStr">
        <is>
          <t>The knee is a different joint at 0, 30, 90 and 130 degrees.</t>
        </is>
      </c>
      <c r="F10" s="4" t="inlineStr"/>
      <c r="G10" s="4" t="inlineStr"/>
      <c r="H10" s="4" t="inlineStr"/>
    </row>
    <row r="11">
      <c r="A11" s="4" t="inlineStr">
        <is>
          <t>3.3.8-F2</t>
        </is>
      </c>
      <c r="B11" s="4" t="inlineStr">
        <is>
          <t>3.3.8</t>
        </is>
      </c>
      <c r="C11" s="4" t="n"/>
      <c r="D11" s="4" t="inlineStr">
        <is>
          <t>30</t>
        </is>
      </c>
      <c r="E11" s="4" t="inlineStr">
        <is>
          <t>The knee is a different joint at 0, 30, 90 and 130 degrees.</t>
        </is>
      </c>
      <c r="F11" s="4" t="inlineStr"/>
      <c r="G11" s="4" t="inlineStr"/>
      <c r="H11" s="4" t="inlineStr"/>
    </row>
    <row r="12">
      <c r="A12" s="4" t="inlineStr">
        <is>
          <t>3.3.8-F3</t>
        </is>
      </c>
      <c r="B12" s="4" t="inlineStr">
        <is>
          <t>3.3.8</t>
        </is>
      </c>
      <c r="C12" s="4" t="n"/>
      <c r="D12" s="4" t="inlineStr">
        <is>
          <t>90 and 130 degrees</t>
        </is>
      </c>
      <c r="E12" s="4" t="inlineStr">
        <is>
          <t>The knee is a different joint at 0, 30, 90 and 130 degrees.</t>
        </is>
      </c>
      <c r="F12" s="4" t="inlineStr"/>
      <c r="G12" s="4" t="inlineStr"/>
      <c r="H12" s="4" t="inlineStr"/>
    </row>
    <row r="13">
      <c r="A13" s="4" t="inlineStr">
        <is>
          <t>3.3.8-F4</t>
        </is>
      </c>
      <c r="B13" s="4" t="inlineStr">
        <is>
          <t>3.3.8</t>
        </is>
      </c>
      <c r="C13" s="4" t="inlineStr">
        <is>
          <t>medical_student</t>
        </is>
      </c>
      <c r="D13" s="4" t="inlineStr">
        <is>
          <t>20 to 30 degrees</t>
        </is>
      </c>
      <c r="E13" s="4" t="inlineStr">
        <is>
          <t>Through roughly 20 to 30 degrees the knee unlocks and the bony contribution to stability falls away, handing over to the ligaments.</t>
        </is>
      </c>
      <c r="F13" s="4" t="inlineStr"/>
      <c r="G13" s="4" t="inlineStr"/>
      <c r="H13" s="4" t="inlineStr"/>
    </row>
    <row r="14">
      <c r="A14" s="4" t="inlineStr">
        <is>
          <t>3.3.8-F5</t>
        </is>
      </c>
      <c r="B14" s="4" t="inlineStr">
        <is>
          <t>3.3.8</t>
        </is>
      </c>
      <c r="C14" s="4" t="inlineStr">
        <is>
          <t>medical_student</t>
        </is>
      </c>
      <c r="D14" s="4" t="inlineStr">
        <is>
          <t>30 to 90 degrees</t>
        </is>
      </c>
      <c r="E14" s="4" t="inlineStr">
        <is>
          <t>Through mid flexion, roughly 30 to 90 degrees, rotation and translation are at their greatest and the ligaments are the limit.</t>
        </is>
      </c>
      <c r="F14" s="4" t="inlineStr"/>
      <c r="G14" s="4" t="inlineStr"/>
      <c r="H14" s="4" t="inlineStr"/>
    </row>
    <row r="15">
      <c r="A15" s="4" t="inlineStr">
        <is>
          <t>3.3.8-F6</t>
        </is>
      </c>
      <c r="B15" s="4" t="inlineStr">
        <is>
          <t>3.3.8</t>
        </is>
      </c>
      <c r="C15" s="4" t="inlineStr">
        <is>
          <t>medical_student</t>
        </is>
      </c>
      <c r="D15" s="4" t="inlineStr">
        <is>
          <t>120 degrees</t>
        </is>
      </c>
      <c r="E15" s="4" t="inlineStr">
        <is>
          <t>Beyond about 120 degrees the contact moves to the posterior condyles, the surfaces are small and highly loaded, and the posterior soft tissues take a share again.</t>
        </is>
      </c>
      <c r="F15" s="4" t="inlineStr"/>
      <c r="G15" s="4" t="inlineStr"/>
      <c r="H15" s="4" t="inlineStr"/>
    </row>
    <row r="16">
      <c r="A16" s="4" t="inlineStr">
        <is>
          <t>3.3.8-F7</t>
        </is>
      </c>
      <c r="B16" s="4" t="inlineStr">
        <is>
          <t>3.3.8</t>
        </is>
      </c>
      <c r="C16" s="4" t="inlineStr">
        <is>
          <t>medical_student</t>
        </is>
      </c>
      <c r="D16" s="4" t="inlineStr">
        <is>
          <t>30
degrees</t>
        </is>
      </c>
      <c r="E16" s="4" t="inlineStr">
        <is>
          <t>Test at more than one angle, because a structure that is the limit at 30 degrees may contribute little at 90.</t>
        </is>
      </c>
      <c r="F16" s="4" t="inlineStr"/>
      <c r="G16" s="4" t="inlineStr"/>
      <c r="H16" s="4" t="inlineStr"/>
    </row>
    <row r="17">
      <c r="A17" s="4" t="inlineStr">
        <is>
          <t>3.3.8-F8</t>
        </is>
      </c>
      <c r="B17" s="4" t="inlineStr">
        <is>
          <t>3.3.8</t>
        </is>
      </c>
      <c r="C17" s="4" t="inlineStr">
        <is>
          <t>medical_student</t>
        </is>
      </c>
      <c r="D17" s="4" t="inlineStr">
        <is>
          <t>90</t>
        </is>
      </c>
      <c r="E17" s="4" t="inlineStr">
        <is>
          <t>Test at more than one angle, because a structure that is the limit at 30 degrees may contribute little at 90.</t>
        </is>
      </c>
      <c r="F17" s="4" t="inlineStr"/>
      <c r="G17" s="4" t="inlineStr"/>
      <c r="H17" s="4" t="inlineStr"/>
    </row>
    <row r="18">
      <c r="A18" s="4" t="inlineStr">
        <is>
          <t>3.3.8-F9</t>
        </is>
      </c>
      <c r="B18" s="4" t="inlineStr">
        <is>
          <t>3.3.8</t>
        </is>
      </c>
      <c r="C18" s="4" t="inlineStr">
        <is>
          <t>mrcs</t>
        </is>
      </c>
      <c r="D18" s="4" t="inlineStr">
        <is>
          <t>20 degrees</t>
        </is>
      </c>
      <c r="E18" s="4" t="inlineStr">
        <is>
          <t>Zero to about 20 degrees: maximal congruence, terminal rotation, bony contribution greatest, posterior capsule and collateral structures taut.</t>
        </is>
      </c>
      <c r="F18" s="4" t="inlineStr"/>
      <c r="G18" s="4" t="inlineStr"/>
      <c r="H18" s="4" t="inlineStr"/>
    </row>
    <row r="19">
      <c r="A19" s="4" t="inlineStr">
        <is>
          <t>3.3.8-F10</t>
        </is>
      </c>
      <c r="B19" s="4" t="inlineStr">
        <is>
          <t>3.3.8</t>
        </is>
      </c>
      <c r="C19" s="4" t="inlineStr">
        <is>
          <t>mrcs</t>
        </is>
      </c>
      <c r="D19" s="4" t="inlineStr">
        <is>
          <t>30 and 90 degrees</t>
        </is>
      </c>
      <c r="E19" s="4" t="inlineStr">
        <is>
          <t>Examine at 0, 30 and 90 degrees deliberately, because each samples a different restraint set.</t>
        </is>
      </c>
      <c r="F19" s="4" t="inlineStr"/>
      <c r="G19" s="4" t="inlineStr"/>
      <c r="H19" s="4" t="inlineStr"/>
    </row>
    <row r="20">
      <c r="A20" s="4" t="inlineStr">
        <is>
          <t>3.3.8-F11</t>
        </is>
      </c>
      <c r="B20" s="4" t="inlineStr">
        <is>
          <t>3.3.8</t>
        </is>
      </c>
      <c r="C20" s="4" t="inlineStr">
        <is>
          <t>frcs</t>
        </is>
      </c>
      <c r="D20" s="4" t="inlineStr">
        <is>
          <t>30 to 60 degrees</t>
        </is>
      </c>
      <c r="E20" s="4" t="inlineStr">
        <is>
          <t>Mid flexion instability after replacement is described as a laxity at 30 to 60 degrees with a stable knee in extension and in flexion, and conventional teaching attributes it to femoral component position and to the radius of curvature.</t>
        </is>
      </c>
      <c r="F20" s="4" t="inlineStr"/>
      <c r="G20" s="4" t="inlineStr"/>
      <c r="H20" s="4" t="inlineStr"/>
    </row>
    <row r="21">
      <c r="A21" s="4" t="inlineStr">
        <is>
          <t>3.3.8-F12</t>
        </is>
      </c>
      <c r="B21" s="4" t="inlineStr">
        <is>
          <t>3.3.8</t>
        </is>
      </c>
      <c r="C21" s="4" t="inlineStr">
        <is>
          <t>frcs</t>
        </is>
      </c>
      <c r="D21" s="4" t="inlineStr">
        <is>
          <t>90 degrees</t>
        </is>
      </c>
      <c r="E21" s="4" t="inlineStr">
        <is>
          <t>Check gaps through mid flexion rather than at extension and 90 degrees alone.</t>
        </is>
      </c>
      <c r="F21" s="4" t="inlineStr"/>
      <c r="G21" s="4" t="inlineStr"/>
      <c r="H21" s="4" t="inlineStr"/>
    </row>
    <row r="22">
      <c r="A22" s="4" t="inlineStr">
        <is>
          <t>3.3.9-F1</t>
        </is>
      </c>
      <c r="B22" s="4" t="inlineStr">
        <is>
          <t>3.3.9</t>
        </is>
      </c>
      <c r="C22" s="4" t="inlineStr">
        <is>
          <t>medical_student</t>
        </is>
      </c>
      <c r="D22" s="4" t="inlineStr">
        <is>
          <t>60 per cent</t>
        </is>
      </c>
      <c r="E22" s="4" t="inlineStr">
        <is>
          <t>Conventional teaching gives stance about 60 per cent of the cycle and swing about 40.</t>
        </is>
      </c>
      <c r="F22" s="4" t="inlineStr"/>
      <c r="G22" s="4" t="inlineStr"/>
      <c r="H22" s="4" t="inlineStr"/>
    </row>
    <row r="23">
      <c r="A23" s="4" t="inlineStr">
        <is>
          <t>3.3.9-F2</t>
        </is>
      </c>
      <c r="B23" s="4" t="inlineStr">
        <is>
          <t>3.3.9</t>
        </is>
      </c>
      <c r="C23" s="4" t="inlineStr">
        <is>
          <t>medical_student</t>
        </is>
      </c>
      <c r="D23" s="4" t="inlineStr">
        <is>
          <t>40</t>
        </is>
      </c>
      <c r="E23" s="4" t="inlineStr">
        <is>
          <t>Conventional teaching gives stance about 60 per cent of the cycle and swing about 40.</t>
        </is>
      </c>
      <c r="F23" s="4" t="inlineStr"/>
      <c r="G23" s="4" t="inlineStr"/>
      <c r="H23" s="4" t="inlineStr"/>
    </row>
    <row r="24">
      <c r="A24" s="4" t="inlineStr">
        <is>
          <t>3.3.9-F3</t>
        </is>
      </c>
      <c r="B24" s="4" t="inlineStr">
        <is>
          <t>3.3.9</t>
        </is>
      </c>
      <c r="C24" s="4" t="inlineStr">
        <is>
          <t>medical_student</t>
        </is>
      </c>
      <c r="D24" s="4" t="inlineStr">
        <is>
          <t>15 to 20 degrees</t>
        </is>
      </c>
      <c r="E24" s="4" t="inlineStr">
        <is>
          <t>Conventional teaching gives the first wave as roughly 15 to 20 degrees of flexion during loading response, returning towards extension by mid stance.</t>
        </is>
      </c>
      <c r="F24" s="4" t="inlineStr"/>
      <c r="G24" s="4" t="inlineStr"/>
      <c r="H24" s="4" t="inlineStr"/>
    </row>
    <row r="25">
      <c r="A25" s="4" t="inlineStr">
        <is>
          <t>3.3.9-F4</t>
        </is>
      </c>
      <c r="B25" s="4" t="inlineStr">
        <is>
          <t>3.3.9</t>
        </is>
      </c>
      <c r="C25" s="4" t="inlineStr">
        <is>
          <t>medical_student</t>
        </is>
      </c>
      <c r="D25" s="4" t="inlineStr">
        <is>
          <t>60 degrees</t>
        </is>
      </c>
      <c r="E25" s="4" t="inlineStr">
        <is>
          <t>The second wave reaches roughly 60 degrees in swing, which is the peak of the whole cycle and takes almost no muscle work to achieve.</t>
        </is>
      </c>
      <c r="F25" s="4" t="inlineStr"/>
      <c r="G25" s="4" t="inlineStr"/>
      <c r="H25" s="4" t="inlineStr"/>
    </row>
    <row r="26">
      <c r="A26" s="4" t="inlineStr">
        <is>
          <t>3.3.9-F5</t>
        </is>
      </c>
      <c r="B26" s="4" t="inlineStr">
        <is>
          <t>3.3.9</t>
        </is>
      </c>
      <c r="C26" s="4" t="inlineStr">
        <is>
          <t>medical_student</t>
        </is>
      </c>
      <c r="D26" s="4" t="inlineStr">
        <is>
          <t>60</t>
        </is>
      </c>
      <c r="E26" s="4" t="inlineStr">
        <is>
          <t>- Conventional teaching gives 15 to 20 degrees in stance and about 60 in swing.</t>
        </is>
      </c>
      <c r="F26" s="4" t="inlineStr"/>
      <c r="G26" s="4" t="inlineStr"/>
      <c r="H26" s="4" t="inlineStr"/>
    </row>
    <row r="27">
      <c r="A27" s="4" t="inlineStr">
        <is>
          <t>3.3.9-F6</t>
        </is>
      </c>
      <c r="B27" s="4" t="inlineStr">
        <is>
          <t>3.3.9</t>
        </is>
      </c>
      <c r="C27" s="4" t="inlineStr">
        <is>
          <t>mrcs</t>
        </is>
      </c>
      <c r="D27" s="4" t="inlineStr">
        <is>
          <t>5 degrees</t>
        </is>
      </c>
      <c r="E27" s="4" t="inlineStr">
        <is>
          <t>At initial contact the knee is near full extension, conventionally within about 5 degrees.</t>
        </is>
      </c>
      <c r="F27" s="4" t="inlineStr"/>
      <c r="G27" s="4" t="inlineStr"/>
      <c r="H27" s="4" t="inlineStr"/>
    </row>
    <row r="28">
      <c r="A28" s="4" t="inlineStr">
        <is>
          <t>3.3.10-F1</t>
        </is>
      </c>
      <c r="B28" s="4" t="inlineStr">
        <is>
          <t>3.3.10</t>
        </is>
      </c>
      <c r="C28" s="4" t="inlineStr">
        <is>
          <t>medical_student</t>
        </is>
      </c>
      <c r="D28" s="4" t="inlineStr">
        <is>
          <t>20 degrees</t>
        </is>
      </c>
      <c r="E28" s="4" t="inlineStr">
        <is>
          <t>Conventional teaching gives roughly 20 degrees at initial contact in running, against near extension in walking.</t>
        </is>
      </c>
      <c r="F28" s="4" t="inlineStr"/>
      <c r="G28" s="4" t="inlineStr"/>
      <c r="H28" s="4" t="inlineStr"/>
    </row>
    <row r="29">
      <c r="A29" s="4" t="inlineStr">
        <is>
          <t>3.3.10-F2</t>
        </is>
      </c>
      <c r="B29" s="4" t="inlineStr">
        <is>
          <t>3.3.10</t>
        </is>
      </c>
      <c r="C29" s="4" t="inlineStr">
        <is>
          <t>medical_student</t>
        </is>
      </c>
      <c r="D29" s="4" t="inlineStr">
        <is>
          <t>40 to 45 degrees</t>
        </is>
      </c>
      <c r="E29" s="4" t="inlineStr">
        <is>
          <t>Stance flexion then increases to roughly 40 to 45 degrees, which is more than double the walking wave and under a larger load.</t>
        </is>
      </c>
      <c r="F29" s="4" t="inlineStr"/>
      <c r="G29" s="4" t="inlineStr"/>
      <c r="H29" s="4" t="inlineStr"/>
    </row>
    <row r="30">
      <c r="A30" s="4" t="inlineStr">
        <is>
          <t>3.3.10-F3</t>
        </is>
      </c>
      <c r="B30" s="4" t="inlineStr">
        <is>
          <t>3.3.10</t>
        </is>
      </c>
      <c r="C30" s="4" t="inlineStr">
        <is>
          <t>medical_student</t>
        </is>
      </c>
      <c r="D30" s="4" t="inlineStr">
        <is>
          <t>90 to 130 degrees</t>
        </is>
      </c>
      <c r="E30" s="4" t="inlineStr">
        <is>
          <t>Conventional teaching gives roughly 90 to 130 degrees depending on speed, since the heel rises towards the buttock as speed increases.</t>
        </is>
      </c>
      <c r="F30" s="4" t="inlineStr"/>
      <c r="G30" s="4" t="inlineStr"/>
      <c r="H30" s="4" t="inlineStr"/>
    </row>
    <row r="31">
      <c r="A31" s="4" t="inlineStr">
        <is>
          <t>3.3.11-F1</t>
        </is>
      </c>
      <c r="B31" s="4" t="inlineStr">
        <is>
          <t>3.3.11</t>
        </is>
      </c>
      <c r="C31" s="4" t="inlineStr">
        <is>
          <t>medical_student</t>
        </is>
      </c>
      <c r="D31" s="4" t="inlineStr">
        <is>
          <t>100
degrees</t>
        </is>
      </c>
      <c r="E31" s="4" t="inlineStr">
        <is>
          <t>Flexion proceeds from full extension towards deep flexion, commonly past 100 degrees and in a full squat beyond 130.</t>
        </is>
      </c>
      <c r="F31" s="4" t="inlineStr"/>
      <c r="G31" s="4" t="inlineStr"/>
      <c r="H31" s="4" t="inlineStr"/>
    </row>
    <row r="32">
      <c r="A32" s="4" t="inlineStr">
        <is>
          <t>3.3.11-F2</t>
        </is>
      </c>
      <c r="B32" s="4" t="inlineStr">
        <is>
          <t>3.3.11</t>
        </is>
      </c>
      <c r="C32" s="4" t="inlineStr">
        <is>
          <t>medical_student</t>
        </is>
      </c>
      <c r="D32" s="4" t="inlineStr">
        <is>
          <t>130</t>
        </is>
      </c>
      <c r="E32" s="4" t="inlineStr">
        <is>
          <t>Flexion proceeds from full extension towards deep flexion, commonly past 100 degrees and in a full squat beyond 130.</t>
        </is>
      </c>
      <c r="F32" s="4" t="inlineStr"/>
      <c r="G32" s="4" t="inlineStr"/>
      <c r="H32" s="4" t="inlineStr"/>
    </row>
    <row r="33">
      <c r="A33" s="4" t="inlineStr">
        <is>
          <t>3.3.11-F3</t>
        </is>
      </c>
      <c r="B33" s="4" t="inlineStr">
        <is>
          <t>3.3.11</t>
        </is>
      </c>
      <c r="C33" s="4" t="inlineStr">
        <is>
          <t>medical_student</t>
        </is>
      </c>
      <c r="D33" s="4" t="inlineStr">
        <is>
          <t>120 degrees</t>
        </is>
      </c>
      <c r="E33" s="4" t="inlineStr">
        <is>
          <t>Beyond roughly 120 degrees the contact moves onto the posterior condyles, where the surfaces are smaller and the load per unit area is higher.</t>
        </is>
      </c>
      <c r="F33" s="4" t="inlineStr"/>
      <c r="G33" s="4" t="inlineStr"/>
      <c r="H33" s="4" t="inlineStr"/>
    </row>
    <row r="34">
      <c r="A34" s="4" t="inlineStr">
        <is>
          <t>3.3.12-F1</t>
        </is>
      </c>
      <c r="B34" s="4" t="inlineStr">
        <is>
          <t>3.3.12</t>
        </is>
      </c>
      <c r="C34" s="4" t="inlineStr">
        <is>
          <t>medical_student</t>
        </is>
      </c>
      <c r="D34" s="4" t="inlineStr">
        <is>
          <t>80 to 90 degrees</t>
        </is>
      </c>
      <c r="E34" s="4" t="inlineStr">
        <is>
          <t>Conventional teaching gives peak knee flexion on stairs as roughly 80 to 90 degrees, considerably more than walking on the level.</t>
        </is>
      </c>
      <c r="F34" s="4" t="inlineStr"/>
      <c r="G34" s="4" t="inlineStr"/>
      <c r="H34" s="4" t="inlineStr"/>
    </row>
  </sheetData>
  <dataValidations count="1">
    <dataValidation sqref="F3:F34"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111</f>
        <v/>
      </c>
      <c r="C2" s="3">
        <f>32</f>
        <v/>
      </c>
    </row>
    <row r="3">
      <c r="A3" s="2" t="inlineStr">
        <is>
          <t>Decided</t>
        </is>
      </c>
      <c r="B3" s="3">
        <f>COUNTIF(Recommendations!E3:E113,"&lt;&gt;")</f>
        <v/>
      </c>
      <c r="C3" s="3">
        <f>COUNTIF(Measurements!F3:F34,"&lt;&gt;")</f>
        <v/>
      </c>
    </row>
    <row r="4">
      <c r="A4" s="2" t="inlineStr">
        <is>
          <t>Still blank</t>
        </is>
      </c>
      <c r="B4" s="3">
        <f>B2-B3</f>
        <v/>
      </c>
      <c r="C4" s="3">
        <f>C2-C3</f>
        <v/>
      </c>
    </row>
    <row r="5">
      <c r="A5" s="2" t="inlineStr">
        <is>
          <t>CONFIRMED</t>
        </is>
      </c>
      <c r="B5" s="3">
        <f>COUNTIF(Recommendations!E3:E113,"CONFIRMED")</f>
        <v/>
      </c>
      <c r="C5" s="3" t="inlineStr"/>
    </row>
    <row r="6">
      <c r="A6" s="2" t="inlineStr">
        <is>
          <t>AMENDED</t>
        </is>
      </c>
      <c r="B6" s="3">
        <f>COUNTIF(Recommendations!E3:E113,"AMENDED")</f>
        <v/>
      </c>
      <c r="C6" s="3" t="inlineStr"/>
    </row>
    <row r="7">
      <c r="A7" s="2" t="inlineStr">
        <is>
          <t>WITHDRAWN</t>
        </is>
      </c>
      <c r="B7" s="3">
        <f>COUNTIF(Recommendations!E3:E113,"WITHDRAWN")</f>
        <v/>
      </c>
      <c r="C7" s="3" t="inlineStr"/>
    </row>
    <row r="8">
      <c r="A8" s="2" t="inlineStr">
        <is>
          <t>NOT_CLINICAL</t>
        </is>
      </c>
      <c r="B8" s="3">
        <f>COUNTIF(Recommendations!E3:E113,"NOT_CLINICAL")</f>
        <v/>
      </c>
      <c r="C8" s="3" t="inlineStr"/>
    </row>
    <row r="9">
      <c r="A9" s="2" t="inlineStr">
        <is>
          <t>VERIFIED</t>
        </is>
      </c>
      <c r="B9" s="3" t="inlineStr"/>
      <c r="C9" s="3">
        <f>COUNTIF(Measurements!F3:F34,"VERIFIED")</f>
        <v/>
      </c>
    </row>
    <row r="10">
      <c r="A10" s="2" t="inlineStr">
        <is>
          <t>CORRECTED</t>
        </is>
      </c>
      <c r="B10" s="3" t="inlineStr"/>
      <c r="C10" s="3">
        <f>COUNTIF(Measurements!F3:F34,"CORRECTED")</f>
        <v/>
      </c>
    </row>
    <row r="11">
      <c r="A11" s="2" t="inlineStr">
        <is>
          <t>REMOVED</t>
        </is>
      </c>
      <c r="B11" s="3" t="inlineStr"/>
      <c r="C11" s="3">
        <f>COUNTIF(Measurements!F3:F34,"REMOVED")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2026-10-17T16:08:07Z</dcterms:created>
  <dcterms:modified xmlns:dcterms="http://purl.org/dc/terms/" xmlns:xsi="http://www.w3.org/2001/XMLSchema-instance" xsi:type="dcterms:W3CDTF">2026-10-17T16:08:07Z</dcterms:modified>
</cp:coreProperties>
</file>