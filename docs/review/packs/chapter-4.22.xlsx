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4.22 Examination Scoring Systems</t>
        </is>
      </c>
    </row>
    <row r="3">
      <c r="A3" s="2" t="inlineStr">
        <is>
          <t>Section</t>
        </is>
      </c>
      <c r="B3" s="3" t="inlineStr">
        <is>
          <t>4</t>
        </is>
      </c>
    </row>
    <row r="4">
      <c r="A4" s="2" t="inlineStr">
        <is>
          <t>Chapter</t>
        </is>
      </c>
      <c r="B4" s="3" t="inlineStr">
        <is>
          <t>4.22 Examination Scoring Systems</t>
        </is>
      </c>
    </row>
    <row r="5">
      <c r="A5" s="2" t="inlineStr">
        <is>
          <t>Pages</t>
        </is>
      </c>
      <c r="B5" s="3" t="n">
        <v>8</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11,407</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22</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4.22.1</t>
        </is>
      </c>
      <c r="B2" s="6" t="inlineStr">
        <is>
          <t>IKDC</t>
        </is>
      </c>
      <c r="C2" s="6" t="n">
        <v>4</v>
      </c>
      <c r="D2" s="6" t="n">
        <v>1450</v>
      </c>
      <c r="E2" s="6" t="inlineStr">
        <is>
          <t>examination/ikdc.html</t>
        </is>
      </c>
    </row>
    <row r="3">
      <c r="A3" s="6" t="inlineStr">
        <is>
          <t>4.22.2</t>
        </is>
      </c>
      <c r="B3" s="6" t="inlineStr">
        <is>
          <t>KOOS</t>
        </is>
      </c>
      <c r="C3" s="6" t="n">
        <v>4</v>
      </c>
      <c r="D3" s="6" t="n">
        <v>1364</v>
      </c>
      <c r="E3" s="6" t="inlineStr">
        <is>
          <t>examination/koos.html</t>
        </is>
      </c>
    </row>
    <row r="4">
      <c r="A4" s="6" t="inlineStr">
        <is>
          <t>4.22.3</t>
        </is>
      </c>
      <c r="B4" s="6" t="inlineStr">
        <is>
          <t>Lysholm</t>
        </is>
      </c>
      <c r="C4" s="6" t="n">
        <v>4</v>
      </c>
      <c r="D4" s="6" t="n">
        <v>1382</v>
      </c>
      <c r="E4" s="6" t="inlineStr">
        <is>
          <t>examination/lysholm.html</t>
        </is>
      </c>
    </row>
    <row r="5">
      <c r="A5" s="6" t="inlineStr">
        <is>
          <t>4.22.4</t>
        </is>
      </c>
      <c r="B5" s="6" t="inlineStr">
        <is>
          <t>Tegner</t>
        </is>
      </c>
      <c r="C5" s="6" t="n">
        <v>4</v>
      </c>
      <c r="D5" s="6" t="n">
        <v>1460</v>
      </c>
      <c r="E5" s="6" t="inlineStr">
        <is>
          <t>examination/tegner.html</t>
        </is>
      </c>
    </row>
    <row r="6">
      <c r="A6" s="6" t="inlineStr">
        <is>
          <t>4.22.5</t>
        </is>
      </c>
      <c r="B6" s="6" t="inlineStr">
        <is>
          <t>Oxford Knee Score</t>
        </is>
      </c>
      <c r="C6" s="6" t="n">
        <v>4</v>
      </c>
      <c r="D6" s="6" t="n">
        <v>1393</v>
      </c>
      <c r="E6" s="6" t="inlineStr">
        <is>
          <t>examination/oxford-knee-score.html</t>
        </is>
      </c>
    </row>
    <row r="7">
      <c r="A7" s="6" t="inlineStr">
        <is>
          <t>4.22.6</t>
        </is>
      </c>
      <c r="B7" s="6" t="inlineStr">
        <is>
          <t>ACL-RSI</t>
        </is>
      </c>
      <c r="C7" s="6" t="n">
        <v>4</v>
      </c>
      <c r="D7" s="6" t="n">
        <v>1452</v>
      </c>
      <c r="E7" s="6" t="inlineStr">
        <is>
          <t>examination/acl-rsi.html</t>
        </is>
      </c>
    </row>
    <row r="8">
      <c r="A8" s="6" t="inlineStr">
        <is>
          <t>4.22.7</t>
        </is>
      </c>
      <c r="B8" s="6" t="inlineStr">
        <is>
          <t>Sportshealing Knee Score</t>
        </is>
      </c>
      <c r="C8" s="6" t="n">
        <v>4</v>
      </c>
      <c r="D8" s="6" t="n">
        <v>1587</v>
      </c>
      <c r="E8" s="6" t="inlineStr">
        <is>
          <t>examination/sportshealing-knee-score.html</t>
        </is>
      </c>
    </row>
    <row r="9">
      <c r="A9" s="6" t="inlineStr">
        <is>
          <t>4.22.8</t>
        </is>
      </c>
      <c r="B9" s="6" t="inlineStr">
        <is>
          <t>PROMs in Clinical Practice</t>
        </is>
      </c>
      <c r="C9" s="6" t="n">
        <v>4</v>
      </c>
      <c r="D9" s="6" t="n">
        <v>1319</v>
      </c>
      <c r="E9" s="6" t="inlineStr">
        <is>
          <t>examination/proms-in-clinical-practice.html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4.22.1</t>
        </is>
      </c>
      <c r="B2" s="4" t="inlineStr">
        <is>
          <t>IKDC</t>
        </is>
      </c>
      <c r="C2" s="4" t="inlineStr">
        <is>
          <t>An instrument is validated for a population and a purpose.</t>
        </is>
      </c>
    </row>
    <row r="3">
      <c r="A3" s="4" t="inlineStr">
        <is>
          <t>4.22.1</t>
        </is>
      </c>
      <c r="B3" s="4" t="inlineStr">
        <is>
          <t>IKDC</t>
        </is>
      </c>
      <c r="C3" s="4" t="inlineStr">
        <is>
          <t>Two patients with the same score can have different problems.</t>
        </is>
      </c>
    </row>
    <row r="4">
      <c r="A4" s="4" t="inlineStr">
        <is>
          <t>4.22.1</t>
        </is>
      </c>
      <c r="B4" s="4" t="inlineStr">
        <is>
          <t>IKDC</t>
        </is>
      </c>
      <c r="C4" s="4" t="inlineStr">
        <is>
          <t>Importance thresholds are published quantities not stated here.</t>
        </is>
      </c>
    </row>
    <row r="5">
      <c r="A5" s="4" t="inlineStr">
        <is>
          <t>4.22.1</t>
        </is>
      </c>
      <c r="B5" s="4" t="inlineStr">
        <is>
          <t>IKDC</t>
        </is>
      </c>
      <c r="C5" s="4" t="inlineStr">
        <is>
          <t>Expectation shapes the score as much as the knee does.</t>
        </is>
      </c>
    </row>
    <row r="6">
      <c r="A6" s="4" t="inlineStr">
        <is>
          <t>4.22.1</t>
        </is>
      </c>
      <c r="B6" s="4" t="inlineStr">
        <is>
          <t>IKDC</t>
        </is>
      </c>
      <c r="C6" s="4" t="inlineStr">
        <is>
          <t>Ceiling and floor effects truncate the hardest populations.</t>
        </is>
      </c>
    </row>
    <row r="7">
      <c r="A7" s="4" t="inlineStr">
        <is>
          <t>4.22.2</t>
        </is>
      </c>
      <c r="B7" s="4" t="inlineStr">
        <is>
          <t>KOOS</t>
        </is>
      </c>
      <c r="C7" s="4" t="inlineStr">
        <is>
          <t>Five subscales mean five comparisons, which needs interpretive care.</t>
        </is>
      </c>
    </row>
    <row r="8">
      <c r="A8" s="4" t="inlineStr">
        <is>
          <t>4.22.2</t>
        </is>
      </c>
      <c r="B8" s="4" t="inlineStr">
        <is>
          <t>KOOS</t>
        </is>
      </c>
      <c r="C8" s="4" t="inlineStr">
        <is>
          <t>The domains are not independent of each other.</t>
        </is>
      </c>
    </row>
    <row r="9">
      <c r="A9" s="4" t="inlineStr">
        <is>
          <t>4.22.2</t>
        </is>
      </c>
      <c r="B9" s="4" t="inlineStr">
        <is>
          <t>KOOS</t>
        </is>
      </c>
      <c r="C9" s="4" t="inlineStr">
        <is>
          <t>Each subscale has its own ceiling and floor.</t>
        </is>
      </c>
    </row>
    <row r="10">
      <c r="A10" s="4" t="inlineStr">
        <is>
          <t>4.22.2</t>
        </is>
      </c>
      <c r="B10" s="4" t="inlineStr">
        <is>
          <t>KOOS</t>
        </is>
      </c>
      <c r="C10" s="4" t="inlineStr">
        <is>
          <t>Importance thresholds differ by subscale and are not stated here.</t>
        </is>
      </c>
    </row>
    <row r="11">
      <c r="A11" s="4" t="inlineStr">
        <is>
          <t>4.22.2</t>
        </is>
      </c>
      <c r="B11" s="4" t="inlineStr">
        <is>
          <t>KOOS</t>
        </is>
      </c>
      <c r="C11" s="4" t="inlineStr">
        <is>
          <t>A profile describes a state without explaining it.</t>
        </is>
      </c>
    </row>
    <row r="12">
      <c r="A12" s="4" t="inlineStr">
        <is>
          <t>4.22.3</t>
        </is>
      </c>
      <c r="B12" s="4" t="inlineStr">
        <is>
          <t>Lysholm</t>
        </is>
      </c>
      <c r="C12" s="4" t="inlineStr">
        <is>
          <t>Its items reflect the activities and expectations of its period.</t>
        </is>
      </c>
    </row>
    <row r="13">
      <c r="A13" s="4" t="inlineStr">
        <is>
          <t>4.22.3</t>
        </is>
      </c>
      <c r="B13" s="4" t="inlineStr">
        <is>
          <t>Lysholm</t>
        </is>
      </c>
      <c r="C13" s="4" t="inlineStr">
        <is>
          <t>It is not a pure patient reported measure despite its use as one.</t>
        </is>
      </c>
    </row>
    <row r="14">
      <c r="A14" s="4" t="inlineStr">
        <is>
          <t>4.22.3</t>
        </is>
      </c>
      <c r="B14" s="4" t="inlineStr">
        <is>
          <t>Lysholm</t>
        </is>
      </c>
      <c r="C14" s="4" t="inlineStr">
        <is>
          <t>Ceiling effects are more marked than in instruments with a sport domain.</t>
        </is>
      </c>
    </row>
    <row r="15">
      <c r="A15" s="4" t="inlineStr">
        <is>
          <t>4.22.3</t>
        </is>
      </c>
      <c r="B15" s="4" t="inlineStr">
        <is>
          <t>Lysholm</t>
        </is>
      </c>
      <c r="C15" s="4" t="inlineStr">
        <is>
          <t>Comparability argues for collecting it alongside a modern instrument.</t>
        </is>
      </c>
    </row>
    <row r="16">
      <c r="A16" s="4" t="inlineStr">
        <is>
          <t>4.22.3</t>
        </is>
      </c>
      <c r="B16" s="4" t="inlineStr">
        <is>
          <t>Lysholm</t>
        </is>
      </c>
      <c r="C16" s="4" t="inlineStr">
        <is>
          <t>No claim about its psychometric properties is made here.</t>
        </is>
      </c>
    </row>
    <row r="17">
      <c r="A17" s="4" t="inlineStr">
        <is>
          <t>4.22.4</t>
        </is>
      </c>
      <c r="B17" s="4" t="inlineStr">
        <is>
          <t>Tegner</t>
        </is>
      </c>
      <c r="C17" s="4" t="inlineStr">
        <is>
          <t>One ordered list compresses sport, frequency, intensity and position.</t>
        </is>
      </c>
    </row>
    <row r="18">
      <c r="A18" s="4" t="inlineStr">
        <is>
          <t>4.22.4</t>
        </is>
      </c>
      <c r="B18" s="4" t="inlineStr">
        <is>
          <t>Tegner</t>
        </is>
      </c>
      <c r="C18" s="4" t="inlineStr">
        <is>
          <t>The pre injury level is recalled and recall is systematically generous.</t>
        </is>
      </c>
    </row>
    <row r="19">
      <c r="A19" s="4" t="inlineStr">
        <is>
          <t>4.22.4</t>
        </is>
      </c>
      <c r="B19" s="4" t="inlineStr">
        <is>
          <t>Tegner</t>
        </is>
      </c>
      <c r="C19" s="4" t="inlineStr">
        <is>
          <t>The levels reflect the sports of a particular time and place.</t>
        </is>
      </c>
    </row>
    <row r="20">
      <c r="A20" s="4" t="inlineStr">
        <is>
          <t>4.22.4</t>
        </is>
      </c>
      <c r="B20" s="4" t="inlineStr">
        <is>
          <t>Tegner</t>
        </is>
      </c>
      <c r="C20" s="4" t="inlineStr">
        <is>
          <t>The same level is not the same performance.</t>
        </is>
      </c>
    </row>
    <row r="21">
      <c r="A21" s="4" t="inlineStr">
        <is>
          <t>4.22.4</t>
        </is>
      </c>
      <c r="B21" s="4" t="inlineStr">
        <is>
          <t>Tegner</t>
        </is>
      </c>
      <c r="C21" s="4" t="inlineStr">
        <is>
          <t>Activity level is a confounder in every comparison that omits it.</t>
        </is>
      </c>
    </row>
    <row r="22">
      <c r="A22" s="4" t="inlineStr">
        <is>
          <t>4.22.5</t>
        </is>
      </c>
      <c r="B22" s="4" t="inlineStr">
        <is>
          <t>Oxford Knee Score</t>
        </is>
      </c>
      <c r="C22" s="4" t="inlineStr">
        <is>
          <t>The ceiling compresses the difference between good and excellent.</t>
        </is>
      </c>
    </row>
    <row r="23">
      <c r="A23" s="4" t="inlineStr">
        <is>
          <t>4.22.5</t>
        </is>
      </c>
      <c r="B23" s="4" t="inlineStr">
        <is>
          <t>Oxford Knee Score</t>
        </is>
      </c>
      <c r="C23" s="4" t="inlineStr">
        <is>
          <t>A patient dissatisfied about sport or kneeling is poorly described by a good score.</t>
        </is>
      </c>
    </row>
    <row r="24">
      <c r="A24" s="4" t="inlineStr">
        <is>
          <t>4.22.5</t>
        </is>
      </c>
      <c r="B24" s="4" t="inlineStr">
        <is>
          <t>Oxford Knee Score</t>
        </is>
      </c>
      <c r="C24" s="4" t="inlineStr">
        <is>
          <t>A difference between services can reflect populations rather than surgery.</t>
        </is>
      </c>
    </row>
    <row r="25">
      <c r="A25" s="4" t="inlineStr">
        <is>
          <t>4.22.5</t>
        </is>
      </c>
      <c r="B25" s="4" t="inlineStr">
        <is>
          <t>Oxford Knee Score</t>
        </is>
      </c>
      <c r="C25" s="4" t="inlineStr">
        <is>
          <t>A single total discards the pattern.</t>
        </is>
      </c>
    </row>
    <row r="26">
      <c r="A26" s="4" t="inlineStr">
        <is>
          <t>4.22.5</t>
        </is>
      </c>
      <c r="B26" s="4" t="inlineStr">
        <is>
          <t>Oxford Knee Score</t>
        </is>
      </c>
      <c r="C26" s="4" t="inlineStr">
        <is>
          <t>Importance thresholds are not stated here.</t>
        </is>
      </c>
    </row>
    <row r="27">
      <c r="A27" s="4" t="inlineStr">
        <is>
          <t>4.22.6</t>
        </is>
      </c>
      <c r="B27" s="4" t="inlineStr">
        <is>
          <t>ACL-RSI</t>
        </is>
      </c>
      <c r="C27" s="4" t="inlineStr">
        <is>
          <t>The score is an intervention target rather than a trait.</t>
        </is>
      </c>
    </row>
    <row r="28">
      <c r="A28" s="4" t="inlineStr">
        <is>
          <t>4.22.6</t>
        </is>
      </c>
      <c r="B28" s="4" t="inlineStr">
        <is>
          <t>ACL-RSI</t>
        </is>
      </c>
      <c r="C28" s="4" t="inlineStr">
        <is>
          <t>Fear and capacity are entangled, so the battery's separation is incomplete.</t>
        </is>
      </c>
    </row>
    <row r="29">
      <c r="A29" s="4" t="inlineStr">
        <is>
          <t>4.22.6</t>
        </is>
      </c>
      <c r="B29" s="4" t="inlineStr">
        <is>
          <t>ACL-RSI</t>
        </is>
      </c>
      <c r="C29" s="4" t="inlineStr">
        <is>
          <t>A score completed for the decider is subject to an obvious incentive.</t>
        </is>
      </c>
    </row>
    <row r="30">
      <c r="A30" s="4" t="inlineStr">
        <is>
          <t>4.22.6</t>
        </is>
      </c>
      <c r="B30" s="4" t="inlineStr">
        <is>
          <t>ACL-RSI</t>
        </is>
      </c>
      <c r="C30" s="4" t="inlineStr">
        <is>
          <t>Its relationship to return and reinjury is a literature question.</t>
        </is>
      </c>
    </row>
    <row r="31">
      <c r="A31" s="4" t="inlineStr">
        <is>
          <t>4.22.6</t>
        </is>
      </c>
      <c r="B31" s="4" t="inlineStr">
        <is>
          <t>ACL-RSI</t>
        </is>
      </c>
      <c r="C31" s="4" t="inlineStr">
        <is>
          <t>Acting on the finding may be a referral question.</t>
        </is>
      </c>
    </row>
    <row r="32">
      <c r="A32" s="4" t="inlineStr">
        <is>
          <t>4.22.7</t>
        </is>
      </c>
      <c r="B32" s="4" t="inlineStr">
        <is>
          <t>Sportshealing Knee Score</t>
        </is>
      </c>
      <c r="C32" s="4" t="inlineStr">
        <is>
          <t>The development stages are nameable and none is in this repository.</t>
        </is>
      </c>
    </row>
    <row r="33">
      <c r="A33" s="4" t="inlineStr">
        <is>
          <t>4.22.7</t>
        </is>
      </c>
      <c r="B33" s="4" t="inlineStr">
        <is>
          <t>Sportshealing Knee Score</t>
        </is>
      </c>
      <c r="C33" s="4" t="inlineStr">
        <is>
          <t>The seven domains overlap, so an unreduced item set would double count.</t>
        </is>
      </c>
    </row>
    <row r="34">
      <c r="A34" s="4" t="inlineStr">
        <is>
          <t>4.22.7</t>
        </is>
      </c>
      <c r="B34" s="4" t="inlineStr">
        <is>
          <t>Sportshealing Knee Score</t>
        </is>
      </c>
      <c r="C34" s="4" t="inlineStr">
        <is>
          <t>Spanning two populations doubles the validation work.</t>
        </is>
      </c>
    </row>
    <row r="35">
      <c r="A35" s="4" t="inlineStr">
        <is>
          <t>4.22.7</t>
        </is>
      </c>
      <c r="B35" s="4" t="inlineStr">
        <is>
          <t>Sportshealing Knee Score</t>
        </is>
      </c>
      <c r="C35" s="4" t="inlineStr">
        <is>
          <t>A site specific instrument needs published development work as its defence.</t>
        </is>
      </c>
    </row>
    <row r="36">
      <c r="A36" s="4" t="inlineStr">
        <is>
          <t>4.22.7</t>
        </is>
      </c>
      <c r="B36" s="4" t="inlineStr">
        <is>
          <t>Sportshealing Knee Score</t>
        </is>
      </c>
      <c r="C36" s="4" t="inlineStr">
        <is>
          <t>The honest description is seven domains and no instrument.</t>
        </is>
      </c>
    </row>
    <row r="37">
      <c r="A37" s="4" t="inlineStr">
        <is>
          <t>4.22.8</t>
        </is>
      </c>
      <c r="B37" s="4" t="inlineStr">
        <is>
          <t>PROMs in Clinical Practice</t>
        </is>
      </c>
      <c r="C37" s="4" t="inlineStr">
        <is>
          <t>A mean score across a service describes nobody.</t>
        </is>
      </c>
    </row>
    <row r="38">
      <c r="A38" s="4" t="inlineStr">
        <is>
          <t>4.22.8</t>
        </is>
      </c>
      <c r="B38" s="4" t="inlineStr">
        <is>
          <t>PROMs in Clinical Practice</t>
        </is>
      </c>
      <c r="C38" s="4" t="inlineStr">
        <is>
          <t>Importance thresholds differ by instrument and population and none is stated here.</t>
        </is>
      </c>
    </row>
    <row r="39">
      <c r="A39" s="4" t="inlineStr">
        <is>
          <t>4.22.8</t>
        </is>
      </c>
      <c r="B39" s="4" t="inlineStr">
        <is>
          <t>PROMs in Clinical Practice</t>
        </is>
      </c>
      <c r="C39" s="4" t="inlineStr">
        <is>
          <t>Different expectations make a between population comparison not about treatment.</t>
        </is>
      </c>
    </row>
    <row r="40">
      <c r="A40" s="4" t="inlineStr">
        <is>
          <t>4.22.8</t>
        </is>
      </c>
      <c r="B40" s="4" t="inlineStr">
        <is>
          <t>PROMs in Clinical Practice</t>
        </is>
      </c>
      <c r="C40" s="4" t="inlineStr">
        <is>
          <t>Missing data in a collected series is not missing at random.</t>
        </is>
      </c>
    </row>
    <row r="41">
      <c r="A41" s="4" t="inlineStr">
        <is>
          <t>4.22.8</t>
        </is>
      </c>
      <c r="B41" s="4" t="inlineStr">
        <is>
          <t>PROMs in Clinical Practice</t>
        </is>
      </c>
      <c r="C41" s="4" t="inlineStr">
        <is>
          <t>An instrument applied outside its population produces numbers of unknown meaning.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4.22.1-P1</t>
        </is>
      </c>
      <c r="B3" s="4" t="inlineStr">
        <is>
          <t>4.22.1</t>
        </is>
      </c>
      <c r="C3" s="4" t="inlineStr">
        <is>
          <t>medical_student</t>
        </is>
      </c>
      <c r="D3" s="4" t="inlineStr">
        <is>
          <t>Check for missing items before scoring, since an incomplete questionnaire cannot be scored.</t>
        </is>
      </c>
      <c r="E3" s="4" t="inlineStr"/>
      <c r="F3" s="4" t="inlineStr"/>
      <c r="G3" s="4" t="inlineStr"/>
    </row>
    <row r="4">
      <c r="A4" s="4" t="inlineStr">
        <is>
          <t>4.22.1-P2</t>
        </is>
      </c>
      <c r="B4" s="4" t="inlineStr">
        <is>
          <t>4.22.1</t>
        </is>
      </c>
      <c r="C4" s="4" t="inlineStr">
        <is>
          <t>medical_student</t>
        </is>
      </c>
      <c r="D4" s="4" t="inlineStr">
        <is>
          <t>Record the score with its date, because the value of these instruments is the comparison over time.</t>
        </is>
      </c>
      <c r="E4" s="4" t="inlineStr"/>
      <c r="F4" s="4" t="inlineStr"/>
      <c r="G4" s="4" t="inlineStr"/>
    </row>
    <row r="5">
      <c r="A5" s="4" t="inlineStr">
        <is>
          <t>4.22.1-P3</t>
        </is>
      </c>
      <c r="B5" s="4" t="inlineStr">
        <is>
          <t>4.22.1</t>
        </is>
      </c>
      <c r="C5" s="4" t="inlineStr">
        <is>
          <t>medical_student</t>
        </is>
      </c>
      <c r="D5" s="4" t="inlineStr">
        <is>
          <t>Record the examination findings separately, so the two are not blended.</t>
        </is>
      </c>
      <c r="E5" s="4" t="inlineStr"/>
      <c r="F5" s="4" t="inlineStr"/>
      <c r="G5" s="4" t="inlineStr"/>
    </row>
    <row r="6">
      <c r="A6" s="4" t="inlineStr">
        <is>
          <t>4.22.2-P1</t>
        </is>
      </c>
      <c r="B6" s="4" t="inlineStr">
        <is>
          <t>4.22.2</t>
        </is>
      </c>
      <c r="C6" s="4" t="inlineStr">
        <is>
          <t>medical_student</t>
        </is>
      </c>
      <c r="D6" s="4" t="inlineStr">
        <is>
          <t>Check completeness for each subscale, because the subscales are scored separately.</t>
        </is>
      </c>
      <c r="E6" s="4" t="inlineStr"/>
      <c r="F6" s="4" t="inlineStr"/>
      <c r="G6" s="4" t="inlineStr"/>
    </row>
    <row r="7">
      <c r="A7" s="4" t="inlineStr">
        <is>
          <t>4.22.2-P2</t>
        </is>
      </c>
      <c r="B7" s="4" t="inlineStr">
        <is>
          <t>4.22.2</t>
        </is>
      </c>
      <c r="C7" s="4" t="inlineStr">
        <is>
          <t>medical_student</t>
        </is>
      </c>
      <c r="D7" s="4" t="inlineStr">
        <is>
          <t>Record all the subscales rather than selecting one, since the pattern is the information.</t>
        </is>
      </c>
      <c r="E7" s="4" t="inlineStr"/>
      <c r="F7" s="4" t="inlineStr"/>
      <c r="G7" s="4" t="inlineStr"/>
    </row>
    <row r="8">
      <c r="A8" s="4" t="inlineStr">
        <is>
          <t>4.22.2-P3</t>
        </is>
      </c>
      <c r="B8" s="4" t="inlineStr">
        <is>
          <t>4.22.2</t>
        </is>
      </c>
      <c r="C8" s="4" t="inlineStr">
        <is>
          <t>medical_student</t>
        </is>
      </c>
      <c r="D8" s="4" t="inlineStr">
        <is>
          <t>Record the date, because the comparison over time is the use.</t>
        </is>
      </c>
      <c r="E8" s="4" t="inlineStr"/>
      <c r="F8" s="4" t="inlineStr"/>
      <c r="G8" s="4" t="inlineStr"/>
    </row>
    <row r="9">
      <c r="A9" s="4" t="inlineStr">
        <is>
          <t>4.22.3-P1</t>
        </is>
      </c>
      <c r="B9" s="4" t="inlineStr">
        <is>
          <t>4.22.3</t>
        </is>
      </c>
      <c r="C9" s="4" t="inlineStr">
        <is>
          <t>medical_student</t>
        </is>
      </c>
      <c r="D9" s="4" t="inlineStr">
        <is>
          <t>Record the score with its date and with the condition it is being used for, since its interpretation depends on that.</t>
        </is>
      </c>
      <c r="E9" s="4" t="inlineStr"/>
      <c r="F9" s="4" t="inlineStr"/>
      <c r="G9" s="4" t="inlineStr"/>
    </row>
    <row r="10">
      <c r="A10" s="4" t="inlineStr">
        <is>
          <t>4.22.3-P2</t>
        </is>
      </c>
      <c r="B10" s="4" t="inlineStr">
        <is>
          <t>4.22.3</t>
        </is>
      </c>
      <c r="C10" s="4" t="inlineStr">
        <is>
          <t>medical_student</t>
        </is>
      </c>
      <c r="D10" s="4" t="inlineStr">
        <is>
          <t>Consider whether a different instrument fits the patient better before using this one.</t>
        </is>
      </c>
      <c r="E10" s="4" t="inlineStr"/>
      <c r="F10" s="4" t="inlineStr"/>
      <c r="G10" s="4" t="inlineStr"/>
    </row>
    <row r="11">
      <c r="A11" s="4" t="inlineStr">
        <is>
          <t>4.22.4-P1</t>
        </is>
      </c>
      <c r="B11" s="4" t="inlineStr">
        <is>
          <t>4.22.4</t>
        </is>
      </c>
      <c r="C11" s="4" t="inlineStr">
        <is>
          <t>medical_student</t>
        </is>
      </c>
      <c r="D11" s="4" t="inlineStr">
        <is>
          <t>Ask the patient to identify their current level from the graded list rather than describing their activity in their own words.</t>
        </is>
      </c>
      <c r="E11" s="4" t="inlineStr"/>
      <c r="F11" s="4" t="inlineStr"/>
      <c r="G11" s="4" t="inlineStr"/>
    </row>
    <row r="12">
      <c r="A12" s="4" t="inlineStr">
        <is>
          <t>4.22.4-P2</t>
        </is>
      </c>
      <c r="B12" s="4" t="inlineStr">
        <is>
          <t>4.22.4</t>
        </is>
      </c>
      <c r="C12" s="4" t="inlineStr">
        <is>
          <t>medical_student</t>
        </is>
      </c>
      <c r="D12" s="4" t="inlineStr">
        <is>
          <t>Ask them also to identify their level before the injury, since the drop is the informative quantity.</t>
        </is>
      </c>
      <c r="E12" s="4" t="inlineStr"/>
      <c r="F12" s="4" t="inlineStr"/>
      <c r="G12" s="4" t="inlineStr"/>
    </row>
    <row r="13">
      <c r="A13" s="4" t="inlineStr">
        <is>
          <t>4.22.4-P3</t>
        </is>
      </c>
      <c r="B13" s="4" t="inlineStr">
        <is>
          <t>4.22.4</t>
        </is>
      </c>
      <c r="C13" s="4" t="inlineStr">
        <is>
          <t>medical_student</t>
        </is>
      </c>
      <c r="D13" s="4" t="inlineStr">
        <is>
          <t>Record both values with the date.</t>
        </is>
      </c>
      <c r="E13" s="4" t="inlineStr"/>
      <c r="F13" s="4" t="inlineStr"/>
      <c r="G13" s="4" t="inlineStr"/>
    </row>
    <row r="14">
      <c r="A14" s="4" t="inlineStr">
        <is>
          <t>4.22.4-P4</t>
        </is>
      </c>
      <c r="B14" s="4" t="inlineStr">
        <is>
          <t>4.22.4</t>
        </is>
      </c>
      <c r="C14" s="4" t="inlineStr">
        <is>
          <t>medical_student</t>
        </is>
      </c>
      <c r="D14" s="4" t="inlineStr">
        <is>
          <t>Record the sport and the position, because the same level covers different demands.</t>
        </is>
      </c>
      <c r="E14" s="4" t="inlineStr"/>
      <c r="F14" s="4" t="inlineStr"/>
      <c r="G14" s="4" t="inlineStr"/>
    </row>
    <row r="15">
      <c r="A15" s="4" t="inlineStr">
        <is>
          <t>4.22.4-P5</t>
        </is>
      </c>
      <c r="B15" s="4" t="inlineStr">
        <is>
          <t>4.22.4</t>
        </is>
      </c>
      <c r="C15" s="4" t="inlineStr">
        <is>
          <t>medical_student</t>
        </is>
      </c>
      <c r="D15" s="4" t="inlineStr">
        <is>
          <t>Record it alongside a symptom score rather than on its own.</t>
        </is>
      </c>
      <c r="E15" s="4" t="inlineStr"/>
      <c r="F15" s="4" t="inlineStr"/>
      <c r="G15" s="4" t="inlineStr"/>
    </row>
    <row r="16">
      <c r="A16" s="4" t="inlineStr">
        <is>
          <t>4.22.4-P6</t>
        </is>
      </c>
      <c r="B16" s="4" t="inlineStr">
        <is>
          <t>4.22.4</t>
        </is>
      </c>
      <c r="C16" s="4" t="inlineStr">
        <is>
          <t>medical_student</t>
        </is>
      </c>
      <c r="D16" s="4" t="inlineStr">
        <is>
          <t>Avoid converting the level into a percentage, since it is an ordered list rather than a measurement.</t>
        </is>
      </c>
      <c r="E16" s="4" t="inlineStr"/>
      <c r="F16" s="4" t="inlineStr"/>
      <c r="G16" s="4" t="inlineStr"/>
    </row>
    <row r="17">
      <c r="A17" s="4" t="inlineStr">
        <is>
          <t>4.22.4-P7</t>
        </is>
      </c>
      <c r="B17" s="4" t="inlineStr">
        <is>
          <t>4.22.4</t>
        </is>
      </c>
      <c r="C17" s="4" t="inlineStr">
        <is>
          <t>frcs</t>
        </is>
      </c>
      <c r="D17" s="4" t="inlineStr">
        <is>
          <t>- The levels are not an interval scale and should not be averaged.</t>
        </is>
      </c>
      <c r="E17" s="4" t="inlineStr"/>
      <c r="F17" s="4" t="inlineStr"/>
      <c r="G17" s="4" t="inlineStr"/>
    </row>
    <row r="18">
      <c r="A18" s="4" t="inlineStr">
        <is>
          <t>4.22.5-P1</t>
        </is>
      </c>
      <c r="B18" s="4" t="inlineStr">
        <is>
          <t>4.22.5</t>
        </is>
      </c>
      <c r="C18" s="4" t="inlineStr">
        <is>
          <t>medical_student</t>
        </is>
      </c>
      <c r="D18" s="4" t="inlineStr">
        <is>
          <t>Record it with the date, before and after the operation, since the change is what it is for.</t>
        </is>
      </c>
      <c r="E18" s="4" t="inlineStr"/>
      <c r="F18" s="4" t="inlineStr"/>
      <c r="G18" s="4" t="inlineStr"/>
    </row>
    <row r="19">
      <c r="A19" s="4" t="inlineStr">
        <is>
          <t>4.22.5-P2</t>
        </is>
      </c>
      <c r="B19" s="4" t="inlineStr">
        <is>
          <t>4.22.5</t>
        </is>
      </c>
      <c r="C19" s="4" t="inlineStr">
        <is>
          <t>medical_student</t>
        </is>
      </c>
      <c r="D19" s="4" t="inlineStr">
        <is>
          <t>Consider whether the patient's problem is the one the instrument asks about.</t>
        </is>
      </c>
      <c r="E19" s="4" t="inlineStr"/>
      <c r="F19" s="4" t="inlineStr"/>
      <c r="G19" s="4" t="inlineStr"/>
    </row>
    <row r="20">
      <c r="A20" s="4" t="inlineStr">
        <is>
          <t>4.22.6-P1</t>
        </is>
      </c>
      <c r="B20" s="4" t="inlineStr">
        <is>
          <t>4.22.6</t>
        </is>
      </c>
      <c r="C20" s="4" t="inlineStr">
        <is>
          <t>medical_student</t>
        </is>
      </c>
      <c r="D20" s="4" t="inlineStr">
        <is>
          <t>Record it alongside the functional battery rather than instead of any part of it.</t>
        </is>
      </c>
      <c r="E20" s="4" t="inlineStr"/>
      <c r="F20" s="4" t="inlineStr"/>
      <c r="G20" s="4" t="inlineStr"/>
    </row>
    <row r="21">
      <c r="A21" s="4" t="inlineStr">
        <is>
          <t>4.22.6-P2</t>
        </is>
      </c>
      <c r="B21" s="4" t="inlineStr">
        <is>
          <t>4.22.6</t>
        </is>
      </c>
      <c r="C21" s="4" t="inlineStr">
        <is>
          <t>medical_student</t>
        </is>
      </c>
      <c r="D21" s="4" t="inlineStr">
        <is>
          <t>Repeat it, because confidence changes through rehabilitation.</t>
        </is>
      </c>
      <c r="E21" s="4" t="inlineStr"/>
      <c r="F21" s="4" t="inlineStr"/>
      <c r="G21" s="4" t="inlineStr"/>
    </row>
    <row r="22">
      <c r="A22" s="4" t="inlineStr">
        <is>
          <t>4.22.8-P1</t>
        </is>
      </c>
      <c r="B22" s="4" t="inlineStr">
        <is>
          <t>4.22.8</t>
        </is>
      </c>
      <c r="C22" s="4" t="inlineStr">
        <is>
          <t>medical_student</t>
        </is>
      </c>
      <c r="D22" s="4" t="inlineStr">
        <is>
          <t>Check completeness, and leave an incomplete questionnaire unscored.</t>
        </is>
      </c>
      <c r="E22" s="4" t="inlineStr"/>
      <c r="F22" s="4" t="inlineStr"/>
      <c r="G22" s="4" t="inlineStr"/>
    </row>
    <row r="23">
      <c r="A23" s="4" t="inlineStr">
        <is>
          <t>4.22.8-P2</t>
        </is>
      </c>
      <c r="B23" s="4" t="inlineStr">
        <is>
          <t>4.22.8</t>
        </is>
      </c>
      <c r="C23" s="4" t="inlineStr">
        <is>
          <t>medical_student</t>
        </is>
      </c>
      <c r="D23" s="4" t="inlineStr">
        <is>
          <t>Record it with the examination rather than in place of it.</t>
        </is>
      </c>
      <c r="E23" s="4" t="inlineStr"/>
      <c r="F23" s="4" t="inlineStr"/>
      <c r="G23" s="4" t="inlineStr"/>
    </row>
    <row r="24">
      <c r="A24" s="4" t="inlineStr">
        <is>
          <t>4.22.8-P3</t>
        </is>
      </c>
      <c r="B24" s="4" t="inlineStr">
        <is>
          <t>4.22.8</t>
        </is>
      </c>
      <c r="C24" s="4" t="inlineStr">
        <is>
          <t>medical_student</t>
        </is>
      </c>
      <c r="D24" s="4" t="inlineStr">
        <is>
          <t>Record the activity level alongside a symptom score, since the score is reported against it.</t>
        </is>
      </c>
      <c r="E24" s="4" t="inlineStr"/>
      <c r="F24" s="4" t="inlineStr"/>
      <c r="G24" s="4" t="inlineStr"/>
    </row>
  </sheetData>
  <dataValidations count="1">
    <dataValidation sqref="E3:E24"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22</f>
        <v/>
      </c>
      <c r="C2" s="3">
        <f>0</f>
        <v/>
      </c>
    </row>
    <row r="3">
      <c r="A3" s="2" t="inlineStr">
        <is>
          <t>Decided</t>
        </is>
      </c>
      <c r="B3" s="3">
        <f>COUNTIF(Recommendations!E3:E24,"&lt;&gt;")</f>
        <v/>
      </c>
      <c r="C3" s="3">
        <f>COUNTIF(Measurements!F3:F2,"&lt;&gt;")</f>
        <v/>
      </c>
    </row>
    <row r="4">
      <c r="A4" s="2" t="inlineStr">
        <is>
          <t>Still blank</t>
        </is>
      </c>
      <c r="B4" s="3">
        <f>B2-B3</f>
        <v/>
      </c>
      <c r="C4" s="3">
        <f>C2-C3</f>
        <v/>
      </c>
    </row>
    <row r="5">
      <c r="A5" s="2" t="inlineStr">
        <is>
          <t>CONFIRMED</t>
        </is>
      </c>
      <c r="B5" s="3">
        <f>COUNTIF(Recommendations!E3:E24,"CONFIRMED")</f>
        <v/>
      </c>
      <c r="C5" s="3" t="inlineStr"/>
    </row>
    <row r="6">
      <c r="A6" s="2" t="inlineStr">
        <is>
          <t>AMENDED</t>
        </is>
      </c>
      <c r="B6" s="3">
        <f>COUNTIF(Recommendations!E3:E24,"AMENDED")</f>
        <v/>
      </c>
      <c r="C6" s="3" t="inlineStr"/>
    </row>
    <row r="7">
      <c r="A7" s="2" t="inlineStr">
        <is>
          <t>WITHDRAWN</t>
        </is>
      </c>
      <c r="B7" s="3">
        <f>COUNTIF(Recommendations!E3:E24,"WITHDRAWN")</f>
        <v/>
      </c>
      <c r="C7" s="3" t="inlineStr"/>
    </row>
    <row r="8">
      <c r="A8" s="2" t="inlineStr">
        <is>
          <t>NOT_CLINICAL</t>
        </is>
      </c>
      <c r="B8" s="3">
        <f>COUNTIF(Recommendations!E3:E24,"NOT_CLINICAL")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2026-10-13T21:35:38Z</dcterms:created>
  <dcterms:modified xmlns:dcterms="http://purl.org/dc/terms/" xmlns:xsi="http://www.w3.org/2001/XMLSchema-instance" xsi:type="dcterms:W3CDTF">2026-10-13T21:35:38Z</dcterms:modified>
</cp:coreProperties>
</file>