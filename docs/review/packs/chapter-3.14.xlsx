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3.14 Gait Analysis</t>
        </is>
      </c>
    </row>
    <row r="3">
      <c r="A3" s="2" t="inlineStr">
        <is>
          <t>Section</t>
        </is>
      </c>
      <c r="B3" s="3" t="inlineStr">
        <is>
          <t>3</t>
        </is>
      </c>
    </row>
    <row r="4">
      <c r="A4" s="2" t="inlineStr">
        <is>
          <t>Chapter</t>
        </is>
      </c>
      <c r="B4" s="3" t="inlineStr">
        <is>
          <t>3.14 Gait Analysis</t>
        </is>
      </c>
    </row>
    <row r="5">
      <c r="A5" s="2" t="inlineStr">
        <is>
          <t>Pages</t>
        </is>
      </c>
      <c r="B5" s="3" t="n">
        <v>12</v>
      </c>
    </row>
    <row r="6">
      <c r="A6" s="2" t="inlineStr">
        <is>
          <t>Page type</t>
        </is>
      </c>
      <c r="B6" s="3" t="inlineStr">
        <is>
          <t>biomechanics</t>
        </is>
      </c>
    </row>
    <row r="7">
      <c r="A7" s="2" t="inlineStr">
        <is>
          <t>Tiers</t>
        </is>
      </c>
      <c r="B7" s="3" t="inlineStr">
        <is>
          <t>patient, medical student, mrcs, frcs</t>
        </is>
      </c>
    </row>
    <row r="8">
      <c r="A8" s="2" t="inlineStr">
        <is>
          <t>Words</t>
        </is>
      </c>
      <c r="B8" s="3" t="inlineStr">
        <is>
          <t>15,507</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19</v>
      </c>
    </row>
    <row r="12">
      <c r="A12" s="2" t="inlineStr">
        <is>
          <t>Recommendations to sign</t>
        </is>
      </c>
      <c r="B12" s="3" t="n">
        <v>98</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3.14.1</t>
        </is>
      </c>
      <c r="B2" s="6" t="inlineStr">
        <is>
          <t>Normal Gait</t>
        </is>
      </c>
      <c r="C2" s="6" t="n">
        <v>4</v>
      </c>
      <c r="D2" s="6" t="n">
        <v>1888</v>
      </c>
      <c r="E2" s="6" t="inlineStr">
        <is>
          <t>biomechanics/normal-gait.html</t>
        </is>
      </c>
    </row>
    <row r="3">
      <c r="A3" s="6" t="inlineStr">
        <is>
          <t>3.14.2</t>
        </is>
      </c>
      <c r="B3" s="6" t="inlineStr">
        <is>
          <t>Stance Phase</t>
        </is>
      </c>
      <c r="C3" s="6" t="n">
        <v>3</v>
      </c>
      <c r="D3" s="6" t="n">
        <v>1266</v>
      </c>
      <c r="E3" s="6" t="inlineStr">
        <is>
          <t>biomechanics/stance-phase.html</t>
        </is>
      </c>
    </row>
    <row r="4">
      <c r="A4" s="6" t="inlineStr">
        <is>
          <t>3.14.3</t>
        </is>
      </c>
      <c r="B4" s="6" t="inlineStr">
        <is>
          <t>Swing Phase</t>
        </is>
      </c>
      <c r="C4" s="6" t="n">
        <v>3</v>
      </c>
      <c r="D4" s="6" t="n">
        <v>1222</v>
      </c>
      <c r="E4" s="6" t="inlineStr">
        <is>
          <t>biomechanics/swing-phase.html</t>
        </is>
      </c>
    </row>
    <row r="5">
      <c r="A5" s="6" t="inlineStr">
        <is>
          <t>3.14.4</t>
        </is>
      </c>
      <c r="B5" s="6" t="inlineStr">
        <is>
          <t>Running Gait</t>
        </is>
      </c>
      <c r="C5" s="6" t="n">
        <v>3</v>
      </c>
      <c r="D5" s="6" t="n">
        <v>1261</v>
      </c>
      <c r="E5" s="6" t="inlineStr">
        <is>
          <t>biomechanics/running-gait.html</t>
        </is>
      </c>
    </row>
    <row r="6">
      <c r="A6" s="6" t="inlineStr">
        <is>
          <t>3.14.5</t>
        </is>
      </c>
      <c r="B6" s="6" t="inlineStr">
        <is>
          <t>Sprinting</t>
        </is>
      </c>
      <c r="C6" s="6" t="n">
        <v>3</v>
      </c>
      <c r="D6" s="6" t="n">
        <v>1217</v>
      </c>
      <c r="E6" s="6" t="inlineStr">
        <is>
          <t>biomechanics/sprinting-mechanics.html</t>
        </is>
      </c>
    </row>
    <row r="7">
      <c r="A7" s="6" t="inlineStr">
        <is>
          <t>3.14.6</t>
        </is>
      </c>
      <c r="B7" s="6" t="inlineStr">
        <is>
          <t>Cutting Manoeuvres</t>
        </is>
      </c>
      <c r="C7" s="6" t="n">
        <v>3</v>
      </c>
      <c r="D7" s="6" t="n">
        <v>1259</v>
      </c>
      <c r="E7" s="6" t="inlineStr">
        <is>
          <t>biomechanics/cutting-manoeuvres.html</t>
        </is>
      </c>
    </row>
    <row r="8">
      <c r="A8" s="6" t="inlineStr">
        <is>
          <t>3.14.7</t>
        </is>
      </c>
      <c r="B8" s="6" t="inlineStr">
        <is>
          <t>Jumping</t>
        </is>
      </c>
      <c r="C8" s="6" t="n">
        <v>3</v>
      </c>
      <c r="D8" s="6" t="n">
        <v>1186</v>
      </c>
      <c r="E8" s="6" t="inlineStr">
        <is>
          <t>biomechanics/jumping-mechanics.html</t>
        </is>
      </c>
    </row>
    <row r="9">
      <c r="A9" s="6" t="inlineStr">
        <is>
          <t>3.14.8</t>
        </is>
      </c>
      <c r="B9" s="6" t="inlineStr">
        <is>
          <t>Landing</t>
        </is>
      </c>
      <c r="C9" s="6" t="n">
        <v>3</v>
      </c>
      <c r="D9" s="6" t="n">
        <v>1232</v>
      </c>
      <c r="E9" s="6" t="inlineStr">
        <is>
          <t>biomechanics/landing-mechanics.html</t>
        </is>
      </c>
    </row>
    <row r="10">
      <c r="A10" s="6" t="inlineStr">
        <is>
          <t>3.14.9</t>
        </is>
      </c>
      <c r="B10" s="6" t="inlineStr">
        <is>
          <t>ACL Deficient Gait</t>
        </is>
      </c>
      <c r="C10" s="6" t="n">
        <v>3</v>
      </c>
      <c r="D10" s="6" t="n">
        <v>1256</v>
      </c>
      <c r="E10" s="6" t="inlineStr">
        <is>
          <t>biomechanics/acl-deficient-gait.html</t>
        </is>
      </c>
    </row>
    <row r="11">
      <c r="A11" s="6" t="inlineStr">
        <is>
          <t>3.14.10</t>
        </is>
      </c>
      <c r="B11" s="6" t="inlineStr">
        <is>
          <t>PCL Deficient Gait</t>
        </is>
      </c>
      <c r="C11" s="6" t="n">
        <v>3</v>
      </c>
      <c r="D11" s="6" t="n">
        <v>1238</v>
      </c>
      <c r="E11" s="6" t="inlineStr">
        <is>
          <t>biomechanics/pcl-deficient-gait.html</t>
        </is>
      </c>
    </row>
    <row r="12">
      <c r="A12" s="6" t="inlineStr">
        <is>
          <t>3.14.11</t>
        </is>
      </c>
      <c r="B12" s="6" t="inlineStr">
        <is>
          <t>Arthritic Gait</t>
        </is>
      </c>
      <c r="C12" s="6" t="n">
        <v>3</v>
      </c>
      <c r="D12" s="6" t="n">
        <v>1259</v>
      </c>
      <c r="E12" s="6" t="inlineStr">
        <is>
          <t>biomechanics/arthritic-gait.html</t>
        </is>
      </c>
    </row>
    <row r="13">
      <c r="A13" s="6" t="inlineStr">
        <is>
          <t>3.14.12</t>
        </is>
      </c>
      <c r="B13" s="6" t="inlineStr">
        <is>
          <t>Post-Arthroplasty Gait</t>
        </is>
      </c>
      <c r="C13" s="6" t="n">
        <v>3</v>
      </c>
      <c r="D13" s="6" t="n">
        <v>1223</v>
      </c>
      <c r="E13" s="6" t="inlineStr">
        <is>
          <t>biomechanics/post-arthroplasty-gait.html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3.14.1</t>
        </is>
      </c>
      <c r="B2" s="4" t="inlineStr">
        <is>
          <t>Normal Gait</t>
        </is>
      </c>
      <c r="C2" s="4" t="inlineStr">
        <is>
          <t>Gait is the only measurement of the knee doing its actual job under its actual loads.</t>
        </is>
      </c>
    </row>
    <row r="3">
      <c r="A3" s="4" t="inlineStr">
        <is>
          <t>3.14.1</t>
        </is>
      </c>
      <c r="B3" s="4" t="inlineStr">
        <is>
          <t>Normal Gait</t>
        </is>
      </c>
      <c r="C3" s="4" t="inlineStr">
        <is>
          <t>It is almost never available to the clinician who would use it.</t>
        </is>
      </c>
    </row>
    <row r="4">
      <c r="A4" s="4" t="inlineStr">
        <is>
          <t>3.14.1</t>
        </is>
      </c>
      <c r="B4" s="4" t="inlineStr">
        <is>
          <t>Normal Gait</t>
        </is>
      </c>
      <c r="C4" s="4" t="inlineStr">
        <is>
          <t>Its strength is detecting adaptation the patient cannot report.</t>
        </is>
      </c>
    </row>
    <row r="5">
      <c r="A5" s="4" t="inlineStr">
        <is>
          <t>3.14.1</t>
        </is>
      </c>
      <c r="B5" s="4" t="inlineStr">
        <is>
          <t>Normal Gait</t>
        </is>
      </c>
      <c r="C5" s="4" t="inlineStr">
        <is>
          <t>Kinetic outputs are modelled, with an error chain through markers, segments and inverse dynamics.</t>
        </is>
      </c>
    </row>
    <row r="6">
      <c r="A6" s="4" t="inlineStr">
        <is>
          <t>3.14.1</t>
        </is>
      </c>
      <c r="B6" s="4" t="inlineStr">
        <is>
          <t>Normal Gait</t>
        </is>
      </c>
      <c r="C6" s="4" t="inlineStr">
        <is>
          <t>No method measures contact force in a native knee.</t>
        </is>
      </c>
    </row>
    <row r="7">
      <c r="A7" s="4" t="inlineStr">
        <is>
          <t>3.14.2</t>
        </is>
      </c>
      <c r="B7" s="4" t="inlineStr">
        <is>
          <t>Stance Phase</t>
        </is>
      </c>
      <c r="C7" s="4" t="inlineStr">
        <is>
          <t>The stance flexion wave is the most informative single feature of gait at the knee.</t>
        </is>
      </c>
    </row>
    <row r="8">
      <c r="A8" s="4" t="inlineStr">
        <is>
          <t>3.14.2</t>
        </is>
      </c>
      <c r="B8" s="4" t="inlineStr">
        <is>
          <t>Stance Phase</t>
        </is>
      </c>
      <c r="C8" s="4" t="inlineStr">
        <is>
          <t>Pain, effusion, weakness and arthrofibrosis all flatten it and look alike.</t>
        </is>
      </c>
    </row>
    <row r="9">
      <c r="A9" s="4" t="inlineStr">
        <is>
          <t>3.14.2</t>
        </is>
      </c>
      <c r="B9" s="4" t="inlineStr">
        <is>
          <t>Stance Phase</t>
        </is>
      </c>
      <c r="C9" s="4" t="inlineStr">
        <is>
          <t>Losing it raises peak loading rate, because the compliant phase is gone.</t>
        </is>
      </c>
    </row>
    <row r="10">
      <c r="A10" s="4" t="inlineStr">
        <is>
          <t>3.14.2</t>
        </is>
      </c>
      <c r="B10" s="4" t="inlineStr">
        <is>
          <t>Stance Phase</t>
        </is>
      </c>
      <c r="C10" s="4" t="inlineStr">
        <is>
          <t>The adduction moment's first peak is the strongest reported link to medial progression.</t>
        </is>
      </c>
    </row>
    <row r="11">
      <c r="A11" s="4" t="inlineStr">
        <is>
          <t>3.14.2</t>
        </is>
      </c>
      <c r="B11" s="4" t="inlineStr">
        <is>
          <t>Stance Phase</t>
        </is>
      </c>
      <c r="C11" s="4" t="inlineStr">
        <is>
          <t>Named limps and measurable subphase parameters map onto each other poorly.</t>
        </is>
      </c>
    </row>
    <row r="12">
      <c r="A12" s="4" t="inlineStr">
        <is>
          <t>3.14.3</t>
        </is>
      </c>
      <c r="B12" s="4" t="inlineStr">
        <is>
          <t>Swing Phase</t>
        </is>
      </c>
      <c r="C12" s="4" t="inlineStr">
        <is>
          <t>Swing is where a stiff knee declares itself and where clinic assessment rarely looks.</t>
        </is>
      </c>
    </row>
    <row r="13">
      <c r="A13" s="4" t="inlineStr">
        <is>
          <t>3.14.3</t>
        </is>
      </c>
      <c r="B13" s="4" t="inlineStr">
        <is>
          <t>Swing Phase</t>
        </is>
      </c>
      <c r="C13" s="4" t="inlineStr">
        <is>
          <t>Peak swing flexion is a sensitive marker of early stiffness.</t>
        </is>
      </c>
    </row>
    <row r="14">
      <c r="A14" s="4" t="inlineStr">
        <is>
          <t>3.14.3</t>
        </is>
      </c>
      <c r="B14" s="4" t="inlineStr">
        <is>
          <t>Swing Phase</t>
        </is>
      </c>
      <c r="C14" s="4" t="inlineStr">
        <is>
          <t>Rectus femoris dysfunction gives a stiff knee gait with normal passive range.</t>
        </is>
      </c>
    </row>
    <row r="15">
      <c r="A15" s="4" t="inlineStr">
        <is>
          <t>3.14.3</t>
        </is>
      </c>
      <c r="B15" s="4" t="inlineStr">
        <is>
          <t>Swing Phase</t>
        </is>
      </c>
      <c r="C15" s="4" t="inlineStr">
        <is>
          <t>Swing flexion recovers less completely than stance after arthroplasty.</t>
        </is>
      </c>
    </row>
    <row r="16">
      <c r="A16" s="4" t="inlineStr">
        <is>
          <t>3.14.3</t>
        </is>
      </c>
      <c r="B16" s="4" t="inlineStr">
        <is>
          <t>Swing Phase</t>
        </is>
      </c>
      <c r="C16" s="4" t="inlineStr">
        <is>
          <t>No clinical measurement separates a range problem from a timing problem.</t>
        </is>
      </c>
    </row>
    <row r="17">
      <c r="A17" s="4" t="inlineStr">
        <is>
          <t>3.14.4</t>
        </is>
      </c>
      <c r="B17" s="4" t="inlineStr">
        <is>
          <t>Running Gait</t>
        </is>
      </c>
      <c r="C17" s="4" t="inlineStr">
        <is>
          <t>Running is where the gap between tissue capacity and applied load is narrowest.</t>
        </is>
      </c>
    </row>
    <row r="18">
      <c r="A18" s="4" t="inlineStr">
        <is>
          <t>3.14.4</t>
        </is>
      </c>
      <c r="B18" s="4" t="inlineStr">
        <is>
          <t>Running Gait</t>
        </is>
      </c>
      <c r="C18" s="4" t="inlineStr">
        <is>
          <t>Cumulative load is the variable that matters and the one never measured.</t>
        </is>
      </c>
    </row>
    <row r="19">
      <c r="A19" s="4" t="inlineStr">
        <is>
          <t>3.14.4</t>
        </is>
      </c>
      <c r="B19" s="4" t="inlineStr">
        <is>
          <t>Running Gait</t>
        </is>
      </c>
      <c r="C19" s="4" t="inlineStr">
        <is>
          <t>Cadence manipulation is the best evidenced gait retraining at the knee.</t>
        </is>
      </c>
    </row>
    <row r="20">
      <c r="A20" s="4" t="inlineStr">
        <is>
          <t>3.14.4</t>
        </is>
      </c>
      <c r="B20" s="4" t="inlineStr">
        <is>
          <t>Running Gait</t>
        </is>
      </c>
      <c r="C20" s="4" t="inlineStr">
        <is>
          <t>Foot strike retraining moves load to the ankle rather than removing it.</t>
        </is>
      </c>
    </row>
    <row r="21">
      <c r="A21" s="4" t="inlineStr">
        <is>
          <t>3.14.4</t>
        </is>
      </c>
      <c r="B21" s="4" t="inlineStr">
        <is>
          <t>Running Gait</t>
        </is>
      </c>
      <c r="C21" s="4" t="inlineStr">
        <is>
          <t>Teaching has moved from prescribing a technique to prescribing a load.</t>
        </is>
      </c>
    </row>
    <row r="22">
      <c r="A22" s="4" t="inlineStr">
        <is>
          <t>3.14.5</t>
        </is>
      </c>
      <c r="B22" s="4" t="inlineStr">
        <is>
          <t>Sprinting</t>
        </is>
      </c>
      <c r="C22" s="4" t="inlineStr">
        <is>
          <t>Sprinting is the highest force gait here and the knee is not usually the structure at risk.</t>
        </is>
      </c>
    </row>
    <row r="23">
      <c r="A23" s="4" t="inlineStr">
        <is>
          <t>3.14.5</t>
        </is>
      </c>
      <c r="B23" s="4" t="inlineStr">
        <is>
          <t>Sprinting</t>
        </is>
      </c>
      <c r="C23" s="4" t="inlineStr">
        <is>
          <t>Low stance flexion keeps quadriceps and patellofemoral demand from scaling with speed.</t>
        </is>
      </c>
    </row>
    <row r="24">
      <c r="A24" s="4" t="inlineStr">
        <is>
          <t>3.14.5</t>
        </is>
      </c>
      <c r="B24" s="4" t="inlineStr">
        <is>
          <t>Sprinting</t>
        </is>
      </c>
      <c r="C24" s="4" t="inlineStr">
        <is>
          <t>The demand moves to the two joint muscles, particularly the hamstring in late swing.</t>
        </is>
      </c>
    </row>
    <row r="25">
      <c r="A25" s="4" t="inlineStr">
        <is>
          <t>3.14.5</t>
        </is>
      </c>
      <c r="B25" s="4" t="inlineStr">
        <is>
          <t>Sprinting</t>
        </is>
      </c>
      <c r="C25" s="4" t="inlineStr">
        <is>
          <t>Linear sprinting is low risk for the cruciate; changing direction is not.</t>
        </is>
      </c>
    </row>
    <row r="26">
      <c r="A26" s="4" t="inlineStr">
        <is>
          <t>3.14.5</t>
        </is>
      </c>
      <c r="B26" s="4" t="inlineStr">
        <is>
          <t>Sprinting</t>
        </is>
      </c>
      <c r="C26" s="4" t="inlineStr">
        <is>
          <t>Grouping running and sprinting in return to sport criteria is questionable.</t>
        </is>
      </c>
    </row>
    <row r="27">
      <c r="A27" s="4" t="inlineStr">
        <is>
          <t>3.14.6</t>
        </is>
      </c>
      <c r="B27" s="4" t="inlineStr">
        <is>
          <t>Cutting Manoeuvres</t>
        </is>
      </c>
      <c r="C27" s="4" t="inlineStr">
        <is>
          <t>The injury mechanism was reconstructed from video and modelling, not measured.</t>
        </is>
      </c>
    </row>
    <row r="28">
      <c r="A28" s="4" t="inlineStr">
        <is>
          <t>3.14.6</t>
        </is>
      </c>
      <c r="B28" s="4" t="inlineStr">
        <is>
          <t>Cutting Manoeuvres</t>
        </is>
      </c>
      <c r="C28" s="4" t="inlineStr">
        <is>
          <t>The 50 millisecond window means protection is whatever was already active at contact.</t>
        </is>
      </c>
    </row>
    <row r="29">
      <c r="A29" s="4" t="inlineStr">
        <is>
          <t>3.14.6</t>
        </is>
      </c>
      <c r="B29" s="4" t="inlineStr">
        <is>
          <t>Cutting Manoeuvres</t>
        </is>
      </c>
      <c r="C29" s="4" t="inlineStr">
        <is>
          <t>That is the mechanical case for neuromuscular training.</t>
        </is>
      </c>
    </row>
    <row r="30">
      <c r="A30" s="4" t="inlineStr">
        <is>
          <t>3.14.6</t>
        </is>
      </c>
      <c r="B30" s="4" t="inlineStr">
        <is>
          <t>Cutting Manoeuvres</t>
        </is>
      </c>
      <c r="C30" s="4" t="inlineStr">
        <is>
          <t>Prevention programmes reduce cruciate injury rates and depend entirely on adherence.</t>
        </is>
      </c>
    </row>
    <row r="31">
      <c r="A31" s="4" t="inlineStr">
        <is>
          <t>3.14.6</t>
        </is>
      </c>
      <c r="B31" s="4" t="inlineStr">
        <is>
          <t>Cutting Manoeuvres</t>
        </is>
      </c>
      <c r="C31" s="4" t="inlineStr">
        <is>
          <t>Fear of reinjury changes cutting mechanics measurably.</t>
        </is>
      </c>
    </row>
    <row r="32">
      <c r="A32" s="4" t="inlineStr">
        <is>
          <t>3.14.7</t>
        </is>
      </c>
      <c r="B32" s="4" t="inlineStr">
        <is>
          <t>Jumping</t>
        </is>
      </c>
      <c r="C32" s="4" t="inlineStr">
        <is>
          <t>Jump testing is the most widely used functional measurement and one of the least standardised.</t>
        </is>
      </c>
    </row>
    <row r="33">
      <c r="A33" s="4" t="inlineStr">
        <is>
          <t>3.14.7</t>
        </is>
      </c>
      <c r="B33" s="4" t="inlineStr">
        <is>
          <t>Jumping</t>
        </is>
      </c>
      <c r="C33" s="4" t="inlineStr">
        <is>
          <t>The 90 per cent symmetry threshold is a convention rather than a validated cutoff.</t>
        </is>
      </c>
    </row>
    <row r="34">
      <c r="A34" s="4" t="inlineStr">
        <is>
          <t>3.14.7</t>
        </is>
      </c>
      <c r="B34" s="4" t="inlineStr">
        <is>
          <t>Jumping</t>
        </is>
      </c>
      <c r="C34" s="4" t="inlineStr">
        <is>
          <t>Symmetry can be achieved by both limbs being poor.</t>
        </is>
      </c>
    </row>
    <row r="35">
      <c r="A35" s="4" t="inlineStr">
        <is>
          <t>3.14.7</t>
        </is>
      </c>
      <c r="B35" s="4" t="inlineStr">
        <is>
          <t>Jumping</t>
        </is>
      </c>
      <c r="C35" s="4" t="inlineStr">
        <is>
          <t>Quadriceps strength underlies the hop and is less confounded than it is.</t>
        </is>
      </c>
    </row>
    <row r="36">
      <c r="A36" s="4" t="inlineStr">
        <is>
          <t>3.14.7</t>
        </is>
      </c>
      <c r="B36" s="4" t="inlineStr">
        <is>
          <t>Jumping</t>
        </is>
      </c>
      <c r="C36" s="4" t="inlineStr">
        <is>
          <t>No single test predicts reinjury well, which is why batteries exist.</t>
        </is>
      </c>
    </row>
    <row r="37">
      <c r="A37" s="4" t="inlineStr">
        <is>
          <t>3.14.8</t>
        </is>
      </c>
      <c r="B37" s="4" t="inlineStr">
        <is>
          <t>Landing</t>
        </is>
      </c>
      <c r="C37" s="4" t="inlineStr">
        <is>
          <t>Landing is the most screened movement in knee practice and the screening underperforms.</t>
        </is>
      </c>
    </row>
    <row r="38">
      <c r="A38" s="4" t="inlineStr">
        <is>
          <t>3.14.8</t>
        </is>
      </c>
      <c r="B38" s="4" t="inlineStr">
        <is>
          <t>Landing</t>
        </is>
      </c>
      <c r="C38" s="4" t="inlineStr">
        <is>
          <t>Frontal plane measures predicting injury have been inconsistent.</t>
        </is>
      </c>
    </row>
    <row r="39">
      <c r="A39" s="4" t="inlineStr">
        <is>
          <t>3.14.8</t>
        </is>
      </c>
      <c r="B39" s="4" t="inlineStr">
        <is>
          <t>Landing</t>
        </is>
      </c>
      <c r="C39" s="4" t="inlineStr">
        <is>
          <t>The intervention has held up better than the screen.</t>
        </is>
      </c>
    </row>
    <row r="40">
      <c r="A40" s="4" t="inlineStr">
        <is>
          <t>3.14.8</t>
        </is>
      </c>
      <c r="B40" s="4" t="inlineStr">
        <is>
          <t>Landing</t>
        </is>
      </c>
      <c r="C40" s="4" t="inlineStr">
        <is>
          <t>The evidence supports training everybody more than selecting whom to train.</t>
        </is>
      </c>
    </row>
    <row r="41">
      <c r="A41" s="4" t="inlineStr">
        <is>
          <t>3.14.8</t>
        </is>
      </c>
      <c r="B41" s="4" t="inlineStr">
        <is>
          <t>Landing</t>
        </is>
      </c>
      <c r="C41" s="4" t="inlineStr">
        <is>
          <t>The measurement is taken in a condition unlike the one in which injuries happen.</t>
        </is>
      </c>
    </row>
    <row r="42">
      <c r="A42" s="4" t="inlineStr">
        <is>
          <t>3.14.9</t>
        </is>
      </c>
      <c r="B42" s="4" t="inlineStr">
        <is>
          <t>ACL Deficient Gait</t>
        </is>
      </c>
      <c r="C42" s="4" t="inlineStr">
        <is>
          <t>Quadriceps avoidance is the best known gait finding here and not the commonest.</t>
        </is>
      </c>
    </row>
    <row r="43">
      <c r="A43" s="4" t="inlineStr">
        <is>
          <t>3.14.9</t>
        </is>
      </c>
      <c r="B43" s="4" t="inlineStr">
        <is>
          <t>ACL Deficient Gait</t>
        </is>
      </c>
      <c r="C43" s="4" t="inlineStr">
        <is>
          <t>Reduced excursion, altered rotation and quadriceps deficit survive reconstruction in many.</t>
        </is>
      </c>
    </row>
    <row r="44">
      <c r="A44" s="4" t="inlineStr">
        <is>
          <t>3.14.9</t>
        </is>
      </c>
      <c r="B44" s="4" t="inlineStr">
        <is>
          <t>ACL Deficient Gait</t>
        </is>
      </c>
      <c r="C44" s="4" t="inlineStr">
        <is>
          <t>Persistent altered kinematics is the mechanical candidate for post traumatic degeneration.</t>
        </is>
      </c>
    </row>
    <row r="45">
      <c r="A45" s="4" t="inlineStr">
        <is>
          <t>3.14.9</t>
        </is>
      </c>
      <c r="B45" s="4" t="inlineStr">
        <is>
          <t>ACL Deficient Gait</t>
        </is>
      </c>
      <c r="C45" s="4" t="inlineStr">
        <is>
          <t>That reframes the aim from restoring laxity to restoring kinematics.</t>
        </is>
      </c>
    </row>
    <row r="46">
      <c r="A46" s="4" t="inlineStr">
        <is>
          <t>3.14.9</t>
        </is>
      </c>
      <c r="B46" s="4" t="inlineStr">
        <is>
          <t>ACL Deficient Gait</t>
        </is>
      </c>
      <c r="C46" s="4" t="inlineStr">
        <is>
          <t>Follow up measures laxity and outcome scores, not the variables gait says matter.</t>
        </is>
      </c>
    </row>
    <row r="47">
      <c r="A47" s="4" t="inlineStr">
        <is>
          <t>3.14.10</t>
        </is>
      </c>
      <c r="B47" s="4" t="inlineStr">
        <is>
          <t>PCL Deficient Gait</t>
        </is>
      </c>
      <c r="C47" s="4" t="inlineStr">
        <is>
          <t>This is the clearest example of an adaptation that works and bills later.</t>
        </is>
      </c>
    </row>
    <row r="48">
      <c r="A48" s="4" t="inlineStr">
        <is>
          <t>3.14.10</t>
        </is>
      </c>
      <c r="B48" s="4" t="inlineStr">
        <is>
          <t>PCL Deficient Gait</t>
        </is>
      </c>
      <c r="C48" s="4" t="inlineStr">
        <is>
          <t>Quadriceps substitution restores function and produces the loading that follows.</t>
        </is>
      </c>
    </row>
    <row r="49">
      <c r="A49" s="4" t="inlineStr">
        <is>
          <t>3.14.10</t>
        </is>
      </c>
      <c r="B49" s="4" t="inlineStr">
        <is>
          <t>PCL Deficient Gait</t>
        </is>
      </c>
      <c r="C49" s="4" t="inlineStr">
        <is>
          <t>That argues for rehabilitation as treatment and implicates it in the long term cost.</t>
        </is>
      </c>
    </row>
    <row r="50">
      <c r="A50" s="4" t="inlineStr">
        <is>
          <t>3.14.10</t>
        </is>
      </c>
      <c r="B50" s="4" t="inlineStr">
        <is>
          <t>PCL Deficient Gait</t>
        </is>
      </c>
      <c r="C50" s="4" t="inlineStr">
        <is>
          <t>No trial compares long term joint outcomes between reconstruction and rehabilitation.</t>
        </is>
      </c>
    </row>
    <row r="51">
      <c r="A51" s="4" t="inlineStr">
        <is>
          <t>3.14.10</t>
        </is>
      </c>
      <c r="B51" s="4" t="inlineStr">
        <is>
          <t>PCL Deficient Gait</t>
        </is>
      </c>
      <c r="C51" s="4" t="inlineStr">
        <is>
          <t>The causal chain is plausible, consistent and not prospectively demonstrated.</t>
        </is>
      </c>
    </row>
    <row r="52">
      <c r="A52" s="4" t="inlineStr">
        <is>
          <t>3.14.11</t>
        </is>
      </c>
      <c r="B52" s="4" t="inlineStr">
        <is>
          <t>Arthritic Gait</t>
        </is>
      </c>
      <c r="C52" s="4" t="inlineStr">
        <is>
          <t>Gait analysis has its strongest clinical claim here and the claim is still not acted on.</t>
        </is>
      </c>
    </row>
    <row r="53">
      <c r="A53" s="4" t="inlineStr">
        <is>
          <t>3.14.11</t>
        </is>
      </c>
      <c r="B53" s="4" t="inlineStr">
        <is>
          <t>Arthritic Gait</t>
        </is>
      </c>
      <c r="C53" s="4" t="inlineStr">
        <is>
          <t>The first peak adduction moment predicts progression better than the static angle.</t>
        </is>
      </c>
    </row>
    <row r="54">
      <c r="A54" s="4" t="inlineStr">
        <is>
          <t>3.14.11</t>
        </is>
      </c>
      <c r="B54" s="4" t="inlineStr">
        <is>
          <t>Arthritic Gait</t>
        </is>
      </c>
      <c r="C54" s="4" t="inlineStr">
        <is>
          <t>Interventions that lower it have measurable mechanical and modest symptomatic effects.</t>
        </is>
      </c>
    </row>
    <row r="55">
      <c r="A55" s="4" t="inlineStr">
        <is>
          <t>3.14.11</t>
        </is>
      </c>
      <c r="B55" s="4" t="inlineStr">
        <is>
          <t>Arthritic Gait</t>
        </is>
      </c>
      <c r="C55" s="4" t="inlineStr">
        <is>
          <t>Osteotomy lowers it by less than its degrees of correction imply.</t>
        </is>
      </c>
    </row>
    <row r="56">
      <c r="A56" s="4" t="inlineStr">
        <is>
          <t>3.14.11</t>
        </is>
      </c>
      <c r="B56" s="4" t="inlineStr">
        <is>
          <t>Arthritic Gait</t>
        </is>
      </c>
      <c r="C56" s="4" t="inlineStr">
        <is>
          <t>No clinical pathway measures the quantity that best predicts the outcome being prevented.</t>
        </is>
      </c>
    </row>
    <row r="57">
      <c r="A57" s="4" t="inlineStr">
        <is>
          <t>3.14.12</t>
        </is>
      </c>
      <c r="B57" s="4" t="inlineStr">
        <is>
          <t>Post-Arthroplasty Gait</t>
        </is>
      </c>
      <c r="C57" s="4" t="inlineStr">
        <is>
          <t>A successful knee replacement does not restore normal knee mechanics.</t>
        </is>
      </c>
    </row>
    <row r="58">
      <c r="A58" s="4" t="inlineStr">
        <is>
          <t>3.14.12</t>
        </is>
      </c>
      <c r="B58" s="4" t="inlineStr">
        <is>
          <t>Post-Arthroplasty Gait</t>
        </is>
      </c>
      <c r="C58" s="4" t="inlineStr">
        <is>
          <t>Reduced excursion and quadriceps deficit persist after operations everyone calls successful.</t>
        </is>
      </c>
    </row>
    <row r="59">
      <c r="A59" s="4" t="inlineStr">
        <is>
          <t>3.14.12</t>
        </is>
      </c>
      <c r="B59" s="4" t="inlineStr">
        <is>
          <t>Post-Arthroplasty Gait</t>
        </is>
      </c>
      <c r="C59" s="4" t="inlineStr">
        <is>
          <t>Preoperative pattern predicts postoperative pattern strongly.</t>
        </is>
      </c>
    </row>
    <row r="60">
      <c r="A60" s="4" t="inlineStr">
        <is>
          <t>3.14.12</t>
        </is>
      </c>
      <c r="B60" s="4" t="inlineStr">
        <is>
          <t>Post-Arthroplasty Gait</t>
        </is>
      </c>
      <c r="C60" s="4" t="inlineStr">
        <is>
          <t>Instrumented implants give the only direct in vivo knee load data, from a tiny sample.</t>
        </is>
      </c>
    </row>
    <row r="61">
      <c r="A61" s="4" t="inlineStr">
        <is>
          <t>3.14.12</t>
        </is>
      </c>
      <c r="B61" s="4" t="inlineStr">
        <is>
          <t>Post-Arthroplasty Gait</t>
        </is>
      </c>
      <c r="C61" s="4" t="inlineStr">
        <is>
          <t>Patient reported scores have a ceiling that conceals what gait analysis finds.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3.14.1-P1</t>
        </is>
      </c>
      <c r="B3" s="4" t="inlineStr">
        <is>
          <t>3.14.1</t>
        </is>
      </c>
      <c r="C3" s="4" t="inlineStr">
        <is>
          <t>medical_student</t>
        </is>
      </c>
      <c r="D3" s="4" t="inlineStr">
        <is>
          <t>Measure gait as a cycle rather than as a posture, because the abnormality is usually a timing change.</t>
        </is>
      </c>
      <c r="E3" s="4" t="inlineStr"/>
      <c r="F3" s="4" t="inlineStr"/>
      <c r="G3" s="4" t="inlineStr"/>
    </row>
    <row r="4">
      <c r="A4" s="4" t="inlineStr">
        <is>
          <t>3.14.1-P2</t>
        </is>
      </c>
      <c r="B4" s="4" t="inlineStr">
        <is>
          <t>3.14.1</t>
        </is>
      </c>
      <c r="C4" s="4" t="inlineStr">
        <is>
          <t>medical_student</t>
        </is>
      </c>
      <c r="D4" s="4" t="inlineStr">
        <is>
          <t>Expect the swing flexion to be lost early in a stiff knee, since it is the largest excursion the cycle asks for.</t>
        </is>
      </c>
      <c r="E4" s="4" t="inlineStr"/>
      <c r="F4" s="4" t="inlineStr"/>
      <c r="G4" s="4" t="inlineStr"/>
    </row>
    <row r="5">
      <c r="A5" s="4" t="inlineStr">
        <is>
          <t>3.14.1-P3</t>
        </is>
      </c>
      <c r="B5" s="4" t="inlineStr">
        <is>
          <t>3.14.1</t>
        </is>
      </c>
      <c r="C5" s="4" t="inlineStr">
        <is>
          <t>mrcs</t>
        </is>
      </c>
      <c r="D5" s="4" t="inlineStr">
        <is>
          <t>Kinetics must be computed from a force plate and a model, and that computation is where most of the error lives.</t>
        </is>
      </c>
      <c r="E5" s="4" t="inlineStr"/>
      <c r="F5" s="4" t="inlineStr"/>
      <c r="G5" s="4" t="inlineStr"/>
    </row>
    <row r="6">
      <c r="A6" s="4" t="inlineStr">
        <is>
          <t>3.14.1-P4</t>
        </is>
      </c>
      <c r="B6" s="4" t="inlineStr">
        <is>
          <t>3.14.1</t>
        </is>
      </c>
      <c r="C6" s="4" t="inlineStr">
        <is>
          <t>mrcs</t>
        </is>
      </c>
      <c r="D6" s="4" t="inlineStr">
        <is>
          <t>State which of kinematics, kinetics or muscle activity a quoted figure came from.</t>
        </is>
      </c>
      <c r="E6" s="4" t="inlineStr"/>
      <c r="F6" s="4" t="inlineStr"/>
      <c r="G6" s="4" t="inlineStr"/>
    </row>
    <row r="7">
      <c r="A7" s="4" t="inlineStr">
        <is>
          <t>3.14.1-P5</t>
        </is>
      </c>
      <c r="B7" s="4" t="inlineStr">
        <is>
          <t>3.14.1</t>
        </is>
      </c>
      <c r="C7" s="4" t="inlineStr">
        <is>
          <t>mrcs</t>
        </is>
      </c>
      <c r="D7" s="4" t="inlineStr">
        <is>
          <t>Record walking speed with any gait measurement, since most parameters are speed dependent.</t>
        </is>
      </c>
      <c r="E7" s="4" t="inlineStr"/>
      <c r="F7" s="4" t="inlineStr"/>
      <c r="G7" s="4" t="inlineStr"/>
    </row>
    <row r="8">
      <c r="A8" s="4" t="inlineStr">
        <is>
          <t>3.14.1-P6</t>
        </is>
      </c>
      <c r="B8" s="4" t="inlineStr">
        <is>
          <t>3.14.1</t>
        </is>
      </c>
      <c r="C8" s="4" t="inlineStr">
        <is>
          <t>mrcs</t>
        </is>
      </c>
      <c r="D8" s="4" t="inlineStr">
        <is>
          <t>Expect pain and effusion to flatten the stance flexion wave through quadriceps inhibition.</t>
        </is>
      </c>
      <c r="E8" s="4" t="inlineStr"/>
      <c r="F8" s="4" t="inlineStr"/>
      <c r="G8" s="4" t="inlineStr"/>
    </row>
    <row r="9">
      <c r="A9" s="4" t="inlineStr">
        <is>
          <t>3.14.1-P7</t>
        </is>
      </c>
      <c r="B9" s="4" t="inlineStr">
        <is>
          <t>3.14.1</t>
        </is>
      </c>
      <c r="C9" s="4" t="inlineStr">
        <is>
          <t>mrcs</t>
        </is>
      </c>
      <c r="D9" s="4" t="inlineStr">
        <is>
          <t>Treat observational analysis as a screen rather than a measurement.</t>
        </is>
      </c>
      <c r="E9" s="4" t="inlineStr"/>
      <c r="F9" s="4" t="inlineStr"/>
      <c r="G9" s="4" t="inlineStr"/>
    </row>
    <row r="10">
      <c r="A10" s="4" t="inlineStr">
        <is>
          <t>3.14.1-P8</t>
        </is>
      </c>
      <c r="B10" s="4" t="inlineStr">
        <is>
          <t>3.14.1</t>
        </is>
      </c>
      <c r="C10" s="4" t="inlineStr">
        <is>
          <t>frcs</t>
        </is>
      </c>
      <c r="D10" s="4" t="inlineStr">
        <is>
          <t>Speed, which must be controlled or reported before any comparison is meaningful.</t>
        </is>
      </c>
      <c r="E10" s="4" t="inlineStr"/>
      <c r="F10" s="4" t="inlineStr"/>
      <c r="G10" s="4" t="inlineStr"/>
    </row>
    <row r="11">
      <c r="A11" s="4" t="inlineStr">
        <is>
          <t>3.14.1-P9</t>
        </is>
      </c>
      <c r="B11" s="4" t="inlineStr">
        <is>
          <t>3.14.1</t>
        </is>
      </c>
      <c r="C11" s="4" t="inlineStr">
        <is>
          <t>frcs</t>
        </is>
      </c>
      <c r="D11" s="4" t="inlineStr">
        <is>
          <t>Compare gait within a laboratory and a protocol rather than between them, and say so when quoting figures.</t>
        </is>
      </c>
      <c r="E11" s="4" t="inlineStr"/>
      <c r="F11" s="4" t="inlineStr"/>
      <c r="G11" s="4" t="inlineStr"/>
    </row>
    <row r="12">
      <c r="A12" s="4" t="inlineStr">
        <is>
          <t>3.14.1-P10</t>
        </is>
      </c>
      <c r="B12" s="4" t="inlineStr">
        <is>
          <t>3.14.1</t>
        </is>
      </c>
      <c r="C12" s="4" t="inlineStr">
        <is>
          <t>frcs</t>
        </is>
      </c>
      <c r="D12" s="4" t="inlineStr">
        <is>
          <t>Read an adaptation as information the patient cannot give you, which is where this measurement earns its place.</t>
        </is>
      </c>
      <c r="E12" s="4" t="inlineStr"/>
      <c r="F12" s="4" t="inlineStr"/>
      <c r="G12" s="4" t="inlineStr"/>
    </row>
    <row r="13">
      <c r="A13" s="4" t="inlineStr">
        <is>
          <t>3.14.1-P11</t>
        </is>
      </c>
      <c r="B13" s="4" t="inlineStr">
        <is>
          <t>3.14.1</t>
        </is>
      </c>
      <c r="C13" s="4" t="inlineStr">
        <is>
          <t>frcs</t>
        </is>
      </c>
      <c r="D13" s="4" t="inlineStr">
        <is>
          <t>State that kinetic outputs are modelled rather than measured.</t>
        </is>
      </c>
      <c r="E13" s="4" t="inlineStr"/>
      <c r="F13" s="4" t="inlineStr"/>
      <c r="G13" s="4" t="inlineStr"/>
    </row>
    <row r="14">
      <c r="A14" s="4" t="inlineStr">
        <is>
          <t>3.14.1-P12</t>
        </is>
      </c>
      <c r="B14" s="4" t="inlineStr">
        <is>
          <t>3.14.1</t>
        </is>
      </c>
      <c r="C14" s="4" t="inlineStr">
        <is>
          <t>frcs</t>
        </is>
      </c>
      <c r="D14" s="4" t="inlineStr">
        <is>
          <t>Take the patient's age, physiology, comorbidities, knee demand, psychological state and their own ideas, concerns and expectations into any decision a gait finding informs, because a pattern describes a limb and not a person.</t>
        </is>
      </c>
      <c r="E14" s="4" t="inlineStr"/>
      <c r="F14" s="4" t="inlineStr"/>
      <c r="G14" s="4" t="inlineStr"/>
    </row>
    <row r="15">
      <c r="A15" s="4" t="inlineStr">
        <is>
          <t>3.14.2-P1</t>
        </is>
      </c>
      <c r="B15" s="4" t="inlineStr">
        <is>
          <t>3.14.2</t>
        </is>
      </c>
      <c r="C15" s="4" t="inlineStr">
        <is>
          <t>mrcs</t>
        </is>
      </c>
      <c r="D15" s="4" t="inlineStr">
        <is>
          <t>Phase boundaries are defined by events that themselves must be detected, so subphase timings differ between laboratories.</t>
        </is>
      </c>
      <c r="E15" s="4" t="inlineStr"/>
      <c r="F15" s="4" t="inlineStr"/>
      <c r="G15" s="4" t="inlineStr"/>
    </row>
    <row r="16">
      <c r="A16" s="4" t="inlineStr">
        <is>
          <t>3.14.2-P2</t>
        </is>
      </c>
      <c r="B16" s="4" t="inlineStr">
        <is>
          <t>3.14.2</t>
        </is>
      </c>
      <c r="C16" s="4" t="inlineStr">
        <is>
          <t>mrcs</t>
        </is>
      </c>
      <c r="D16" s="4" t="inlineStr">
        <is>
          <t>Read a flattened stance flexion wave as quadriceps inhibition until proved otherwise.</t>
        </is>
      </c>
      <c r="E16" s="4" t="inlineStr"/>
      <c r="F16" s="4" t="inlineStr"/>
      <c r="G16" s="4" t="inlineStr"/>
    </row>
    <row r="17">
      <c r="A17" s="4" t="inlineStr">
        <is>
          <t>3.14.2-P3</t>
        </is>
      </c>
      <c r="B17" s="4" t="inlineStr">
        <is>
          <t>3.14.2</t>
        </is>
      </c>
      <c r="C17" s="4" t="inlineStr">
        <is>
          <t>mrcs</t>
        </is>
      </c>
      <c r="D17" s="4" t="inlineStr">
        <is>
          <t>Measure stance time symmetry, which is the cheapest reliable asymmetry marker available.</t>
        </is>
      </c>
      <c r="E17" s="4" t="inlineStr"/>
      <c r="F17" s="4" t="inlineStr"/>
      <c r="G17" s="4" t="inlineStr"/>
    </row>
    <row r="18">
      <c r="A18" s="4" t="inlineStr">
        <is>
          <t>3.14.2-P4</t>
        </is>
      </c>
      <c r="B18" s="4" t="inlineStr">
        <is>
          <t>3.14.2</t>
        </is>
      </c>
      <c r="C18" s="4" t="inlineStr">
        <is>
          <t>mrcs</t>
        </is>
      </c>
      <c r="D18" s="4" t="inlineStr">
        <is>
          <t>Avoid averaging a moment across stance, since the knee's moments reverse within it.</t>
        </is>
      </c>
      <c r="E18" s="4" t="inlineStr"/>
      <c r="F18" s="4" t="inlineStr"/>
      <c r="G18" s="4" t="inlineStr"/>
    </row>
    <row r="19">
      <c r="A19" s="4" t="inlineStr">
        <is>
          <t>3.14.2-P5</t>
        </is>
      </c>
      <c r="B19" s="4" t="inlineStr">
        <is>
          <t>3.14.2</t>
        </is>
      </c>
      <c r="C19" s="4" t="inlineStr">
        <is>
          <t>frcs</t>
        </is>
      </c>
      <c r="D19" s="4" t="inlineStr">
        <is>
          <t>Speed, which must be matched before any two stance measurements are compared.</t>
        </is>
      </c>
      <c r="E19" s="4" t="inlineStr"/>
      <c r="F19" s="4" t="inlineStr"/>
      <c r="G19" s="4" t="inlineStr"/>
    </row>
    <row r="20">
      <c r="A20" s="4" t="inlineStr">
        <is>
          <t>3.14.2-P6</t>
        </is>
      </c>
      <c r="B20" s="4" t="inlineStr">
        <is>
          <t>3.14.2</t>
        </is>
      </c>
      <c r="C20" s="4" t="inlineStr">
        <is>
          <t>frcs</t>
        </is>
      </c>
      <c r="D20" s="4" t="inlineStr">
        <is>
          <t>Assess the stance flexion wave by observation and treat its absence as significant, since nothing in clinic measures it.</t>
        </is>
      </c>
      <c r="E20" s="4" t="inlineStr"/>
      <c r="F20" s="4" t="inlineStr"/>
      <c r="G20" s="4" t="inlineStr"/>
    </row>
    <row r="21">
      <c r="A21" s="4" t="inlineStr">
        <is>
          <t>3.14.2-P7</t>
        </is>
      </c>
      <c r="B21" s="4" t="inlineStr">
        <is>
          <t>3.14.2</t>
        </is>
      </c>
      <c r="C21" s="4" t="inlineStr">
        <is>
          <t>frcs</t>
        </is>
      </c>
      <c r="D21" s="4" t="inlineStr">
        <is>
          <t>Report a moment curve rather than a peak when one is available.</t>
        </is>
      </c>
      <c r="E21" s="4" t="inlineStr"/>
      <c r="F21" s="4" t="inlineStr"/>
      <c r="G21" s="4" t="inlineStr"/>
    </row>
    <row r="22">
      <c r="A22" s="4" t="inlineStr">
        <is>
          <t>3.14.2-P8</t>
        </is>
      </c>
      <c r="B22" s="4" t="inlineStr">
        <is>
          <t>3.14.2</t>
        </is>
      </c>
      <c r="C22" s="4" t="inlineStr">
        <is>
          <t>frcs</t>
        </is>
      </c>
      <c r="D22" s="4" t="inlineStr">
        <is>
          <t>Expect a lost flexion wave to raise loading rate, which is a mechanical argument for restoring it rather than working around it.</t>
        </is>
      </c>
      <c r="E22" s="4" t="inlineStr"/>
      <c r="F22" s="4" t="inlineStr"/>
      <c r="G22" s="4" t="inlineStr"/>
    </row>
    <row r="23">
      <c r="A23" s="4" t="inlineStr">
        <is>
          <t>3.14.3-P1</t>
        </is>
      </c>
      <c r="B23" s="4" t="inlineStr">
        <is>
          <t>3.14.3</t>
        </is>
      </c>
      <c r="C23" s="4" t="inlineStr">
        <is>
          <t>mrcs</t>
        </is>
      </c>
      <c r="D23" s="4" t="inlineStr">
        <is>
          <t>Measure passive knee flexion before attributing a swing abnormality to control.</t>
        </is>
      </c>
      <c r="E23" s="4" t="inlineStr"/>
      <c r="F23" s="4" t="inlineStr"/>
      <c r="G23" s="4" t="inlineStr"/>
    </row>
    <row r="24">
      <c r="A24" s="4" t="inlineStr">
        <is>
          <t>3.14.3-P2</t>
        </is>
      </c>
      <c r="B24" s="4" t="inlineStr">
        <is>
          <t>3.14.3</t>
        </is>
      </c>
      <c r="C24" s="4" t="inlineStr">
        <is>
          <t>mrcs</t>
        </is>
      </c>
      <c r="D24" s="4" t="inlineStr">
        <is>
          <t>Read circumduction and hip hitching as compensations and look at the knee and ankle for the cause.</t>
        </is>
      </c>
      <c r="E24" s="4" t="inlineStr"/>
      <c r="F24" s="4" t="inlineStr"/>
      <c r="G24" s="4" t="inlineStr"/>
    </row>
    <row r="25">
      <c r="A25" s="4" t="inlineStr">
        <is>
          <t>3.14.3-P3</t>
        </is>
      </c>
      <c r="B25" s="4" t="inlineStr">
        <is>
          <t>3.14.3</t>
        </is>
      </c>
      <c r="C25" s="4" t="inlineStr">
        <is>
          <t>mrcs</t>
        </is>
      </c>
      <c r="D25" s="4" t="inlineStr">
        <is>
          <t>Consider rectus femoris timing where range is adequate and swing flexion is not.</t>
        </is>
      </c>
      <c r="E25" s="4" t="inlineStr"/>
      <c r="F25" s="4" t="inlineStr"/>
      <c r="G25" s="4" t="inlineStr"/>
    </row>
    <row r="26">
      <c r="A26" s="4" t="inlineStr">
        <is>
          <t>3.14.3-P4</t>
        </is>
      </c>
      <c r="B26" s="4" t="inlineStr">
        <is>
          <t>3.14.3</t>
        </is>
      </c>
      <c r="C26" s="4" t="inlineStr">
        <is>
          <t>mrcs</t>
        </is>
      </c>
      <c r="D26" s="4" t="inlineStr">
        <is>
          <t>Expect this phase to deteriorate first in a stiffening knee, and ask about catching the toes specifically.</t>
        </is>
      </c>
      <c r="E26" s="4" t="inlineStr"/>
      <c r="F26" s="4" t="inlineStr"/>
      <c r="G26" s="4" t="inlineStr"/>
    </row>
    <row r="27">
      <c r="A27" s="4" t="inlineStr">
        <is>
          <t>3.14.3-P5</t>
        </is>
      </c>
      <c r="B27" s="4" t="inlineStr">
        <is>
          <t>3.14.3</t>
        </is>
      </c>
      <c r="C27" s="4" t="inlineStr">
        <is>
          <t>frcs</t>
        </is>
      </c>
      <c r="D27" s="4" t="inlineStr">
        <is>
          <t>Ask about catching the toes, which is a swing complaint patients volunteer and examiners forget.</t>
        </is>
      </c>
      <c r="E27" s="4" t="inlineStr"/>
      <c r="F27" s="4" t="inlineStr"/>
      <c r="G27" s="4" t="inlineStr"/>
    </row>
    <row r="28">
      <c r="A28" s="4" t="inlineStr">
        <is>
          <t>3.14.3-P6</t>
        </is>
      </c>
      <c r="B28" s="4" t="inlineStr">
        <is>
          <t>3.14.3</t>
        </is>
      </c>
      <c r="C28" s="4" t="inlineStr">
        <is>
          <t>frcs</t>
        </is>
      </c>
      <c r="D28" s="4" t="inlineStr">
        <is>
          <t>Compare passive range against peak swing flexion where both are available, since the gap is the control deficit.</t>
        </is>
      </c>
      <c r="E28" s="4" t="inlineStr"/>
      <c r="F28" s="4" t="inlineStr"/>
      <c r="G28" s="4" t="inlineStr"/>
    </row>
    <row r="29">
      <c r="A29" s="4" t="inlineStr">
        <is>
          <t>3.14.3-P7</t>
        </is>
      </c>
      <c r="B29" s="4" t="inlineStr">
        <is>
          <t>3.14.3</t>
        </is>
      </c>
      <c r="C29" s="4" t="inlineStr">
        <is>
          <t>frcs</t>
        </is>
      </c>
      <c r="D29" s="4" t="inlineStr">
        <is>
          <t>Consider rectus femoris timing in a stiff knee gait with adequate passive range.</t>
        </is>
      </c>
      <c r="E29" s="4" t="inlineStr"/>
      <c r="F29" s="4" t="inlineStr"/>
      <c r="G29" s="4" t="inlineStr"/>
    </row>
    <row r="30">
      <c r="A30" s="4" t="inlineStr">
        <is>
          <t>3.14.3-P8</t>
        </is>
      </c>
      <c r="B30" s="4" t="inlineStr">
        <is>
          <t>3.14.3</t>
        </is>
      </c>
      <c r="C30" s="4" t="inlineStr">
        <is>
          <t>frcs</t>
        </is>
      </c>
      <c r="D30" s="4" t="inlineStr">
        <is>
          <t>Expect swing flexion to recover less completely than stance after arthroplasty, and counsel on that.</t>
        </is>
      </c>
      <c r="E30" s="4" t="inlineStr"/>
      <c r="F30" s="4" t="inlineStr"/>
      <c r="G30" s="4" t="inlineStr"/>
    </row>
    <row r="31">
      <c r="A31" s="4" t="inlineStr">
        <is>
          <t>3.14.3-P9</t>
        </is>
      </c>
      <c r="B31" s="4" t="inlineStr">
        <is>
          <t>3.14.3</t>
        </is>
      </c>
      <c r="C31" s="4" t="inlineStr">
        <is>
          <t>frcs</t>
        </is>
      </c>
      <c r="D31" s="4" t="inlineStr">
        <is>
          <t>Take the patient's age, physiology, comorbidities, knee demand, psychological state and their own ideas, concerns and expectations into any intervention here, because the deficit is often tolerated rather than treated.</t>
        </is>
      </c>
      <c r="E31" s="4" t="inlineStr"/>
      <c r="F31" s="4" t="inlineStr"/>
      <c r="G31" s="4" t="inlineStr"/>
    </row>
    <row r="32">
      <c r="A32" s="4" t="inlineStr">
        <is>
          <t>3.14.4-P1</t>
        </is>
      </c>
      <c r="B32" s="4" t="inlineStr">
        <is>
          <t>3.14.4</t>
        </is>
      </c>
      <c r="C32" s="4" t="inlineStr">
        <is>
          <t>mrcs</t>
        </is>
      </c>
      <c r="D32" s="4" t="inlineStr">
        <is>
          <t>Expect patellofemoral load to rise faster than tibiofemoral when running volume rises.</t>
        </is>
      </c>
      <c r="E32" s="4" t="inlineStr"/>
      <c r="F32" s="4" t="inlineStr"/>
      <c r="G32" s="4" t="inlineStr"/>
    </row>
    <row r="33">
      <c r="A33" s="4" t="inlineStr">
        <is>
          <t>3.14.4-P2</t>
        </is>
      </c>
      <c r="B33" s="4" t="inlineStr">
        <is>
          <t>3.14.4</t>
        </is>
      </c>
      <c r="C33" s="4" t="inlineStr">
        <is>
          <t>mrcs</t>
        </is>
      </c>
      <c r="D33" s="4" t="inlineStr">
        <is>
          <t>Read a foot strike change as moving load rather than removing it.</t>
        </is>
      </c>
      <c r="E33" s="4" t="inlineStr"/>
      <c r="F33" s="4" t="inlineStr"/>
      <c r="G33" s="4" t="inlineStr"/>
    </row>
    <row r="34">
      <c r="A34" s="4" t="inlineStr">
        <is>
          <t>3.14.4-P3</t>
        </is>
      </c>
      <c r="B34" s="4" t="inlineStr">
        <is>
          <t>3.14.4</t>
        </is>
      </c>
      <c r="C34" s="4" t="inlineStr">
        <is>
          <t>mrcs</t>
        </is>
      </c>
      <c r="D34" s="4" t="inlineStr">
        <is>
          <t>State whether a running figure came from a treadmill or from overground.</t>
        </is>
      </c>
      <c r="E34" s="4" t="inlineStr"/>
      <c r="F34" s="4" t="inlineStr"/>
      <c r="G34" s="4" t="inlineStr"/>
    </row>
    <row r="35">
      <c r="A35" s="4" t="inlineStr">
        <is>
          <t>3.14.4-P4</t>
        </is>
      </c>
      <c r="B35" s="4" t="inlineStr">
        <is>
          <t>3.14.4</t>
        </is>
      </c>
      <c r="C35" s="4" t="inlineStr">
        <is>
          <t>frcs</t>
        </is>
      </c>
      <c r="D35" s="4" t="inlineStr">
        <is>
          <t>Foot strike retraining redistributes load from the knee to the ankle and Achilles, which is a trade rather than an improvement and should be described as one.</t>
        </is>
      </c>
      <c r="E35" s="4" t="inlineStr"/>
      <c r="F35" s="4" t="inlineStr"/>
      <c r="G35" s="4" t="inlineStr"/>
    </row>
    <row r="36">
      <c r="A36" s="4" t="inlineStr">
        <is>
          <t>3.14.4-P5</t>
        </is>
      </c>
      <c r="B36" s="4" t="inlineStr">
        <is>
          <t>3.14.4</t>
        </is>
      </c>
      <c r="C36" s="4" t="inlineStr">
        <is>
          <t>frcs</t>
        </is>
      </c>
      <c r="D36" s="4" t="inlineStr">
        <is>
          <t>Offer cadence increase as a measurable per step load reduction rather than as a style correction.</t>
        </is>
      </c>
      <c r="E36" s="4" t="inlineStr"/>
      <c r="F36" s="4" t="inlineStr"/>
      <c r="G36" s="4" t="inlineStr"/>
    </row>
    <row r="37">
      <c r="A37" s="4" t="inlineStr">
        <is>
          <t>3.14.4-P6</t>
        </is>
      </c>
      <c r="B37" s="4" t="inlineStr">
        <is>
          <t>3.14.4</t>
        </is>
      </c>
      <c r="C37" s="4" t="inlineStr">
        <is>
          <t>frcs</t>
        </is>
      </c>
      <c r="D37" s="4" t="inlineStr">
        <is>
          <t>Avoid presenting a modelled contact force as a measured one.</t>
        </is>
      </c>
      <c r="E37" s="4" t="inlineStr"/>
      <c r="F37" s="4" t="inlineStr"/>
      <c r="G37" s="4" t="inlineStr"/>
    </row>
    <row r="38">
      <c r="A38" s="4" t="inlineStr">
        <is>
          <t>3.14.4-P7</t>
        </is>
      </c>
      <c r="B38" s="4" t="inlineStr">
        <is>
          <t>3.14.4</t>
        </is>
      </c>
      <c r="C38" s="4" t="inlineStr">
        <is>
          <t>frcs</t>
        </is>
      </c>
      <c r="D38" s="4" t="inlineStr">
        <is>
          <t>Weigh the patient's age, physiology, comorbidities, knee demand, psychological state and their own ideas, concerns and expectations, because adherence to a volume plan decides the outcome more than the plan does.</t>
        </is>
      </c>
      <c r="E38" s="4" t="inlineStr"/>
      <c r="F38" s="4" t="inlineStr"/>
      <c r="G38" s="4" t="inlineStr"/>
    </row>
    <row r="39">
      <c r="A39" s="4" t="inlineStr">
        <is>
          <t>3.14.5-P1</t>
        </is>
      </c>
      <c r="B39" s="4" t="inlineStr">
        <is>
          <t>3.14.5</t>
        </is>
      </c>
      <c r="C39" s="4" t="inlineStr">
        <is>
          <t>mrcs</t>
        </is>
      </c>
      <c r="D39" s="4" t="inlineStr">
        <is>
          <t>Assess the hamstring at long lengths in a sprinter, since that is where the failure occurs.</t>
        </is>
      </c>
      <c r="E39" s="4" t="inlineStr"/>
      <c r="F39" s="4" t="inlineStr"/>
      <c r="G39" s="4" t="inlineStr"/>
    </row>
    <row r="40">
      <c r="A40" s="4" t="inlineStr">
        <is>
          <t>3.14.5-P2</t>
        </is>
      </c>
      <c r="B40" s="4" t="inlineStr">
        <is>
          <t>3.14.5</t>
        </is>
      </c>
      <c r="C40" s="4" t="inlineStr">
        <is>
          <t>mrcs</t>
        </is>
      </c>
      <c r="D40" s="4" t="inlineStr">
        <is>
          <t>Expect knee complaints in sprinters to be referred or secondary more often than in distance runners.</t>
        </is>
      </c>
      <c r="E40" s="4" t="inlineStr"/>
      <c r="F40" s="4" t="inlineStr"/>
      <c r="G40" s="4" t="inlineStr"/>
    </row>
    <row r="41">
      <c r="A41" s="4" t="inlineStr">
        <is>
          <t>3.14.5-P3</t>
        </is>
      </c>
      <c r="B41" s="4" t="inlineStr">
        <is>
          <t>3.14.5</t>
        </is>
      </c>
      <c r="C41" s="4" t="inlineStr">
        <is>
          <t>mrcs</t>
        </is>
      </c>
      <c r="D41" s="4" t="inlineStr">
        <is>
          <t>Stage sprinting last in a return to sport progression.</t>
        </is>
      </c>
      <c r="E41" s="4" t="inlineStr"/>
      <c r="F41" s="4" t="inlineStr"/>
      <c r="G41" s="4" t="inlineStr"/>
    </row>
    <row r="42">
      <c r="A42" s="4" t="inlineStr">
        <is>
          <t>3.14.5-P4</t>
        </is>
      </c>
      <c r="B42" s="4" t="inlineStr">
        <is>
          <t>3.14.5</t>
        </is>
      </c>
      <c r="C42" s="4" t="inlineStr">
        <is>
          <t>mrcs</t>
        </is>
      </c>
      <c r="D42" s="4" t="inlineStr">
        <is>
          <t>Treat fatigue as a risk variable rather than a performance one.</t>
        </is>
      </c>
      <c r="E42" s="4" t="inlineStr"/>
      <c r="F42" s="4" t="inlineStr"/>
      <c r="G42" s="4" t="inlineStr"/>
    </row>
    <row r="43">
      <c r="A43" s="4" t="inlineStr">
        <is>
          <t>3.14.5-P5</t>
        </is>
      </c>
      <c r="B43" s="4" t="inlineStr">
        <is>
          <t>3.14.5</t>
        </is>
      </c>
      <c r="C43" s="4" t="inlineStr">
        <is>
          <t>frcs</t>
        </is>
      </c>
      <c r="D43" s="4" t="inlineStr">
        <is>
          <t>Expect a knee complaint in a sprinter to be referred, patellofemoral or secondary to another structure.</t>
        </is>
      </c>
      <c r="E43" s="4" t="inlineStr"/>
      <c r="F43" s="4" t="inlineStr"/>
      <c r="G43" s="4" t="inlineStr"/>
    </row>
    <row r="44">
      <c r="A44" s="4" t="inlineStr">
        <is>
          <t>3.14.5-P6</t>
        </is>
      </c>
      <c r="B44" s="4" t="inlineStr">
        <is>
          <t>3.14.5</t>
        </is>
      </c>
      <c r="C44" s="4" t="inlineStr">
        <is>
          <t>frcs</t>
        </is>
      </c>
      <c r="D44" s="4" t="inlineStr">
        <is>
          <t>State that knee load in sprinting is inferred rather than measured.</t>
        </is>
      </c>
      <c r="E44" s="4" t="inlineStr"/>
      <c r="F44" s="4" t="inlineStr"/>
      <c r="G44" s="4" t="inlineStr"/>
    </row>
    <row r="45">
      <c r="A45" s="4" t="inlineStr">
        <is>
          <t>3.14.5-P7</t>
        </is>
      </c>
      <c r="B45" s="4" t="inlineStr">
        <is>
          <t>3.14.5</t>
        </is>
      </c>
      <c r="C45" s="4" t="inlineStr">
        <is>
          <t>frcs</t>
        </is>
      </c>
      <c r="D45" s="4" t="inlineStr">
        <is>
          <t>Weigh the athlete's age, physiology, comorbidities, knee demand, psychological state and their own ideas, concerns and expectations, since readiness to sprint is as much confidence as capacity.</t>
        </is>
      </c>
      <c r="E45" s="4" t="inlineStr"/>
      <c r="F45" s="4" t="inlineStr"/>
      <c r="G45" s="4" t="inlineStr"/>
    </row>
    <row r="46">
      <c r="A46" s="4" t="inlineStr">
        <is>
          <t>3.14.6-P1</t>
        </is>
      </c>
      <c r="B46" s="4" t="inlineStr">
        <is>
          <t>3.14.6</t>
        </is>
      </c>
      <c r="C46" s="4" t="inlineStr">
        <is>
          <t>mrcs</t>
        </is>
      </c>
      <c r="D46" s="4" t="inlineStr">
        <is>
          <t>Assess trunk position over the plant foot, which is the largest modifiable contributor.</t>
        </is>
      </c>
      <c r="E46" s="4" t="inlineStr"/>
      <c r="F46" s="4" t="inlineStr"/>
      <c r="G46" s="4" t="inlineStr"/>
    </row>
    <row r="47">
      <c r="A47" s="4" t="inlineStr">
        <is>
          <t>3.14.6-P2</t>
        </is>
      </c>
      <c r="B47" s="4" t="inlineStr">
        <is>
          <t>3.14.6</t>
        </is>
      </c>
      <c r="C47" s="4" t="inlineStr">
        <is>
          <t>mrcs</t>
        </is>
      </c>
      <c r="D47" s="4" t="inlineStr">
        <is>
          <t>Expect a single variable screen to perform poorly, because the risk is a conjunction.</t>
        </is>
      </c>
      <c r="E47" s="4" t="inlineStr"/>
      <c r="F47" s="4" t="inlineStr"/>
      <c r="G47" s="4" t="inlineStr"/>
    </row>
    <row r="48">
      <c r="A48" s="4" t="inlineStr">
        <is>
          <t>3.14.6-P3</t>
        </is>
      </c>
      <c r="B48" s="4" t="inlineStr">
        <is>
          <t>3.14.6</t>
        </is>
      </c>
      <c r="C48" s="4" t="inlineStr">
        <is>
          <t>mrcs</t>
        </is>
      </c>
      <c r="D48" s="4" t="inlineStr">
        <is>
          <t>Stage cutting late in a return to sport progression.</t>
        </is>
      </c>
      <c r="E48" s="4" t="inlineStr"/>
      <c r="F48" s="4" t="inlineStr"/>
      <c r="G48" s="4" t="inlineStr"/>
    </row>
    <row r="49">
      <c r="A49" s="4" t="inlineStr">
        <is>
          <t>3.14.6-P4</t>
        </is>
      </c>
      <c r="B49" s="4" t="inlineStr">
        <is>
          <t>3.14.6</t>
        </is>
      </c>
      <c r="C49" s="4" t="inlineStr">
        <is>
          <t>frcs</t>
        </is>
      </c>
      <c r="D49" s="4" t="inlineStr">
        <is>
          <t>Expect adherence rather than programme content to decide the result, and plan for it.</t>
        </is>
      </c>
      <c r="E49" s="4" t="inlineStr"/>
      <c r="F49" s="4" t="inlineStr"/>
      <c r="G49" s="4" t="inlineStr"/>
    </row>
    <row r="50">
      <c r="A50" s="4" t="inlineStr">
        <is>
          <t>3.14.6-P5</t>
        </is>
      </c>
      <c r="B50" s="4" t="inlineStr">
        <is>
          <t>3.14.6</t>
        </is>
      </c>
      <c r="C50" s="4" t="inlineStr">
        <is>
          <t>frcs</t>
        </is>
      </c>
      <c r="D50" s="4" t="inlineStr">
        <is>
          <t>State that the mechanism rests on video and modelling rather than on direct measurement.</t>
        </is>
      </c>
      <c r="E50" s="4" t="inlineStr"/>
      <c r="F50" s="4" t="inlineStr"/>
      <c r="G50" s="4" t="inlineStr"/>
    </row>
    <row r="51">
      <c r="A51" s="4" t="inlineStr">
        <is>
          <t>3.14.6-P6</t>
        </is>
      </c>
      <c r="B51" s="4" t="inlineStr">
        <is>
          <t>3.14.6</t>
        </is>
      </c>
      <c r="C51" s="4" t="inlineStr">
        <is>
          <t>frcs</t>
        </is>
      </c>
      <c r="D51" s="4" t="inlineStr">
        <is>
          <t>Take the athlete's age, physiology, comorbidities, knee demand, psychological state and their own ideas, concerns and expectations into return to sport decisions, since fear of reinjury changes cutting mechanics measurably.</t>
        </is>
      </c>
      <c r="E51" s="4" t="inlineStr"/>
      <c r="F51" s="4" t="inlineStr"/>
      <c r="G51" s="4" t="inlineStr"/>
    </row>
    <row r="52">
      <c r="A52" s="4" t="inlineStr">
        <is>
          <t>3.14.7-P1</t>
        </is>
      </c>
      <c r="B52" s="4" t="inlineStr">
        <is>
          <t>3.14.7</t>
        </is>
      </c>
      <c r="C52" s="4" t="inlineStr">
        <is>
          <t>mrcs</t>
        </is>
      </c>
      <c r="D52" s="4" t="inlineStr">
        <is>
          <t>Measure single leg symmetry rather than absolute height, since the uninjured limb is the useful comparator.</t>
        </is>
      </c>
      <c r="E52" s="4" t="inlineStr"/>
      <c r="F52" s="4" t="inlineStr"/>
      <c r="G52" s="4" t="inlineStr"/>
    </row>
    <row r="53">
      <c r="A53" s="4" t="inlineStr">
        <is>
          <t>3.14.7-P2</t>
        </is>
      </c>
      <c r="B53" s="4" t="inlineStr">
        <is>
          <t>3.14.7</t>
        </is>
      </c>
      <c r="C53" s="4" t="inlineStr">
        <is>
          <t>mrcs</t>
        </is>
      </c>
      <c r="D53" s="4" t="inlineStr">
        <is>
          <t>Prefer a force plate to a jump mat where available, because how the height was produced is the clinical information.</t>
        </is>
      </c>
      <c r="E53" s="4" t="inlineStr"/>
      <c r="F53" s="4" t="inlineStr"/>
      <c r="G53" s="4" t="inlineStr"/>
    </row>
    <row r="54">
      <c r="A54" s="4" t="inlineStr">
        <is>
          <t>3.14.7-P3</t>
        </is>
      </c>
      <c r="B54" s="4" t="inlineStr">
        <is>
          <t>3.14.7</t>
        </is>
      </c>
      <c r="C54" s="4" t="inlineStr">
        <is>
          <t>mrcs</t>
        </is>
      </c>
      <c r="D54" s="4" t="inlineStr">
        <is>
          <t>Expect flight time methods to overestimate in an injured limb that lands differently.</t>
        </is>
      </c>
      <c r="E54" s="4" t="inlineStr"/>
      <c r="F54" s="4" t="inlineStr"/>
      <c r="G54" s="4" t="inlineStr"/>
    </row>
    <row r="55">
      <c r="A55" s="4" t="inlineStr">
        <is>
          <t>3.14.7-P4</t>
        </is>
      </c>
      <c r="B55" s="4" t="inlineStr">
        <is>
          <t>3.14.7</t>
        </is>
      </c>
      <c r="C55" s="4" t="inlineStr">
        <is>
          <t>mrcs</t>
        </is>
      </c>
      <c r="D55" s="4" t="inlineStr">
        <is>
          <t>Treat jump testing as a measure of power and landing testing as a measure of control.</t>
        </is>
      </c>
      <c r="E55" s="4" t="inlineStr"/>
      <c r="F55" s="4" t="inlineStr"/>
      <c r="G55" s="4" t="inlineStr"/>
    </row>
    <row r="56">
      <c r="A56" s="4" t="inlineStr">
        <is>
          <t>3.14.7-P5</t>
        </is>
      </c>
      <c r="B56" s="4" t="inlineStr">
        <is>
          <t>3.14.7</t>
        </is>
      </c>
      <c r="C56" s="4" t="inlineStr">
        <is>
          <t>frcs</t>
        </is>
      </c>
      <c r="D56" s="4" t="inlineStr">
        <is>
          <t>Use a battery rather than a single hop, and state which tests it contained.</t>
        </is>
      </c>
      <c r="E56" s="4" t="inlineStr"/>
      <c r="F56" s="4" t="inlineStr"/>
      <c r="G56" s="4" t="inlineStr"/>
    </row>
    <row r="57">
      <c r="A57" s="4" t="inlineStr">
        <is>
          <t>3.14.7-P6</t>
        </is>
      </c>
      <c r="B57" s="4" t="inlineStr">
        <is>
          <t>3.14.7</t>
        </is>
      </c>
      <c r="C57" s="4" t="inlineStr">
        <is>
          <t>frcs</t>
        </is>
      </c>
      <c r="D57" s="4" t="inlineStr">
        <is>
          <t>Measure quadriceps strength directly as well, since it underlies the hop and is less confounded.</t>
        </is>
      </c>
      <c r="E57" s="4" t="inlineStr"/>
      <c r="F57" s="4" t="inlineStr"/>
      <c r="G57" s="4" t="inlineStr"/>
    </row>
    <row r="58">
      <c r="A58" s="4" t="inlineStr">
        <is>
          <t>3.14.7-P7</t>
        </is>
      </c>
      <c r="B58" s="4" t="inlineStr">
        <is>
          <t>3.14.7</t>
        </is>
      </c>
      <c r="C58" s="4" t="inlineStr">
        <is>
          <t>frcs</t>
        </is>
      </c>
      <c r="D58" s="4" t="inlineStr">
        <is>
          <t>State that the 90 per cent threshold is a convention rather than a validated cutoff.</t>
        </is>
      </c>
      <c r="E58" s="4" t="inlineStr"/>
      <c r="F58" s="4" t="inlineStr"/>
      <c r="G58" s="4" t="inlineStr"/>
    </row>
    <row r="59">
      <c r="A59" s="4" t="inlineStr">
        <is>
          <t>3.14.7-P8</t>
        </is>
      </c>
      <c r="B59" s="4" t="inlineStr">
        <is>
          <t>3.14.7</t>
        </is>
      </c>
      <c r="C59" s="4" t="inlineStr">
        <is>
          <t>frcs</t>
        </is>
      </c>
      <c r="D59" s="4" t="inlineStr">
        <is>
          <t>Weigh the athlete's age, physiology, comorbidities, knee demand, psychological state and their own ideas, concerns and expectations, because a passed battery and a ready athlete are different things.</t>
        </is>
      </c>
      <c r="E59" s="4" t="inlineStr"/>
      <c r="F59" s="4" t="inlineStr"/>
      <c r="G59" s="4" t="inlineStr"/>
    </row>
    <row r="60">
      <c r="A60" s="4" t="inlineStr">
        <is>
          <t>3.14.8-P1</t>
        </is>
      </c>
      <c r="B60" s="4" t="inlineStr">
        <is>
          <t>3.14.8</t>
        </is>
      </c>
      <c r="C60" s="4" t="inlineStr">
        <is>
          <t>mrcs</t>
        </is>
      </c>
      <c r="D60" s="4" t="inlineStr">
        <is>
          <t>Assess landing on one leg, since two legged landings conceal asymmetry and most injuries are single leg.</t>
        </is>
      </c>
      <c r="E60" s="4" t="inlineStr"/>
      <c r="F60" s="4" t="inlineStr"/>
      <c r="G60" s="4" t="inlineStr"/>
    </row>
    <row r="61">
      <c r="A61" s="4" t="inlineStr">
        <is>
          <t>3.14.8-P2</t>
        </is>
      </c>
      <c r="B61" s="4" t="inlineStr">
        <is>
          <t>3.14.8</t>
        </is>
      </c>
      <c r="C61" s="4" t="inlineStr">
        <is>
          <t>mrcs</t>
        </is>
      </c>
      <c r="D61" s="4" t="inlineStr">
        <is>
          <t>Read peak knee flexion as the most informative single variable available by observation.</t>
        </is>
      </c>
      <c r="E61" s="4" t="inlineStr"/>
      <c r="F61" s="4" t="inlineStr"/>
      <c r="G61" s="4" t="inlineStr"/>
    </row>
    <row r="62">
      <c r="A62" s="4" t="inlineStr">
        <is>
          <t>3.14.8-P3</t>
        </is>
      </c>
      <c r="B62" s="4" t="inlineStr">
        <is>
          <t>3.14.8</t>
        </is>
      </c>
      <c r="C62" s="4" t="inlineStr">
        <is>
          <t>mrcs</t>
        </is>
      </c>
      <c r="D62" s="4" t="inlineStr">
        <is>
          <t>Expect a laboratory drop landing to underestimate the demands of a contested landing.</t>
        </is>
      </c>
      <c r="E62" s="4" t="inlineStr"/>
      <c r="F62" s="4" t="inlineStr"/>
      <c r="G62" s="4" t="inlineStr"/>
    </row>
    <row r="63">
      <c r="A63" s="4" t="inlineStr">
        <is>
          <t>3.14.8-P4</t>
        </is>
      </c>
      <c r="B63" s="4" t="inlineStr">
        <is>
          <t>3.14.8</t>
        </is>
      </c>
      <c r="C63" s="4" t="inlineStr">
        <is>
          <t>frcs</t>
        </is>
      </c>
      <c r="D63" s="4" t="inlineStr">
        <is>
          <t>Assess under fatigue and on one leg, since that is nearer the injury condition.</t>
        </is>
      </c>
      <c r="E63" s="4" t="inlineStr"/>
      <c r="F63" s="4" t="inlineStr"/>
      <c r="G63" s="4" t="inlineStr"/>
    </row>
    <row r="64">
      <c r="A64" s="4" t="inlineStr">
        <is>
          <t>3.14.8-P5</t>
        </is>
      </c>
      <c r="B64" s="4" t="inlineStr">
        <is>
          <t>3.14.8</t>
        </is>
      </c>
      <c r="C64" s="4" t="inlineStr">
        <is>
          <t>frcs</t>
        </is>
      </c>
      <c r="D64" s="4" t="inlineStr">
        <is>
          <t>State that frontal plane screening has not predicted injury consistently.</t>
        </is>
      </c>
      <c r="E64" s="4" t="inlineStr"/>
      <c r="F64" s="4" t="inlineStr"/>
      <c r="G64" s="4" t="inlineStr"/>
    </row>
    <row r="65">
      <c r="A65" s="4" t="inlineStr">
        <is>
          <t>3.14.8-P6</t>
        </is>
      </c>
      <c r="B65" s="4" t="inlineStr">
        <is>
          <t>3.14.8</t>
        </is>
      </c>
      <c r="C65" s="4" t="inlineStr">
        <is>
          <t>frcs</t>
        </is>
      </c>
      <c r="D65" s="4" t="inlineStr">
        <is>
          <t>Expect fear of reinjury to change landing strategy, and address it as part of the assessment rather than after it.</t>
        </is>
      </c>
      <c r="E65" s="4" t="inlineStr"/>
      <c r="F65" s="4" t="inlineStr"/>
      <c r="G65" s="4" t="inlineStr"/>
    </row>
    <row r="66">
      <c r="A66" s="4" t="inlineStr">
        <is>
          <t>3.14.8-P7</t>
        </is>
      </c>
      <c r="B66" s="4" t="inlineStr">
        <is>
          <t>3.14.8</t>
        </is>
      </c>
      <c r="C66" s="4" t="inlineStr">
        <is>
          <t>frcs</t>
        </is>
      </c>
      <c r="D66" s="4" t="inlineStr">
        <is>
          <t>Take the athlete's age, physiology, comorbidities, knee demand, psychological state and their own ideas, concerns and expectations into return to sport decisions, because landing confidence and landing capacity diverge.</t>
        </is>
      </c>
      <c r="E66" s="4" t="inlineStr"/>
      <c r="F66" s="4" t="inlineStr"/>
      <c r="G66" s="4" t="inlineStr"/>
    </row>
    <row r="67">
      <c r="A67" s="4" t="inlineStr">
        <is>
          <t>3.14.9-P1</t>
        </is>
      </c>
      <c r="B67" s="4" t="inlineStr">
        <is>
          <t>3.14.9</t>
        </is>
      </c>
      <c r="C67" s="4" t="inlineStr">
        <is>
          <t>mrcs</t>
        </is>
      </c>
      <c r="D67" s="4" t="inlineStr">
        <is>
          <t>A finding that is present in a minority should not be taught as the characteristic pattern, and this one routinely is.</t>
        </is>
      </c>
      <c r="E67" s="4" t="inlineStr"/>
      <c r="F67" s="4" t="inlineStr"/>
      <c r="G67" s="4" t="inlineStr"/>
    </row>
    <row r="68">
      <c r="A68" s="4" t="inlineStr">
        <is>
          <t>3.14.9-P2</t>
        </is>
      </c>
      <c r="B68" s="4" t="inlineStr">
        <is>
          <t>3.14.9</t>
        </is>
      </c>
      <c r="C68" s="4" t="inlineStr">
        <is>
          <t>mrcs</t>
        </is>
      </c>
      <c r="D68" s="4" t="inlineStr">
        <is>
          <t>Avoid teaching quadriceps avoidance as the characteristic pattern, since it is present in a minority.</t>
        </is>
      </c>
      <c r="E68" s="4" t="inlineStr"/>
      <c r="F68" s="4" t="inlineStr"/>
      <c r="G68" s="4" t="inlineStr"/>
    </row>
    <row r="69">
      <c r="A69" s="4" t="inlineStr">
        <is>
          <t>3.14.9-P3</t>
        </is>
      </c>
      <c r="B69" s="4" t="inlineStr">
        <is>
          <t>3.14.9</t>
        </is>
      </c>
      <c r="C69" s="4" t="inlineStr">
        <is>
          <t>mrcs</t>
        </is>
      </c>
      <c r="D69" s="4" t="inlineStr">
        <is>
          <t>Assess the knee in a demanding task rather than in walking, because walking rarely provokes the deficit.</t>
        </is>
      </c>
      <c r="E69" s="4" t="inlineStr"/>
      <c r="F69" s="4" t="inlineStr"/>
      <c r="G69" s="4" t="inlineStr"/>
    </row>
    <row r="70">
      <c r="A70" s="4" t="inlineStr">
        <is>
          <t>3.14.9-P4</t>
        </is>
      </c>
      <c r="B70" s="4" t="inlineStr">
        <is>
          <t>3.14.9</t>
        </is>
      </c>
      <c r="C70" s="4" t="inlineStr">
        <is>
          <t>mrcs</t>
        </is>
      </c>
      <c r="D70" s="4" t="inlineStr">
        <is>
          <t>Expect gait abnormality and examination laxity to disagree, and say which you are describing.</t>
        </is>
      </c>
      <c r="E70" s="4" t="inlineStr"/>
      <c r="F70" s="4" t="inlineStr"/>
      <c r="G70" s="4" t="inlineStr"/>
    </row>
    <row r="71">
      <c r="A71" s="4" t="inlineStr">
        <is>
          <t>3.14.9-P5</t>
        </is>
      </c>
      <c r="B71" s="4" t="inlineStr">
        <is>
          <t>3.14.9</t>
        </is>
      </c>
      <c r="C71" s="4" t="inlineStr">
        <is>
          <t>frcs</t>
        </is>
      </c>
      <c r="D71" s="4" t="inlineStr">
        <is>
          <t>Expect quadriceps deficit to persist for years and measure it rather than assume recovery.</t>
        </is>
      </c>
      <c r="E71" s="4" t="inlineStr"/>
      <c r="F71" s="4" t="inlineStr"/>
      <c r="G71" s="4" t="inlineStr"/>
    </row>
    <row r="72">
      <c r="A72" s="4" t="inlineStr">
        <is>
          <t>3.14.9-P6</t>
        </is>
      </c>
      <c r="B72" s="4" t="inlineStr">
        <is>
          <t>3.14.9</t>
        </is>
      </c>
      <c r="C72" s="4" t="inlineStr">
        <is>
          <t>frcs</t>
        </is>
      </c>
      <c r="D72" s="4" t="inlineStr">
        <is>
          <t>Treat persistent altered kinematics as the mechanical candidate for later degeneration when counselling.</t>
        </is>
      </c>
      <c r="E72" s="4" t="inlineStr"/>
      <c r="F72" s="4" t="inlineStr"/>
      <c r="G72" s="4" t="inlineStr"/>
    </row>
    <row r="73">
      <c r="A73" s="4" t="inlineStr">
        <is>
          <t>3.14.9-P7</t>
        </is>
      </c>
      <c r="B73" s="4" t="inlineStr">
        <is>
          <t>3.14.9</t>
        </is>
      </c>
      <c r="C73" s="4" t="inlineStr">
        <is>
          <t>frcs</t>
        </is>
      </c>
      <c r="D73" s="4" t="inlineStr">
        <is>
          <t>Avoid teaching quadriceps avoidance as characteristic.</t>
        </is>
      </c>
      <c r="E73" s="4" t="inlineStr"/>
      <c r="F73" s="4" t="inlineStr"/>
      <c r="G73" s="4" t="inlineStr"/>
    </row>
    <row r="74">
      <c r="A74" s="4" t="inlineStr">
        <is>
          <t>3.14.9-P8</t>
        </is>
      </c>
      <c r="B74" s="4" t="inlineStr">
        <is>
          <t>3.14.9</t>
        </is>
      </c>
      <c r="C74" s="4" t="inlineStr">
        <is>
          <t>frcs</t>
        </is>
      </c>
      <c r="D74" s="4" t="inlineStr">
        <is>
          <t>Weigh the patient's age, physiology, comorbidities, knee demand, psychological state and their own ideas, concerns and expectations, because fear of reinjury changes gait and is part of the clinical picture rather than separate from it.</t>
        </is>
      </c>
      <c r="E74" s="4" t="inlineStr"/>
      <c r="F74" s="4" t="inlineStr"/>
      <c r="G74" s="4" t="inlineStr"/>
    </row>
    <row r="75">
      <c r="A75" s="4" t="inlineStr">
        <is>
          <t>3.14.10-P1</t>
        </is>
      </c>
      <c r="B75" s="4" t="inlineStr">
        <is>
          <t>3.14.10</t>
        </is>
      </c>
      <c r="C75" s="4" t="inlineStr">
        <is>
          <t>mrcs</t>
        </is>
      </c>
      <c r="D75" s="4" t="inlineStr">
        <is>
          <t>Grade of posterior laxity and whether it is isolated or combined.</t>
        </is>
      </c>
      <c r="E75" s="4" t="inlineStr"/>
      <c r="F75" s="4" t="inlineStr"/>
      <c r="G75" s="4" t="inlineStr"/>
    </row>
    <row r="76">
      <c r="A76" s="4" t="inlineStr">
        <is>
          <t>3.14.10-P2</t>
        </is>
      </c>
      <c r="B76" s="4" t="inlineStr">
        <is>
          <t>3.14.10</t>
        </is>
      </c>
      <c r="C76" s="4" t="inlineStr">
        <is>
          <t>mrcs</t>
        </is>
      </c>
      <c r="D76" s="4" t="inlineStr">
        <is>
          <t>Ask about stairs and slopes specifically, since level walking is often well tolerated.</t>
        </is>
      </c>
      <c r="E76" s="4" t="inlineStr"/>
      <c r="F76" s="4" t="inlineStr"/>
      <c r="G76" s="4" t="inlineStr"/>
    </row>
    <row r="77">
      <c r="A77" s="4" t="inlineStr">
        <is>
          <t>3.14.10-P3</t>
        </is>
      </c>
      <c r="B77" s="4" t="inlineStr">
        <is>
          <t>3.14.10</t>
        </is>
      </c>
      <c r="C77" s="4" t="inlineStr">
        <is>
          <t>mrcs</t>
        </is>
      </c>
      <c r="D77" s="4" t="inlineStr">
        <is>
          <t>Measure quadriceps strength, because the adaptation depends on it and function follows it.</t>
        </is>
      </c>
      <c r="E77" s="4" t="inlineStr"/>
      <c r="F77" s="4" t="inlineStr"/>
      <c r="G77" s="4" t="inlineStr"/>
    </row>
    <row r="78">
      <c r="A78" s="4" t="inlineStr">
        <is>
          <t>3.14.10-P4</t>
        </is>
      </c>
      <c r="B78" s="4" t="inlineStr">
        <is>
          <t>3.14.10</t>
        </is>
      </c>
      <c r="C78" s="4" t="inlineStr">
        <is>
          <t>mrcs</t>
        </is>
      </c>
      <c r="D78" s="4" t="inlineStr">
        <is>
          <t>Expect the degenerative pattern to be medial and patellofemoral rather than diffuse.</t>
        </is>
      </c>
      <c r="E78" s="4" t="inlineStr"/>
      <c r="F78" s="4" t="inlineStr"/>
      <c r="G78" s="4" t="inlineStr"/>
    </row>
    <row r="79">
      <c r="A79" s="4" t="inlineStr">
        <is>
          <t>3.14.10-P5</t>
        </is>
      </c>
      <c r="B79" s="4" t="inlineStr">
        <is>
          <t>3.14.10</t>
        </is>
      </c>
      <c r="C79" s="4" t="inlineStr">
        <is>
          <t>mrcs</t>
        </is>
      </c>
      <c r="D79" s="4" t="inlineStr">
        <is>
          <t>Assess the posterolateral corner, since a combined injury changes the picture.</t>
        </is>
      </c>
      <c r="E79" s="4" t="inlineStr"/>
      <c r="F79" s="4" t="inlineStr"/>
      <c r="G79" s="4" t="inlineStr"/>
    </row>
    <row r="80">
      <c r="A80" s="4" t="inlineStr">
        <is>
          <t>3.14.10-P6</t>
        </is>
      </c>
      <c r="B80" s="4" t="inlineStr">
        <is>
          <t>3.14.10</t>
        </is>
      </c>
      <c r="C80" s="4" t="inlineStr">
        <is>
          <t>frcs</t>
        </is>
      </c>
      <c r="D80" s="4" t="inlineStr">
        <is>
          <t>Counsel that non operative management works through an adaptation that itself loads the joint, rather than presenting it as cost free.</t>
        </is>
      </c>
      <c r="E80" s="4" t="inlineStr"/>
      <c r="F80" s="4" t="inlineStr"/>
      <c r="G80" s="4" t="inlineStr"/>
    </row>
    <row r="81">
      <c r="A81" s="4" t="inlineStr">
        <is>
          <t>3.14.10-P7</t>
        </is>
      </c>
      <c r="B81" s="4" t="inlineStr">
        <is>
          <t>3.14.10</t>
        </is>
      </c>
      <c r="C81" s="4" t="inlineStr">
        <is>
          <t>frcs</t>
        </is>
      </c>
      <c r="D81" s="4" t="inlineStr">
        <is>
          <t>Measure and treat quadriceps capacity, which is the mechanism of function here.</t>
        </is>
      </c>
      <c r="E81" s="4" t="inlineStr"/>
      <c r="F81" s="4" t="inlineStr"/>
      <c r="G81" s="4" t="inlineStr"/>
    </row>
    <row r="82">
      <c r="A82" s="4" t="inlineStr">
        <is>
          <t>3.14.10-P8</t>
        </is>
      </c>
      <c r="B82" s="4" t="inlineStr">
        <is>
          <t>3.14.10</t>
        </is>
      </c>
      <c r="C82" s="4" t="inlineStr">
        <is>
          <t>frcs</t>
        </is>
      </c>
      <c r="D82" s="4" t="inlineStr">
        <is>
          <t>Consider slope in the patient with a poor result, since it changes the sagittal equilibrium.</t>
        </is>
      </c>
      <c r="E82" s="4" t="inlineStr"/>
      <c r="F82" s="4" t="inlineStr"/>
      <c r="G82" s="4" t="inlineStr"/>
    </row>
    <row r="83">
      <c r="A83" s="4" t="inlineStr">
        <is>
          <t>3.14.10-P9</t>
        </is>
      </c>
      <c r="B83" s="4" t="inlineStr">
        <is>
          <t>3.14.10</t>
        </is>
      </c>
      <c r="C83" s="4" t="inlineStr">
        <is>
          <t>frcs</t>
        </is>
      </c>
      <c r="D83" s="4" t="inlineStr">
        <is>
          <t>State that the link from adaptation to degeneration is plausible and not prospectively demonstrated.</t>
        </is>
      </c>
      <c r="E83" s="4" t="inlineStr"/>
      <c r="F83" s="4" t="inlineStr"/>
      <c r="G83" s="4" t="inlineStr"/>
    </row>
    <row r="84">
      <c r="A84" s="4" t="inlineStr">
        <is>
          <t>3.14.10-P10</t>
        </is>
      </c>
      <c r="B84" s="4" t="inlineStr">
        <is>
          <t>3.14.10</t>
        </is>
      </c>
      <c r="C84" s="4" t="inlineStr">
        <is>
          <t>frcs</t>
        </is>
      </c>
      <c r="D84" s="4" t="inlineStr">
        <is>
          <t>Weigh the patient's age, physiology, comorbidities, knee demand, psychological state and their own ideas, concerns and expectations, since the choice here is between a known operation and an accepted long term cost.</t>
        </is>
      </c>
      <c r="E84" s="4" t="inlineStr"/>
      <c r="F84" s="4" t="inlineStr"/>
      <c r="G84" s="4" t="inlineStr"/>
    </row>
    <row r="85">
      <c r="A85" s="4" t="inlineStr">
        <is>
          <t>3.14.11-P1</t>
        </is>
      </c>
      <c r="B85" s="4" t="inlineStr">
        <is>
          <t>3.14.11</t>
        </is>
      </c>
      <c r="C85" s="4" t="inlineStr">
        <is>
          <t>mrcs</t>
        </is>
      </c>
      <c r="D85" s="4" t="inlineStr">
        <is>
          <t>Measure walking speed, which tracks the condition and costs nothing.</t>
        </is>
      </c>
      <c r="E85" s="4" t="inlineStr"/>
      <c r="F85" s="4" t="inlineStr"/>
      <c r="G85" s="4" t="inlineStr"/>
    </row>
    <row r="86">
      <c r="A86" s="4" t="inlineStr">
        <is>
          <t>3.14.11-P2</t>
        </is>
      </c>
      <c r="B86" s="4" t="inlineStr">
        <is>
          <t>3.14.11</t>
        </is>
      </c>
      <c r="C86" s="4" t="inlineStr">
        <is>
          <t>mrcs</t>
        </is>
      </c>
      <c r="D86" s="4" t="inlineStr">
        <is>
          <t>Expect pain to change the gait more than the radiographic grade does.</t>
        </is>
      </c>
      <c r="E86" s="4" t="inlineStr"/>
      <c r="F86" s="4" t="inlineStr"/>
      <c r="G86" s="4" t="inlineStr"/>
    </row>
    <row r="87">
      <c r="A87" s="4" t="inlineStr">
        <is>
          <t>3.14.11-P3</t>
        </is>
      </c>
      <c r="B87" s="4" t="inlineStr">
        <is>
          <t>3.14.11</t>
        </is>
      </c>
      <c r="C87" s="4" t="inlineStr">
        <is>
          <t>mrcs</t>
        </is>
      </c>
      <c r="D87" s="4" t="inlineStr">
        <is>
          <t>Offer trunk lean retraining and weight reduction as mechanical interventions that lower the moment.</t>
        </is>
      </c>
      <c r="E87" s="4" t="inlineStr"/>
      <c r="F87" s="4" t="inlineStr"/>
      <c r="G87" s="4" t="inlineStr"/>
    </row>
    <row r="88">
      <c r="A88" s="4" t="inlineStr">
        <is>
          <t>3.14.11-P4</t>
        </is>
      </c>
      <c r="B88" s="4" t="inlineStr">
        <is>
          <t>3.14.11</t>
        </is>
      </c>
      <c r="C88" s="4" t="inlineStr">
        <is>
          <t>frcs</t>
        </is>
      </c>
      <c r="D88" s="4" t="inlineStr">
        <is>
          <t>Use walking speed and thrust observation as the clinically available signals, and say what they are proxies for.</t>
        </is>
      </c>
      <c r="E88" s="4" t="inlineStr"/>
      <c r="F88" s="4" t="inlineStr"/>
      <c r="G88" s="4" t="inlineStr"/>
    </row>
    <row r="89">
      <c r="A89" s="4" t="inlineStr">
        <is>
          <t>3.14.11-P5</t>
        </is>
      </c>
      <c r="B89" s="4" t="inlineStr">
        <is>
          <t>3.14.11</t>
        </is>
      </c>
      <c r="C89" s="4" t="inlineStr">
        <is>
          <t>frcs</t>
        </is>
      </c>
      <c r="D89" s="4" t="inlineStr">
        <is>
          <t>Offer weight reduction and gait modification as mechanical treatments rather than as lifestyle advice.</t>
        </is>
      </c>
      <c r="E89" s="4" t="inlineStr"/>
      <c r="F89" s="4" t="inlineStr"/>
      <c r="G89" s="4" t="inlineStr"/>
    </row>
    <row r="90">
      <c r="A90" s="4" t="inlineStr">
        <is>
          <t>3.14.11-P6</t>
        </is>
      </c>
      <c r="B90" s="4" t="inlineStr">
        <is>
          <t>3.14.11</t>
        </is>
      </c>
      <c r="C90" s="4" t="inlineStr">
        <is>
          <t>frcs</t>
        </is>
      </c>
      <c r="D90" s="4" t="inlineStr">
        <is>
          <t>State that the predictive variable is not the one being measured when explaining a correction.</t>
        </is>
      </c>
      <c r="E90" s="4" t="inlineStr"/>
      <c r="F90" s="4" t="inlineStr"/>
      <c r="G90" s="4" t="inlineStr"/>
    </row>
    <row r="91">
      <c r="A91" s="4" t="inlineStr">
        <is>
          <t>3.14.11-P7</t>
        </is>
      </c>
      <c r="B91" s="4" t="inlineStr">
        <is>
          <t>3.14.11</t>
        </is>
      </c>
      <c r="C91" s="4" t="inlineStr">
        <is>
          <t>frcs</t>
        </is>
      </c>
      <c r="D91" s="4" t="inlineStr">
        <is>
          <t>Expect a walking aid in the opposite hand to lower the moment immediately, which is unusual among interventions here.</t>
        </is>
      </c>
      <c r="E91" s="4" t="inlineStr"/>
      <c r="F91" s="4" t="inlineStr"/>
      <c r="G91" s="4" t="inlineStr"/>
    </row>
    <row r="92">
      <c r="A92" s="4" t="inlineStr">
        <is>
          <t>3.14.11-P8</t>
        </is>
      </c>
      <c r="B92" s="4" t="inlineStr">
        <is>
          <t>3.14.11</t>
        </is>
      </c>
      <c r="C92" s="4" t="inlineStr">
        <is>
          <t>frcs</t>
        </is>
      </c>
      <c r="D92" s="4" t="inlineStr">
        <is>
          <t>Take the patient's age, physiology, comorbidities, knee demand, psychological state and their own ideas, concerns and expectations into the decision, since the whole non operative side of this depends on what the patient will actually do.</t>
        </is>
      </c>
      <c r="E92" s="4" t="inlineStr"/>
      <c r="F92" s="4" t="inlineStr"/>
      <c r="G92" s="4" t="inlineStr"/>
    </row>
    <row r="93">
      <c r="A93" s="4" t="inlineStr">
        <is>
          <t>3.14.12-P1</t>
        </is>
      </c>
      <c r="B93" s="4" t="inlineStr">
        <is>
          <t>3.14.12</t>
        </is>
      </c>
      <c r="C93" s="4" t="inlineStr">
        <is>
          <t>mrcs</t>
        </is>
      </c>
      <c r="D93" s="4" t="inlineStr">
        <is>
          <t>Set expectations on function and pain rather than on normal movement, because the first recovers and the second often does not.</t>
        </is>
      </c>
      <c r="E93" s="4" t="inlineStr"/>
      <c r="F93" s="4" t="inlineStr"/>
      <c r="G93" s="4" t="inlineStr"/>
    </row>
    <row r="94">
      <c r="A94" s="4" t="inlineStr">
        <is>
          <t>3.14.12-P2</t>
        </is>
      </c>
      <c r="B94" s="4" t="inlineStr">
        <is>
          <t>3.14.12</t>
        </is>
      </c>
      <c r="C94" s="4" t="inlineStr">
        <is>
          <t>mrcs</t>
        </is>
      </c>
      <c r="D94" s="4" t="inlineStr">
        <is>
          <t>Ask about stairs rather than level walking when assessing recovery.</t>
        </is>
      </c>
      <c r="E94" s="4" t="inlineStr"/>
      <c r="F94" s="4" t="inlineStr"/>
      <c r="G94" s="4" t="inlineStr"/>
    </row>
    <row r="95">
      <c r="A95" s="4" t="inlineStr">
        <is>
          <t>3.14.12-P3</t>
        </is>
      </c>
      <c r="B95" s="4" t="inlineStr">
        <is>
          <t>3.14.12</t>
        </is>
      </c>
      <c r="C95" s="4" t="inlineStr">
        <is>
          <t>mrcs</t>
        </is>
      </c>
      <c r="D95" s="4" t="inlineStr">
        <is>
          <t>State which outcome a quoted result refers to, since gait and function diverge here.</t>
        </is>
      </c>
      <c r="E95" s="4" t="inlineStr"/>
      <c r="F95" s="4" t="inlineStr"/>
      <c r="G95" s="4" t="inlineStr"/>
    </row>
    <row r="96">
      <c r="A96" s="4" t="inlineStr">
        <is>
          <t>3.14.12-P4</t>
        </is>
      </c>
      <c r="B96" s="4" t="inlineStr">
        <is>
          <t>3.14.12</t>
        </is>
      </c>
      <c r="C96" s="4" t="inlineStr">
        <is>
          <t>frcs</t>
        </is>
      </c>
      <c r="D96" s="4" t="inlineStr">
        <is>
          <t>Counsel that the operation reliably relieves pain and does not restore normal mechanics, which is both honest and usually welcome.</t>
        </is>
      </c>
      <c r="E96" s="4" t="inlineStr"/>
      <c r="F96" s="4" t="inlineStr"/>
      <c r="G96" s="4" t="inlineStr"/>
    </row>
    <row r="97">
      <c r="A97" s="4" t="inlineStr">
        <is>
          <t>3.14.12-P5</t>
        </is>
      </c>
      <c r="B97" s="4" t="inlineStr">
        <is>
          <t>3.14.12</t>
        </is>
      </c>
      <c r="C97" s="4" t="inlineStr">
        <is>
          <t>frcs</t>
        </is>
      </c>
      <c r="D97" s="4" t="inlineStr">
        <is>
          <t>Measure and treat quadriceps strength before surgery, since the preoperative pattern predicts the postoperative one.</t>
        </is>
      </c>
      <c r="E97" s="4" t="inlineStr"/>
      <c r="F97" s="4" t="inlineStr"/>
      <c r="G97" s="4" t="inlineStr"/>
    </row>
    <row r="98">
      <c r="A98" s="4" t="inlineStr">
        <is>
          <t>3.14.12-P6</t>
        </is>
      </c>
      <c r="B98" s="4" t="inlineStr">
        <is>
          <t>3.14.12</t>
        </is>
      </c>
      <c r="C98" s="4" t="inlineStr">
        <is>
          <t>frcs</t>
        </is>
      </c>
      <c r="D98" s="4" t="inlineStr">
        <is>
          <t>Expect patient reported scores to have a ceiling that conceals residual abnormality.</t>
        </is>
      </c>
      <c r="E98" s="4" t="inlineStr"/>
      <c r="F98" s="4" t="inlineStr"/>
      <c r="G98" s="4" t="inlineStr"/>
    </row>
    <row r="99">
      <c r="A99" s="4" t="inlineStr">
        <is>
          <t>3.14.12-P7</t>
        </is>
      </c>
      <c r="B99" s="4" t="inlineStr">
        <is>
          <t>3.14.12</t>
        </is>
      </c>
      <c r="C99" s="4" t="inlineStr">
        <is>
          <t>frcs</t>
        </is>
      </c>
      <c r="D99" s="4" t="inlineStr">
        <is>
          <t>Treat kinematic arguments between alignment philosophies as real and smaller than between patient variation.</t>
        </is>
      </c>
      <c r="E99" s="4" t="inlineStr"/>
      <c r="F99" s="4" t="inlineStr"/>
      <c r="G99" s="4" t="inlineStr"/>
    </row>
    <row r="100">
      <c r="A100" s="4" t="inlineStr">
        <is>
          <t>3.14.12-P8</t>
        </is>
      </c>
      <c r="B100" s="4" t="inlineStr">
        <is>
          <t>3.14.12</t>
        </is>
      </c>
      <c r="C100" s="4" t="inlineStr">
        <is>
          <t>frcs</t>
        </is>
      </c>
      <c r="D100" s="4" t="inlineStr">
        <is>
          <t>Weigh the patient's age, physiology, comorbidities, knee demand, psychological state and their own ideas, concerns and expectations, because what counts as a good result here is defined by the patient rather than by the gait laboratory.</t>
        </is>
      </c>
      <c r="E100" s="4" t="inlineStr"/>
      <c r="F100" s="4" t="inlineStr"/>
      <c r="G100" s="4" t="inlineStr"/>
    </row>
  </sheetData>
  <dataValidations count="1">
    <dataValidation sqref="E3:E100"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3.14.1-F1</t>
        </is>
      </c>
      <c r="B3" s="4" t="inlineStr">
        <is>
          <t>3.14.1</t>
        </is>
      </c>
      <c r="C3" s="4" t="inlineStr">
        <is>
          <t>medical_student</t>
        </is>
      </c>
      <c r="D3" s="4" t="inlineStr">
        <is>
          <t>60 per cent</t>
        </is>
      </c>
      <c r="E3" s="4" t="inlineStr">
        <is>
          <t>Stance occupies roughly 60 per cent of it and swing roughly 40.</t>
        </is>
      </c>
      <c r="F3" s="4" t="inlineStr"/>
      <c r="G3" s="4" t="inlineStr"/>
      <c r="H3" s="4" t="inlineStr"/>
    </row>
    <row r="4">
      <c r="A4" s="4" t="inlineStr">
        <is>
          <t>3.14.1-F2</t>
        </is>
      </c>
      <c r="B4" s="4" t="inlineStr">
        <is>
          <t>3.14.1</t>
        </is>
      </c>
      <c r="C4" s="4" t="inlineStr">
        <is>
          <t>medical_student</t>
        </is>
      </c>
      <c r="D4" s="4" t="inlineStr">
        <is>
          <t>40</t>
        </is>
      </c>
      <c r="E4" s="4" t="inlineStr">
        <is>
          <t>Stance occupies roughly 60 per cent of it and swing roughly 40.</t>
        </is>
      </c>
      <c r="F4" s="4" t="inlineStr"/>
      <c r="G4" s="4" t="inlineStr"/>
      <c r="H4" s="4" t="inlineStr"/>
    </row>
    <row r="5">
      <c r="A5" s="4" t="inlineStr">
        <is>
          <t>3.14.1-F3</t>
        </is>
      </c>
      <c r="B5" s="4" t="inlineStr">
        <is>
          <t>3.14.1</t>
        </is>
      </c>
      <c r="C5" s="4" t="inlineStr">
        <is>
          <t>medical_student</t>
        </is>
      </c>
      <c r="D5" s="4" t="inlineStr">
        <is>
          <t>15 to 20 degrees</t>
        </is>
      </c>
      <c r="E5" s="4" t="inlineStr">
        <is>
          <t>The knee flexes to around 15 to 20 degrees in early stance, extends through midstance, then flexes to around 60 degrees in swing.</t>
        </is>
      </c>
      <c r="F5" s="4" t="inlineStr"/>
      <c r="G5" s="4" t="inlineStr"/>
      <c r="H5" s="4" t="inlineStr"/>
    </row>
    <row r="6">
      <c r="A6" s="4" t="inlineStr">
        <is>
          <t>3.14.1-F4</t>
        </is>
      </c>
      <c r="B6" s="4" t="inlineStr">
        <is>
          <t>3.14.1</t>
        </is>
      </c>
      <c r="C6" s="4" t="inlineStr">
        <is>
          <t>medical_student</t>
        </is>
      </c>
      <c r="D6" s="4" t="inlineStr">
        <is>
          <t>60 degrees</t>
        </is>
      </c>
      <c r="E6" s="4" t="inlineStr">
        <is>
          <t>The knee flexes to around 15 to 20 degrees in early stance, extends through midstance, then flexes to around 60 degrees in swing.</t>
        </is>
      </c>
      <c r="F6" s="4" t="inlineStr"/>
      <c r="G6" s="4" t="inlineStr"/>
      <c r="H6" s="4" t="inlineStr"/>
    </row>
    <row r="7">
      <c r="A7" s="4" t="inlineStr">
        <is>
          <t>3.14.1-F5</t>
        </is>
      </c>
      <c r="B7" s="4" t="inlineStr">
        <is>
          <t>3.14.1</t>
        </is>
      </c>
      <c r="C7" s="4" t="inlineStr">
        <is>
          <t>medical_student</t>
        </is>
      </c>
      <c r="D7" s="4" t="inlineStr">
        <is>
          <t>10 per cent</t>
        </is>
      </c>
      <c r="E7" s="4" t="inlineStr">
        <is>
          <t>Both feet are on the ground together for about 10 per cent of the cycle at each changeover, which is what distinguishes walking from running.</t>
        </is>
      </c>
      <c r="F7" s="4" t="inlineStr"/>
      <c r="G7" s="4" t="inlineStr"/>
      <c r="H7" s="4" t="inlineStr"/>
    </row>
    <row r="8">
      <c r="A8" s="4" t="inlineStr">
        <is>
          <t>3.14.1-F6</t>
        </is>
      </c>
      <c r="B8" s="4" t="inlineStr">
        <is>
          <t>3.14.1</t>
        </is>
      </c>
      <c r="C8" s="4" t="inlineStr">
        <is>
          <t>medical_student</t>
        </is>
      </c>
      <c r="D8" s="4" t="inlineStr">
        <is>
          <t>60</t>
        </is>
      </c>
      <c r="E8" s="4" t="inlineStr">
        <is>
          <t>- The knee flexes twice: around 15 to 20 degrees in stance and around 60 in swing.</t>
        </is>
      </c>
      <c r="F8" s="4" t="inlineStr"/>
      <c r="G8" s="4" t="inlineStr"/>
      <c r="H8" s="4" t="inlineStr"/>
    </row>
    <row r="9">
      <c r="A9" s="4" t="inlineStr">
        <is>
          <t>3.14.2-F1</t>
        </is>
      </c>
      <c r="B9" s="4" t="inlineStr">
        <is>
          <t>3.14.2</t>
        </is>
      </c>
      <c r="C9" s="4" t="inlineStr">
        <is>
          <t>medical_student</t>
        </is>
      </c>
      <c r="D9" s="4" t="inlineStr">
        <is>
          <t>60 per
cent</t>
        </is>
      </c>
      <c r="E9" s="4" t="inlineStr">
        <is>
          <t>Stance begins at heel strike and ends at toe off, and it occupies about 60 per cent of the cycle.</t>
        </is>
      </c>
      <c r="F9" s="4" t="inlineStr"/>
      <c r="G9" s="4" t="inlineStr"/>
      <c r="H9" s="4" t="inlineStr"/>
    </row>
    <row r="10">
      <c r="A10" s="4" t="inlineStr">
        <is>
          <t>3.14.2-F2</t>
        </is>
      </c>
      <c r="B10" s="4" t="inlineStr">
        <is>
          <t>3.14.2</t>
        </is>
      </c>
      <c r="C10" s="4" t="inlineStr">
        <is>
          <t>medical_student</t>
        </is>
      </c>
      <c r="D10" s="4" t="inlineStr">
        <is>
          <t>15 to 20 degrees</t>
        </is>
      </c>
      <c r="E10" s="4" t="inlineStr">
        <is>
          <t>In loading response the knee flexes to around 15 to 20 degrees while the quadriceps lengthen under tension, braking the collapse.</t>
        </is>
      </c>
      <c r="F10" s="4" t="inlineStr"/>
      <c r="G10" s="4" t="inlineStr"/>
      <c r="H10" s="4" t="inlineStr"/>
    </row>
    <row r="11">
      <c r="A11" s="4" t="inlineStr">
        <is>
          <t>3.14.3-F1</t>
        </is>
      </c>
      <c r="B11" s="4" t="inlineStr">
        <is>
          <t>3.14.3</t>
        </is>
      </c>
      <c r="C11" s="4" t="inlineStr">
        <is>
          <t>medical_student</t>
        </is>
      </c>
      <c r="D11" s="4" t="inlineStr">
        <is>
          <t>40 per cent</t>
        </is>
      </c>
      <c r="E11" s="4" t="inlineStr">
        <is>
          <t>Swing runs from toe off to the next heel strike and occupies about 40 per cent of the cycle.</t>
        </is>
      </c>
      <c r="F11" s="4" t="inlineStr"/>
      <c r="G11" s="4" t="inlineStr"/>
      <c r="H11" s="4" t="inlineStr"/>
    </row>
    <row r="12">
      <c r="A12" s="4" t="inlineStr">
        <is>
          <t>3.14.3-F2</t>
        </is>
      </c>
      <c r="B12" s="4" t="inlineStr">
        <is>
          <t>3.14.3</t>
        </is>
      </c>
      <c r="C12" s="4" t="inlineStr">
        <is>
          <t>medical_student</t>
        </is>
      </c>
      <c r="D12" s="4" t="inlineStr">
        <is>
          <t>60 degrees</t>
        </is>
      </c>
      <c r="E12" s="4" t="inlineStr">
        <is>
          <t>The knee flexes rapidly to around 60 degrees in early swing, which is the largest excursion the cycle requires.</t>
        </is>
      </c>
      <c r="F12" s="4" t="inlineStr"/>
      <c r="G12" s="4" t="inlineStr"/>
      <c r="H12" s="4" t="inlineStr"/>
    </row>
    <row r="13">
      <c r="A13" s="4" t="inlineStr">
        <is>
          <t>3.14.4-F1</t>
        </is>
      </c>
      <c r="B13" s="4" t="inlineStr">
        <is>
          <t>3.14.4</t>
        </is>
      </c>
      <c r="C13" s="4" t="inlineStr">
        <is>
          <t>medical_student</t>
        </is>
      </c>
      <c r="D13" s="4" t="inlineStr">
        <is>
          <t>40
degrees</t>
        </is>
      </c>
      <c r="E13" s="4" t="inlineStr">
        <is>
          <t>The knee flexes more during stance than in walking, often to around 40 degrees, because there is more to absorb.</t>
        </is>
      </c>
      <c r="F13" s="4" t="inlineStr"/>
      <c r="G13" s="4" t="inlineStr"/>
      <c r="H13" s="4" t="inlineStr"/>
    </row>
    <row r="14">
      <c r="A14" s="4" t="inlineStr">
        <is>
          <t>3.14.4-F2</t>
        </is>
      </c>
      <c r="B14" s="4" t="inlineStr">
        <is>
          <t>3.14.4</t>
        </is>
      </c>
      <c r="C14" s="4" t="inlineStr">
        <is>
          <t>medical_student</t>
        </is>
      </c>
      <c r="D14" s="4" t="inlineStr">
        <is>
          <t>100 degrees</t>
        </is>
      </c>
      <c r="E14" s="4" t="inlineStr">
        <is>
          <t>Swing flexion is also much greater, often beyond 100 degrees, to bring the heel through quickly.</t>
        </is>
      </c>
      <c r="F14" s="4" t="inlineStr"/>
      <c r="G14" s="4" t="inlineStr"/>
      <c r="H14" s="4" t="inlineStr"/>
    </row>
    <row r="15">
      <c r="A15" s="4" t="inlineStr">
        <is>
          <t>3.14.4-F3</t>
        </is>
      </c>
      <c r="B15" s="4" t="inlineStr">
        <is>
          <t>3.14.4</t>
        </is>
      </c>
      <c r="C15" s="4" t="inlineStr">
        <is>
          <t>mrcs</t>
        </is>
      </c>
      <c r="D15" s="4" t="inlineStr">
        <is>
          <t>60 per cent</t>
        </is>
      </c>
      <c r="E15" s="4" t="inlineStr">
        <is>
          <t>Stance falls from about 60 per cent of the cycle to nearer 30.</t>
        </is>
      </c>
      <c r="F15" s="4" t="inlineStr"/>
      <c r="G15" s="4" t="inlineStr"/>
      <c r="H15" s="4" t="inlineStr"/>
    </row>
    <row r="16">
      <c r="A16" s="4" t="inlineStr">
        <is>
          <t>3.14.4-F4</t>
        </is>
      </c>
      <c r="B16" s="4" t="inlineStr">
        <is>
          <t>3.14.4</t>
        </is>
      </c>
      <c r="C16" s="4" t="inlineStr">
        <is>
          <t>mrcs</t>
        </is>
      </c>
      <c r="D16" s="4" t="inlineStr">
        <is>
          <t>30</t>
        </is>
      </c>
      <c r="E16" s="4" t="inlineStr">
        <is>
          <t>Stance falls from about 60 per cent of the cycle to nearer 30.</t>
        </is>
      </c>
      <c r="F16" s="4" t="inlineStr"/>
      <c r="G16" s="4" t="inlineStr"/>
      <c r="H16" s="4" t="inlineStr"/>
    </row>
    <row r="17">
      <c r="A17" s="4" t="inlineStr">
        <is>
          <t>3.14.5-F1</t>
        </is>
      </c>
      <c r="B17" s="4" t="inlineStr">
        <is>
          <t>3.14.5</t>
        </is>
      </c>
      <c r="C17" s="4" t="inlineStr">
        <is>
          <t>mrcs</t>
        </is>
      </c>
      <c r="D17" s="4" t="inlineStr">
        <is>
          <t>120 degrees</t>
        </is>
      </c>
      <c r="E17" s="4" t="inlineStr">
        <is>
          <t>Swing flexion is at its maximum for the gait family, often beyond 120 degrees.</t>
        </is>
      </c>
      <c r="F17" s="4" t="inlineStr"/>
      <c r="G17" s="4" t="inlineStr"/>
      <c r="H17" s="4" t="inlineStr"/>
    </row>
    <row r="18">
      <c r="A18" s="4" t="inlineStr">
        <is>
          <t>3.14.6-F1</t>
        </is>
      </c>
      <c r="B18" s="4" t="inlineStr">
        <is>
          <t>3.14.6</t>
        </is>
      </c>
      <c r="C18" s="4" t="inlineStr">
        <is>
          <t>mrcs</t>
        </is>
      </c>
      <c r="D18" s="4" t="inlineStr">
        <is>
          <t>50</t>
        </is>
      </c>
      <c r="E18" s="4" t="inlineStr">
        <is>
          <t>Peak loading occurs within the first 50 milliseconds or so after foot contact, before voluntary muscle response can contribute.</t>
        </is>
      </c>
      <c r="F18" s="4" t="inlineStr"/>
      <c r="G18" s="4" t="inlineStr"/>
      <c r="H18" s="4" t="inlineStr"/>
    </row>
    <row r="19">
      <c r="A19" s="4" t="inlineStr">
        <is>
          <t>3.14.6-F2</t>
        </is>
      </c>
      <c r="B19" s="4" t="inlineStr">
        <is>
          <t>3.14.6</t>
        </is>
      </c>
      <c r="C19" s="4" t="inlineStr">
        <is>
          <t>mrcs</t>
        </is>
      </c>
      <c r="D19" s="4" t="inlineStr">
        <is>
          <t>30 degrees</t>
        </is>
      </c>
      <c r="E19" s="4" t="inlineStr">
        <is>
          <t>Knee flexion at contact is typically low, often under 30 degrees, and cruciate strain rises as flexion falls.</t>
        </is>
      </c>
      <c r="F19" s="4" t="inlineStr"/>
      <c r="G19" s="4" t="inlineStr"/>
      <c r="H19" s="4" t="inlineStr"/>
    </row>
    <row r="20">
      <c r="A20" s="4" t="inlineStr">
        <is>
          <t>3.14.7-F1</t>
        </is>
      </c>
      <c r="B20" s="4" t="inlineStr">
        <is>
          <t>3.14.7</t>
        </is>
      </c>
      <c r="C20" s="4" t="inlineStr">
        <is>
          <t>frcs</t>
        </is>
      </c>
      <c r="D20" s="4" t="inlineStr">
        <is>
          <t>90 per cent</t>
        </is>
      </c>
      <c r="E20" s="4" t="inlineStr">
        <is>
          <t>Limb symmetry index above 90 per cent is the conventional return to sport threshold, and it is a convention rather than a validated cutoff.</t>
        </is>
      </c>
      <c r="F20" s="4" t="inlineStr"/>
      <c r="G20" s="4" t="inlineStr"/>
      <c r="H20" s="4" t="inlineStr"/>
    </row>
    <row r="21">
      <c r="A21" s="4" t="inlineStr">
        <is>
          <t>3.14.8-F1</t>
        </is>
      </c>
      <c r="B21" s="4" t="inlineStr">
        <is>
          <t>3.14.8</t>
        </is>
      </c>
      <c r="C21" s="4" t="inlineStr">
        <is>
          <t>mrcs</t>
        </is>
      </c>
      <c r="D21" s="4" t="inlineStr">
        <is>
          <t>50</t>
        </is>
      </c>
      <c r="E21" s="4" t="inlineStr">
        <is>
          <t>The first 50 milliseconds after contact carry the ligament risk, the same window as in cutting.</t>
        </is>
      </c>
      <c r="F21" s="4" t="inlineStr"/>
      <c r="G21" s="4" t="inlineStr"/>
      <c r="H21" s="4" t="inlineStr"/>
    </row>
  </sheetData>
  <dataValidations count="1">
    <dataValidation sqref="F3:F21"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98</f>
        <v/>
      </c>
      <c r="C2" s="3">
        <f>19</f>
        <v/>
      </c>
    </row>
    <row r="3">
      <c r="A3" s="2" t="inlineStr">
        <is>
          <t>Decided</t>
        </is>
      </c>
      <c r="B3" s="3">
        <f>COUNTIF(Recommendations!E3:E100,"&lt;&gt;")</f>
        <v/>
      </c>
      <c r="C3" s="3">
        <f>COUNTIF(Measurements!F3:F21,"&lt;&gt;")</f>
        <v/>
      </c>
    </row>
    <row r="4">
      <c r="A4" s="2" t="inlineStr">
        <is>
          <t>Still blank</t>
        </is>
      </c>
      <c r="B4" s="3">
        <f>B2-B3</f>
        <v/>
      </c>
      <c r="C4" s="3">
        <f>C2-C3</f>
        <v/>
      </c>
    </row>
    <row r="5">
      <c r="A5" s="2" t="inlineStr">
        <is>
          <t>CONFIRMED</t>
        </is>
      </c>
      <c r="B5" s="3">
        <f>COUNTIF(Recommendations!E3:E100,"CONFIRMED")</f>
        <v/>
      </c>
      <c r="C5" s="3" t="inlineStr"/>
    </row>
    <row r="6">
      <c r="A6" s="2" t="inlineStr">
        <is>
          <t>AMENDED</t>
        </is>
      </c>
      <c r="B6" s="3">
        <f>COUNTIF(Recommendations!E3:E100,"AMENDED")</f>
        <v/>
      </c>
      <c r="C6" s="3" t="inlineStr"/>
    </row>
    <row r="7">
      <c r="A7" s="2" t="inlineStr">
        <is>
          <t>WITHDRAWN</t>
        </is>
      </c>
      <c r="B7" s="3">
        <f>COUNTIF(Recommendations!E3:E100,"WITHDRAWN")</f>
        <v/>
      </c>
      <c r="C7" s="3" t="inlineStr"/>
    </row>
    <row r="8">
      <c r="A8" s="2" t="inlineStr">
        <is>
          <t>NOT_CLINICAL</t>
        </is>
      </c>
      <c r="B8" s="3">
        <f>COUNTIF(Recommendations!E3:E100,"NOT_CLINICAL")</f>
        <v/>
      </c>
      <c r="C8" s="3" t="inlineStr"/>
    </row>
    <row r="9">
      <c r="A9" s="2" t="inlineStr">
        <is>
          <t>VERIFIED</t>
        </is>
      </c>
      <c r="B9" s="3" t="inlineStr"/>
      <c r="C9" s="3">
        <f>COUNTIF(Measurements!F3:F21,"VERIFIED")</f>
        <v/>
      </c>
    </row>
    <row r="10">
      <c r="A10" s="2" t="inlineStr">
        <is>
          <t>CORRECTED</t>
        </is>
      </c>
      <c r="B10" s="3" t="inlineStr"/>
      <c r="C10" s="3">
        <f>COUNTIF(Measurements!F3:F21,"CORRECTED")</f>
        <v/>
      </c>
    </row>
    <row r="11">
      <c r="A11" s="2" t="inlineStr">
        <is>
          <t>REMOVED</t>
        </is>
      </c>
      <c r="B11" s="3" t="inlineStr"/>
      <c r="C11" s="3">
        <f>COUNTIF(Measurements!F3:F21,"REMOVED")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2026-10-10T21:34:33Z</dcterms:created>
  <dcterms:modified xmlns:dcterms="http://purl.org/dc/terms/" xmlns:xsi="http://www.w3.org/2001/XMLSchema-instance" xsi:type="dcterms:W3CDTF">2026-10-10T21:34:33Z</dcterms:modified>
</cp:coreProperties>
</file>