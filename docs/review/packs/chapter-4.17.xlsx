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4.17 Cartilage Examination</t>
        </is>
      </c>
    </row>
    <row r="3">
      <c r="A3" s="2" t="inlineStr">
        <is>
          <t>Section</t>
        </is>
      </c>
      <c r="B3" s="3" t="inlineStr">
        <is>
          <t>4</t>
        </is>
      </c>
    </row>
    <row r="4">
      <c r="A4" s="2" t="inlineStr">
        <is>
          <t>Chapter</t>
        </is>
      </c>
      <c r="B4" s="3" t="inlineStr">
        <is>
          <t>4.17 Cartilage Examination</t>
        </is>
      </c>
    </row>
    <row r="5">
      <c r="A5" s="2" t="inlineStr">
        <is>
          <t>Pages</t>
        </is>
      </c>
      <c r="B5" s="3" t="n">
        <v>6</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8,887</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24</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4.17.1</t>
        </is>
      </c>
      <c r="B2" s="6" t="inlineStr">
        <is>
          <t>Clinical Presentation</t>
        </is>
      </c>
      <c r="C2" s="6" t="n">
        <v>4</v>
      </c>
      <c r="D2" s="6" t="n">
        <v>1514</v>
      </c>
      <c r="E2" s="6" t="inlineStr">
        <is>
          <t>examination/cartilage-clinical-presentation.html</t>
        </is>
      </c>
    </row>
    <row r="3">
      <c r="A3" s="6" t="inlineStr">
        <is>
          <t>4.17.2</t>
        </is>
      </c>
      <c r="B3" s="6" t="inlineStr">
        <is>
          <t>Mechanical Symptoms</t>
        </is>
      </c>
      <c r="C3" s="6" t="n">
        <v>4</v>
      </c>
      <c r="D3" s="6" t="n">
        <v>1498</v>
      </c>
      <c r="E3" s="6" t="inlineStr">
        <is>
          <t>examination/cartilage-mechanical-symptoms.html</t>
        </is>
      </c>
    </row>
    <row r="4">
      <c r="A4" s="6" t="inlineStr">
        <is>
          <t>4.17.3</t>
        </is>
      </c>
      <c r="B4" s="6" t="inlineStr">
        <is>
          <t>Osteochondral Lesions</t>
        </is>
      </c>
      <c r="C4" s="6" t="n">
        <v>4</v>
      </c>
      <c r="D4" s="6" t="n">
        <v>1490</v>
      </c>
      <c r="E4" s="6" t="inlineStr">
        <is>
          <t>examination/osteochondral-lesions.html</t>
        </is>
      </c>
    </row>
    <row r="5">
      <c r="A5" s="6" t="inlineStr">
        <is>
          <t>4.17.4</t>
        </is>
      </c>
      <c r="B5" s="6" t="inlineStr">
        <is>
          <t>Osteochondritis Dissecans</t>
        </is>
      </c>
      <c r="C5" s="6" t="n">
        <v>4</v>
      </c>
      <c r="D5" s="6" t="n">
        <v>1443</v>
      </c>
      <c r="E5" s="6" t="inlineStr">
        <is>
          <t>examination/osteochondritis-dissecans.html</t>
        </is>
      </c>
    </row>
    <row r="6">
      <c r="A6" s="6" t="inlineStr">
        <is>
          <t>4.17.5</t>
        </is>
      </c>
      <c r="B6" s="6" t="inlineStr">
        <is>
          <t>Articular Cartilage Defects</t>
        </is>
      </c>
      <c r="C6" s="6" t="n">
        <v>4</v>
      </c>
      <c r="D6" s="6" t="n">
        <v>1483</v>
      </c>
      <c r="E6" s="6" t="inlineStr">
        <is>
          <t>examination/articular-cartilage-defects.html</t>
        </is>
      </c>
    </row>
    <row r="7">
      <c r="A7" s="6" t="inlineStr">
        <is>
          <t>4.17.6</t>
        </is>
      </c>
      <c r="B7" s="6" t="inlineStr">
        <is>
          <t>Functional Assessment</t>
        </is>
      </c>
      <c r="C7" s="6" t="n">
        <v>4</v>
      </c>
      <c r="D7" s="6" t="n">
        <v>1459</v>
      </c>
      <c r="E7" s="6" t="inlineStr">
        <is>
          <t>examination/cartilage-functional-assessment.html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4.17.1</t>
        </is>
      </c>
      <c r="B2" s="4" t="inlineStr">
        <is>
          <t>Clinical Presentation</t>
        </is>
      </c>
      <c r="C2" s="4" t="inlineStr">
        <is>
          <t>The commonest problem is a lesion on imaging that does not fit the symptoms.</t>
        </is>
      </c>
    </row>
    <row r="3">
      <c r="A3" s="4" t="inlineStr">
        <is>
          <t>4.17.1</t>
        </is>
      </c>
      <c r="B3" s="4" t="inlineStr">
        <is>
          <t>Clinical Presentation</t>
        </is>
      </c>
      <c r="C3" s="4" t="inlineStr">
        <is>
          <t>An incidental lesion with diffuse pain means a finding and a separate problem.</t>
        </is>
      </c>
    </row>
    <row r="4">
      <c r="A4" s="4" t="inlineStr">
        <is>
          <t>4.17.1</t>
        </is>
      </c>
      <c r="B4" s="4" t="inlineStr">
        <is>
          <t>Clinical Presentation</t>
        </is>
      </c>
      <c r="C4" s="4" t="inlineStr">
        <is>
          <t>A matching arc with a malaligned limb means the lesion is being loaded, and the correction is treatment.</t>
        </is>
      </c>
    </row>
    <row r="5">
      <c r="A5" s="4" t="inlineStr">
        <is>
          <t>4.17.1</t>
        </is>
      </c>
      <c r="B5" s="4" t="inlineStr">
        <is>
          <t>Clinical Presentation</t>
        </is>
      </c>
      <c r="C5" s="4" t="inlineStr">
        <is>
          <t>After a cartilage procedure, the alignment and the meniscal status determine survival.</t>
        </is>
      </c>
    </row>
    <row r="6">
      <c r="A6" s="4" t="inlineStr">
        <is>
          <t>4.17.1</t>
        </is>
      </c>
      <c r="B6" s="4" t="inlineStr">
        <is>
          <t>Clinical Presentation</t>
        </is>
      </c>
      <c r="C6" s="4" t="inlineStr">
        <is>
          <t>An osteochondral injury after a dislocation has a time limited repair window.</t>
        </is>
      </c>
    </row>
    <row r="7">
      <c r="A7" s="4" t="inlineStr">
        <is>
          <t>4.17.2</t>
        </is>
      </c>
      <c r="B7" s="4" t="inlineStr">
        <is>
          <t>Mechanical Symptoms</t>
        </is>
      </c>
      <c r="C7" s="4" t="inlineStr">
        <is>
          <t>The mechanical symptom is the claim an operation was built on, so it is re-examined first.</t>
        </is>
      </c>
    </row>
    <row r="8">
      <c r="A8" s="4" t="inlineStr">
        <is>
          <t>4.17.2</t>
        </is>
      </c>
      <c r="B8" s="4" t="inlineStr">
        <is>
          <t>Mechanical Symptoms</t>
        </is>
      </c>
      <c r="C8" s="4" t="inlineStr">
        <is>
          <t>A normal arthroscopy after reported locking means the symptom was not mechanical.</t>
        </is>
      </c>
    </row>
    <row r="9">
      <c r="A9" s="4" t="inlineStr">
        <is>
          <t>4.17.2</t>
        </is>
      </c>
      <c r="B9" s="4" t="inlineStr">
        <is>
          <t>Mechanical Symptoms</t>
        </is>
      </c>
      <c r="C9" s="4" t="inlineStr">
        <is>
          <t>Recurrent true locking after a cartilage procedure is an unstable graft or an unaddressed fragment.</t>
        </is>
      </c>
    </row>
    <row r="10">
      <c r="A10" s="4" t="inlineStr">
        <is>
          <t>4.17.2</t>
        </is>
      </c>
      <c r="B10" s="4" t="inlineStr">
        <is>
          <t>Mechanical Symptoms</t>
        </is>
      </c>
      <c r="C10" s="4" t="inlineStr">
        <is>
          <t>Locking stopping and pain persisting is a result worth framing before the operation.</t>
        </is>
      </c>
    </row>
    <row r="11">
      <c r="A11" s="4" t="inlineStr">
        <is>
          <t>4.17.2</t>
        </is>
      </c>
      <c r="B11" s="4" t="inlineStr">
        <is>
          <t>Mechanical Symptoms</t>
        </is>
      </c>
      <c r="C11" s="4" t="inlineStr">
        <is>
          <t>A recorded description of a block is evidence; the recorded word locking is not.</t>
        </is>
      </c>
    </row>
    <row r="12">
      <c r="A12" s="4" t="inlineStr">
        <is>
          <t>4.17.3</t>
        </is>
      </c>
      <c r="B12" s="4" t="inlineStr">
        <is>
          <t>Osteochondral Lesions</t>
        </is>
      </c>
      <c r="C12" s="4" t="inlineStr">
        <is>
          <t>A fragment loose for months has lost the fixation option.</t>
        </is>
      </c>
    </row>
    <row r="13">
      <c r="A13" s="4" t="inlineStr">
        <is>
          <t>4.17.3</t>
        </is>
      </c>
      <c r="B13" s="4" t="inlineStr">
        <is>
          <t>Osteochondral Lesions</t>
        </is>
      </c>
      <c r="C13" s="4" t="inlineStr">
        <is>
          <t>A haemarthrosis attributed to a cruciate injury can be the wrong diagnosis from the right finding.</t>
        </is>
      </c>
    </row>
    <row r="14">
      <c r="A14" s="4" t="inlineStr">
        <is>
          <t>4.17.3</t>
        </is>
      </c>
      <c r="B14" s="4" t="inlineStr">
        <is>
          <t>Osteochondral Lesions</t>
        </is>
      </c>
      <c r="C14" s="4" t="inlineStr">
        <is>
          <t>Recurrent effusions and catching after a dislocation suggest a missed fragment.</t>
        </is>
      </c>
    </row>
    <row r="15">
      <c r="A15" s="4" t="inlineStr">
        <is>
          <t>4.17.3</t>
        </is>
      </c>
      <c r="B15" s="4" t="inlineStr">
        <is>
          <t>Osteochondral Lesions</t>
        </is>
      </c>
      <c r="C15" s="4" t="inlineStr">
        <is>
          <t>After fixation the alignment and the meniscal status determine survival.</t>
        </is>
      </c>
    </row>
    <row r="16">
      <c r="A16" s="4" t="inlineStr">
        <is>
          <t>4.17.3</t>
        </is>
      </c>
      <c r="B16" s="4" t="inlineStr">
        <is>
          <t>Osteochondral Lesions</t>
        </is>
      </c>
      <c r="C16" s="4" t="inlineStr">
        <is>
          <t>A missed fragment after a documented dislocation is the most defensible criticism here.</t>
        </is>
      </c>
    </row>
    <row r="17">
      <c r="A17" s="4" t="inlineStr">
        <is>
          <t>4.17.4</t>
        </is>
      </c>
      <c r="B17" s="4" t="inlineStr">
        <is>
          <t>Osteochondritis Dissecans</t>
        </is>
      </c>
      <c r="C17" s="4" t="inlineStr">
        <is>
          <t>An adolescent with a stable lesion and remaining growth has a good prognosis.</t>
        </is>
      </c>
    </row>
    <row r="18">
      <c r="A18" s="4" t="inlineStr">
        <is>
          <t>4.17.4</t>
        </is>
      </c>
      <c r="B18" s="4" t="inlineStr">
        <is>
          <t>Osteochondritis Dissecans</t>
        </is>
      </c>
      <c r="C18" s="4" t="inlineStr">
        <is>
          <t>An adult with a healed lesion and compartment pain has an early degenerative problem.</t>
        </is>
      </c>
    </row>
    <row r="19">
      <c r="A19" s="4" t="inlineStr">
        <is>
          <t>4.17.4</t>
        </is>
      </c>
      <c r="B19" s="4" t="inlineStr">
        <is>
          <t>Osteochondritis Dissecans</t>
        </is>
      </c>
      <c r="C19" s="4" t="inlineStr">
        <is>
          <t>An adult with an unhealed lesion and a loose body is a reconstruction decision.</t>
        </is>
      </c>
    </row>
    <row r="20">
      <c r="A20" s="4" t="inlineStr">
        <is>
          <t>4.17.4</t>
        </is>
      </c>
      <c r="B20" s="4" t="inlineStr">
        <is>
          <t>Osteochondritis Dissecans</t>
        </is>
      </c>
      <c r="C20" s="4" t="inlineStr">
        <is>
          <t>Bilateral lesions with a family history put the other knee's prognosis in the conversation.</t>
        </is>
      </c>
    </row>
    <row r="21">
      <c r="A21" s="4" t="inlineStr">
        <is>
          <t>4.17.4</t>
        </is>
      </c>
      <c r="B21" s="4" t="inlineStr">
        <is>
          <t>Osteochondritis Dissecans</t>
        </is>
      </c>
      <c r="C21" s="4" t="inlineStr">
        <is>
          <t>The condition is developmental and is not attributable to a single injury.</t>
        </is>
      </c>
    </row>
    <row r="22">
      <c r="A22" s="4" t="inlineStr">
        <is>
          <t>4.17.5</t>
        </is>
      </c>
      <c r="B22" s="4" t="inlineStr">
        <is>
          <t>Articular Cartilage Defects</t>
        </is>
      </c>
      <c r="C22" s="4" t="inlineStr">
        <is>
          <t>A resurfaced compartment with an uncorrected alignment treated the surface and left the mechanics.</t>
        </is>
      </c>
    </row>
    <row r="23">
      <c r="A23" s="4" t="inlineStr">
        <is>
          <t>4.17.5</t>
        </is>
      </c>
      <c r="B23" s="4" t="inlineStr">
        <is>
          <t>Articular Cartilage Defects</t>
        </is>
      </c>
      <c r="C23" s="4" t="inlineStr">
        <is>
          <t>A deficient meniscus produces the same failure through a different route.</t>
        </is>
      </c>
    </row>
    <row r="24">
      <c r="A24" s="4" t="inlineStr">
        <is>
          <t>4.17.5</t>
        </is>
      </c>
      <c r="B24" s="4" t="inlineStr">
        <is>
          <t>Articular Cartilage Defects</t>
        </is>
      </c>
      <c r="C24" s="4" t="inlineStr">
        <is>
          <t>Symptoms that never matched the compartment mean an incidental finding was treated.</t>
        </is>
      </c>
    </row>
    <row r="25">
      <c r="A25" s="4" t="inlineStr">
        <is>
          <t>4.17.5</t>
        </is>
      </c>
      <c r="B25" s="4" t="inlineStr">
        <is>
          <t>Articular Cartilage Defects</t>
        </is>
      </c>
      <c r="C25" s="4" t="inlineStr">
        <is>
          <t>A large defect in a well aligned knee with an intact meniscus is the best case for resurfacing.</t>
        </is>
      </c>
    </row>
    <row r="26">
      <c r="A26" s="4" t="inlineStr">
        <is>
          <t>4.17.5</t>
        </is>
      </c>
      <c r="B26" s="4" t="inlineStr">
        <is>
          <t>Articular Cartilage Defects</t>
        </is>
      </c>
      <c r="C26" s="4" t="inlineStr">
        <is>
          <t>Attribution to a single injury needs an acute mechanism and early imaging.</t>
        </is>
      </c>
    </row>
    <row r="27">
      <c r="A27" s="4" t="inlineStr">
        <is>
          <t>4.17.6</t>
        </is>
      </c>
      <c r="B27" s="4" t="inlineStr">
        <is>
          <t>Functional Assessment</t>
        </is>
      </c>
      <c r="C27" s="4" t="inlineStr">
        <is>
          <t>This is the assessment that was not done before the operation that did not work.</t>
        </is>
      </c>
    </row>
    <row r="28">
      <c r="A28" s="4" t="inlineStr">
        <is>
          <t>4.17.6</t>
        </is>
      </c>
      <c r="B28" s="4" t="inlineStr">
        <is>
          <t>Functional Assessment</t>
        </is>
      </c>
      <c r="C28" s="4" t="inlineStr">
        <is>
          <t>Without a pre-operative functional record, change cannot be assessed.</t>
        </is>
      </c>
    </row>
    <row r="29">
      <c r="A29" s="4" t="inlineStr">
        <is>
          <t>4.17.6</t>
        </is>
      </c>
      <c r="B29" s="4" t="inlineStr">
        <is>
          <t>Functional Assessment</t>
        </is>
      </c>
      <c r="C29" s="4" t="inlineStr">
        <is>
          <t>A limitation that was always a strength problem persists after the surface is treated.</t>
        </is>
      </c>
    </row>
    <row r="30">
      <c r="A30" s="4" t="inlineStr">
        <is>
          <t>4.17.6</t>
        </is>
      </c>
      <c r="B30" s="4" t="inlineStr">
        <is>
          <t>Functional Assessment</t>
        </is>
      </c>
      <c r="C30" s="4" t="inlineStr">
        <is>
          <t>A limitation in a different compartment means an incidental lesion was treated.</t>
        </is>
      </c>
    </row>
    <row r="31">
      <c r="A31" s="4" t="inlineStr">
        <is>
          <t>4.17.6</t>
        </is>
      </c>
      <c r="B31" s="4" t="inlineStr">
        <is>
          <t>Functional Assessment</t>
        </is>
      </c>
      <c r="C31" s="4" t="inlineStr">
        <is>
          <t>A claim concerns the functional assessment and the record rarely contains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4.17.1-P1</t>
        </is>
      </c>
      <c r="B3" s="4" t="inlineStr">
        <is>
          <t>4.17.1</t>
        </is>
      </c>
      <c r="C3" s="4" t="inlineStr">
        <is>
          <t>medical_student</t>
        </is>
      </c>
      <c r="D3" s="4" t="inlineStr">
        <is>
          <t>Take the history: pain on loading the affected compartment, an effusion appearing after activity, and whether anything catches or locks.</t>
        </is>
      </c>
      <c r="E3" s="4" t="inlineStr"/>
      <c r="F3" s="4" t="inlineStr"/>
      <c r="G3" s="4" t="inlineStr"/>
    </row>
    <row r="4">
      <c r="A4" s="4" t="inlineStr">
        <is>
          <t>4.17.1-P2</t>
        </is>
      </c>
      <c r="B4" s="4" t="inlineStr">
        <is>
          <t>4.17.1</t>
        </is>
      </c>
      <c r="C4" s="4" t="inlineStr">
        <is>
          <t>medical_student</t>
        </is>
      </c>
      <c r="D4" s="4" t="inlineStr">
        <is>
          <t>Assess the effusion, since a recurrent activity related effusion is one of the more reliable signs.</t>
        </is>
      </c>
      <c r="E4" s="4" t="inlineStr"/>
      <c r="F4" s="4" t="inlineStr"/>
      <c r="G4" s="4" t="inlineStr"/>
    </row>
    <row r="5">
      <c r="A5" s="4" t="inlineStr">
        <is>
          <t>4.17.1-P3</t>
        </is>
      </c>
      <c r="B5" s="4" t="inlineStr">
        <is>
          <t>4.17.1</t>
        </is>
      </c>
      <c r="C5" s="4" t="inlineStr">
        <is>
          <t>medical_student</t>
        </is>
      </c>
      <c r="D5" s="4" t="inlineStr">
        <is>
          <t>Assess the painful arc, since a lesion is loaded at a particular flexion angle and hurts there.</t>
        </is>
      </c>
      <c r="E5" s="4" t="inlineStr"/>
      <c r="F5" s="4" t="inlineStr"/>
      <c r="G5" s="4" t="inlineStr"/>
    </row>
    <row r="6">
      <c r="A6" s="4" t="inlineStr">
        <is>
          <t>4.17.1-P4</t>
        </is>
      </c>
      <c r="B6" s="4" t="inlineStr">
        <is>
          <t>4.17.1</t>
        </is>
      </c>
      <c r="C6" s="4" t="inlineStr">
        <is>
          <t>medical_student</t>
        </is>
      </c>
      <c r="D6" s="4" t="inlineStr">
        <is>
          <t>Assess the alignment, because it determines which compartment carries the load and therefore how a lesion behaves.</t>
        </is>
      </c>
      <c r="E6" s="4" t="inlineStr"/>
      <c r="F6" s="4" t="inlineStr"/>
      <c r="G6" s="4" t="inlineStr"/>
    </row>
    <row r="7">
      <c r="A7" s="4" t="inlineStr">
        <is>
          <t>4.17.2-P1</t>
        </is>
      </c>
      <c r="B7" s="4" t="inlineStr">
        <is>
          <t>4.17.2</t>
        </is>
      </c>
      <c r="C7" s="4" t="inlineStr">
        <is>
          <t>medical_student</t>
        </is>
      </c>
      <c r="D7" s="4" t="inlineStr">
        <is>
          <t>Ask the patient to describe exactly what happens, in their own words, rather than offering the word locking.</t>
        </is>
      </c>
      <c r="E7" s="4" t="inlineStr"/>
      <c r="F7" s="4" t="inlineStr"/>
      <c r="G7" s="4" t="inlineStr"/>
    </row>
    <row r="8">
      <c r="A8" s="4" t="inlineStr">
        <is>
          <t>4.17.2-P2</t>
        </is>
      </c>
      <c r="B8" s="4" t="inlineStr">
        <is>
          <t>4.17.2</t>
        </is>
      </c>
      <c r="C8" s="4" t="inlineStr">
        <is>
          <t>medical_student</t>
        </is>
      </c>
      <c r="D8" s="4" t="inlineStr">
        <is>
          <t>Measure the passive extension and note the end feel, since a springy block is the examination finding that corresponds to a displaced fragment.</t>
        </is>
      </c>
      <c r="E8" s="4" t="inlineStr"/>
      <c r="F8" s="4" t="inlineStr"/>
      <c r="G8" s="4" t="inlineStr"/>
    </row>
    <row r="9">
      <c r="A9" s="4" t="inlineStr">
        <is>
          <t>4.17.2-P3</t>
        </is>
      </c>
      <c r="B9" s="4" t="inlineStr">
        <is>
          <t>4.17.2</t>
        </is>
      </c>
      <c r="C9" s="4" t="inlineStr">
        <is>
          <t>medical_student</t>
        </is>
      </c>
      <c r="D9" s="4" t="inlineStr">
        <is>
          <t>Assess the effusion, since a loose fragment irritates the joint and produces one.</t>
        </is>
      </c>
      <c r="E9" s="4" t="inlineStr"/>
      <c r="F9" s="4" t="inlineStr"/>
      <c r="G9" s="4" t="inlineStr"/>
    </row>
    <row r="10">
      <c r="A10" s="4" t="inlineStr">
        <is>
          <t>4.17.2-P4</t>
        </is>
      </c>
      <c r="B10" s="4" t="inlineStr">
        <is>
          <t>4.17.2</t>
        </is>
      </c>
      <c r="C10" s="4" t="inlineStr">
        <is>
          <t>medical_student</t>
        </is>
      </c>
      <c r="D10" s="4" t="inlineStr">
        <is>
          <t>Ask about a loose body being felt moving, which is unusual and specific when described clearly.</t>
        </is>
      </c>
      <c r="E10" s="4" t="inlineStr"/>
      <c r="F10" s="4" t="inlineStr"/>
      <c r="G10" s="4" t="inlineStr"/>
    </row>
    <row r="11">
      <c r="A11" s="4" t="inlineStr">
        <is>
          <t>4.17.3-P1</t>
        </is>
      </c>
      <c r="B11" s="4" t="inlineStr">
        <is>
          <t>4.17.3</t>
        </is>
      </c>
      <c r="C11" s="4" t="inlineStr">
        <is>
          <t>medical_student</t>
        </is>
      </c>
      <c r="D11" s="4" t="inlineStr">
        <is>
          <t>Assess the effusion and its tension, since a tense effusion within hours is blood and an osteochondral injury is on that short differential.</t>
        </is>
      </c>
      <c r="E11" s="4" t="inlineStr"/>
      <c r="F11" s="4" t="inlineStr"/>
      <c r="G11" s="4" t="inlineStr"/>
    </row>
    <row r="12">
      <c r="A12" s="4" t="inlineStr">
        <is>
          <t>4.17.3-P2</t>
        </is>
      </c>
      <c r="B12" s="4" t="inlineStr">
        <is>
          <t>4.17.3</t>
        </is>
      </c>
      <c r="C12" s="4" t="inlineStr">
        <is>
          <t>medical_student</t>
        </is>
      </c>
      <c r="D12" s="4" t="inlineStr">
        <is>
          <t>Measure the passive extension and record the end feel, since a displaced fragment gives a block.</t>
        </is>
      </c>
      <c r="E12" s="4" t="inlineStr"/>
      <c r="F12" s="4" t="inlineStr"/>
      <c r="G12" s="4" t="inlineStr"/>
    </row>
    <row r="13">
      <c r="A13" s="4" t="inlineStr">
        <is>
          <t>4.17.3-P3</t>
        </is>
      </c>
      <c r="B13" s="4" t="inlineStr">
        <is>
          <t>4.17.3</t>
        </is>
      </c>
      <c r="C13" s="4" t="inlineStr">
        <is>
          <t>medical_student</t>
        </is>
      </c>
      <c r="D13" s="4" t="inlineStr">
        <is>
          <t>Examine the patella's medial restraint if the mechanism was a dislocation, since the two injuries travel together.</t>
        </is>
      </c>
      <c r="E13" s="4" t="inlineStr"/>
      <c r="F13" s="4" t="inlineStr"/>
      <c r="G13" s="4" t="inlineStr"/>
    </row>
    <row r="14">
      <c r="A14" s="4" t="inlineStr">
        <is>
          <t>4.17.3-P4</t>
        </is>
      </c>
      <c r="B14" s="4" t="inlineStr">
        <is>
          <t>4.17.3</t>
        </is>
      </c>
      <c r="C14" s="4" t="inlineStr">
        <is>
          <t>medical_student</t>
        </is>
      </c>
      <c r="D14" s="4" t="inlineStr">
        <is>
          <t>Medial patellar tenderness with a haemarthrosis after a twisting injury indicates a dislocation, and an osteochondral injury should be assumed until the imaging says otherwise.</t>
        </is>
      </c>
      <c r="E14" s="4" t="inlineStr"/>
      <c r="F14" s="4" t="inlineStr"/>
      <c r="G14" s="4" t="inlineStr"/>
    </row>
    <row r="15">
      <c r="A15" s="4" t="inlineStr">
        <is>
          <t>4.17.3-P5</t>
        </is>
      </c>
      <c r="B15" s="4" t="inlineStr">
        <is>
          <t>4.17.3</t>
        </is>
      </c>
      <c r="C15" s="4" t="inlineStr">
        <is>
          <t>frcs</t>
        </is>
      </c>
      <c r="D15" s="4" t="inlineStr">
        <is>
          <t>Delay changes the operation, so the examination's job is early imaging.</t>
        </is>
      </c>
      <c r="E15" s="4" t="inlineStr"/>
      <c r="F15" s="4" t="inlineStr"/>
      <c r="G15" s="4" t="inlineStr"/>
    </row>
    <row r="16">
      <c r="A16" s="4" t="inlineStr">
        <is>
          <t>4.17.4-P1</t>
        </is>
      </c>
      <c r="B16" s="4" t="inlineStr">
        <is>
          <t>4.17.4</t>
        </is>
      </c>
      <c r="C16" s="4" t="inlineStr">
        <is>
          <t>medical_student</t>
        </is>
      </c>
      <c r="D16" s="4" t="inlineStr">
        <is>
          <t>Assess the effusion, which is usually present and activity related.</t>
        </is>
      </c>
      <c r="E16" s="4" t="inlineStr"/>
      <c r="F16" s="4" t="inlineStr"/>
      <c r="G16" s="4" t="inlineStr"/>
    </row>
    <row r="17">
      <c r="A17" s="4" t="inlineStr">
        <is>
          <t>4.17.4-P2</t>
        </is>
      </c>
      <c r="B17" s="4" t="inlineStr">
        <is>
          <t>4.17.4</t>
        </is>
      </c>
      <c r="C17" s="4" t="inlineStr">
        <is>
          <t>medical_student</t>
        </is>
      </c>
      <c r="D17" s="4" t="inlineStr">
        <is>
          <t>Ask about mechanical symptoms specifically, since a true block or catching indicates an unstable or loose fragment.</t>
        </is>
      </c>
      <c r="E17" s="4" t="inlineStr"/>
      <c r="F17" s="4" t="inlineStr"/>
      <c r="G17" s="4" t="inlineStr"/>
    </row>
    <row r="18">
      <c r="A18" s="4" t="inlineStr">
        <is>
          <t>4.17.4-P3</t>
        </is>
      </c>
      <c r="B18" s="4" t="inlineStr">
        <is>
          <t>4.17.4</t>
        </is>
      </c>
      <c r="C18" s="4" t="inlineStr">
        <is>
          <t>medical_student</t>
        </is>
      </c>
      <c r="D18" s="4" t="inlineStr">
        <is>
          <t>Assess the range and look for a block, with the end feel recorded.</t>
        </is>
      </c>
      <c r="E18" s="4" t="inlineStr"/>
      <c r="F18" s="4" t="inlineStr"/>
      <c r="G18" s="4" t="inlineStr"/>
    </row>
    <row r="19">
      <c r="A19" s="4" t="inlineStr">
        <is>
          <t>4.17.5-P1</t>
        </is>
      </c>
      <c r="B19" s="4" t="inlineStr">
        <is>
          <t>4.17.5</t>
        </is>
      </c>
      <c r="C19" s="4" t="inlineStr">
        <is>
          <t>medical_student</t>
        </is>
      </c>
      <c r="D19" s="4" t="inlineStr">
        <is>
          <t>Assess the painful arc, since a defect is loaded at a particular flexion angle and the arc should match its position.</t>
        </is>
      </c>
      <c r="E19" s="4" t="inlineStr"/>
      <c r="F19" s="4" t="inlineStr"/>
      <c r="G19" s="4" t="inlineStr"/>
    </row>
    <row r="20">
      <c r="A20" s="4" t="inlineStr">
        <is>
          <t>4.17.5-P2</t>
        </is>
      </c>
      <c r="B20" s="4" t="inlineStr">
        <is>
          <t>4.17.5</t>
        </is>
      </c>
      <c r="C20" s="4" t="inlineStr">
        <is>
          <t>medical_student</t>
        </is>
      </c>
      <c r="D20" s="4" t="inlineStr">
        <is>
          <t>Assess the effusion, since a recurrent activity related effusion is the most useful sign that a defect is symptomatic.</t>
        </is>
      </c>
      <c r="E20" s="4" t="inlineStr"/>
      <c r="F20" s="4" t="inlineStr"/>
      <c r="G20" s="4" t="inlineStr"/>
    </row>
    <row r="21">
      <c r="A21" s="4" t="inlineStr">
        <is>
          <t>4.17.5-P3</t>
        </is>
      </c>
      <c r="B21" s="4" t="inlineStr">
        <is>
          <t>4.17.5</t>
        </is>
      </c>
      <c r="C21" s="4" t="inlineStr">
        <is>
          <t>medical_student</t>
        </is>
      </c>
      <c r="D21" s="4" t="inlineStr">
        <is>
          <t>Ask about mechanical symptoms, since a delaminated flap catches and that changes the decision.</t>
        </is>
      </c>
      <c r="E21" s="4" t="inlineStr"/>
      <c r="F21" s="4" t="inlineStr"/>
      <c r="G21" s="4" t="inlineStr"/>
    </row>
    <row r="22">
      <c r="A22" s="4" t="inlineStr">
        <is>
          <t>4.17.5-P4</t>
        </is>
      </c>
      <c r="B22" s="4" t="inlineStr">
        <is>
          <t>4.17.5</t>
        </is>
      </c>
      <c r="C22" s="4" t="inlineStr">
        <is>
          <t>medical_student</t>
        </is>
      </c>
      <c r="D22" s="4" t="inlineStr">
        <is>
          <t>Assess the alignment, since it determines whether the compartment carrying the defect is being loaded.</t>
        </is>
      </c>
      <c r="E22" s="4" t="inlineStr"/>
      <c r="F22" s="4" t="inlineStr"/>
      <c r="G22" s="4" t="inlineStr"/>
    </row>
    <row r="23">
      <c r="A23" s="4" t="inlineStr">
        <is>
          <t>4.17.5-P5</t>
        </is>
      </c>
      <c r="B23" s="4" t="inlineStr">
        <is>
          <t>4.17.5</t>
        </is>
      </c>
      <c r="C23" s="4" t="inlineStr">
        <is>
          <t>medical_student</t>
        </is>
      </c>
      <c r="D23" s="4" t="inlineStr">
        <is>
          <t>Assess the meniscal status in that compartment, since a deficient meniscus concentrates the load on the surface.</t>
        </is>
      </c>
      <c r="E23" s="4" t="inlineStr"/>
      <c r="F23" s="4" t="inlineStr"/>
      <c r="G23" s="4" t="inlineStr"/>
    </row>
    <row r="24">
      <c r="A24" s="4" t="inlineStr">
        <is>
          <t>4.17.6-P1</t>
        </is>
      </c>
      <c r="B24" s="4" t="inlineStr">
        <is>
          <t>4.17.6</t>
        </is>
      </c>
      <c r="C24" s="4" t="inlineStr">
        <is>
          <t>medical_student</t>
        </is>
      </c>
      <c r="D24" s="4" t="inlineStr">
        <is>
          <t>Ask what the patient cannot do, specifically, and at what point in the activity it fails.</t>
        </is>
      </c>
      <c r="E24" s="4" t="inlineStr"/>
      <c r="F24" s="4" t="inlineStr"/>
      <c r="G24" s="4" t="inlineStr"/>
    </row>
    <row r="25">
      <c r="A25" s="4" t="inlineStr">
        <is>
          <t>4.17.6-P2</t>
        </is>
      </c>
      <c r="B25" s="4" t="inlineStr">
        <is>
          <t>4.17.6</t>
        </is>
      </c>
      <c r="C25" s="4" t="inlineStr">
        <is>
          <t>medical_student</t>
        </is>
      </c>
      <c r="D25" s="4" t="inlineStr">
        <is>
          <t>Assess the quadriceps and the proximal control, since both affect the load reaching the lesion.</t>
        </is>
      </c>
      <c r="E25" s="4" t="inlineStr"/>
      <c r="F25" s="4" t="inlineStr"/>
      <c r="G25" s="4" t="inlineStr"/>
    </row>
    <row r="26">
      <c r="A26" s="4" t="inlineStr">
        <is>
          <t>4.17.6-P3</t>
        </is>
      </c>
      <c r="B26" s="4" t="inlineStr">
        <is>
          <t>4.17.6</t>
        </is>
      </c>
      <c r="C26" s="4" t="inlineStr">
        <is>
          <t>medical_student</t>
        </is>
      </c>
      <c r="D26" s="4" t="inlineStr">
        <is>
          <t>Record which tasks were attempted and which were completed, rather than a summary.</t>
        </is>
      </c>
      <c r="E26" s="4" t="inlineStr"/>
      <c r="F26" s="4" t="inlineStr"/>
      <c r="G26" s="4" t="inlineStr"/>
    </row>
  </sheetData>
  <dataValidations count="1">
    <dataValidation sqref="E3:E26"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24</f>
        <v/>
      </c>
      <c r="C2" s="3">
        <f>0</f>
        <v/>
      </c>
    </row>
    <row r="3">
      <c r="A3" s="2" t="inlineStr">
        <is>
          <t>Decided</t>
        </is>
      </c>
      <c r="B3" s="3">
        <f>COUNTIF(Recommendations!E3:E26,"&lt;&gt;")</f>
        <v/>
      </c>
      <c r="C3" s="3">
        <f>COUNTIF(Measurements!F3:F2,"&lt;&gt;")</f>
        <v/>
      </c>
    </row>
    <row r="4">
      <c r="A4" s="2" t="inlineStr">
        <is>
          <t>Still blank</t>
        </is>
      </c>
      <c r="B4" s="3">
        <f>B2-B3</f>
        <v/>
      </c>
      <c r="C4" s="3">
        <f>C2-C3</f>
        <v/>
      </c>
    </row>
    <row r="5">
      <c r="A5" s="2" t="inlineStr">
        <is>
          <t>CONFIRMED</t>
        </is>
      </c>
      <c r="B5" s="3">
        <f>COUNTIF(Recommendations!E3:E26,"CONFIRMED")</f>
        <v/>
      </c>
      <c r="C5" s="3" t="inlineStr"/>
    </row>
    <row r="6">
      <c r="A6" s="2" t="inlineStr">
        <is>
          <t>AMENDED</t>
        </is>
      </c>
      <c r="B6" s="3">
        <f>COUNTIF(Recommendations!E3:E26,"AMENDED")</f>
        <v/>
      </c>
      <c r="C6" s="3" t="inlineStr"/>
    </row>
    <row r="7">
      <c r="A7" s="2" t="inlineStr">
        <is>
          <t>WITHDRAWN</t>
        </is>
      </c>
      <c r="B7" s="3">
        <f>COUNTIF(Recommendations!E3:E26,"WITHDRAWN")</f>
        <v/>
      </c>
      <c r="C7" s="3" t="inlineStr"/>
    </row>
    <row r="8">
      <c r="A8" s="2" t="inlineStr">
        <is>
          <t>NOT_CLINICAL</t>
        </is>
      </c>
      <c r="B8" s="3">
        <f>COUNTIF(Recommendations!E3:E26,"NOT_CLINICAL")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2026-10-13T20:51:43Z</dcterms:created>
  <dcterms:modified xmlns:dcterms="http://purl.org/dc/terms/" xmlns:xsi="http://www.w3.org/2001/XMLSchema-instance" xsi:type="dcterms:W3CDTF">2026-10-13T20:51:43Z</dcterms:modified>
</cp:coreProperties>
</file>