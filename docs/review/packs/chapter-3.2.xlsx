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3.2 Functional Anatomy and Motion</t>
        </is>
      </c>
    </row>
    <row r="3">
      <c r="A3" s="2" t="inlineStr">
        <is>
          <t>Section</t>
        </is>
      </c>
      <c r="B3" s="3" t="inlineStr">
        <is>
          <t>3</t>
        </is>
      </c>
    </row>
    <row r="4">
      <c r="A4" s="2" t="inlineStr">
        <is>
          <t>Chapter</t>
        </is>
      </c>
      <c r="B4" s="3" t="inlineStr">
        <is>
          <t>3.2 Functional Anatomy and Motion</t>
        </is>
      </c>
    </row>
    <row r="5">
      <c r="A5" s="2" t="inlineStr">
        <is>
          <t>Pages</t>
        </is>
      </c>
      <c r="B5" s="3" t="n">
        <v>10</v>
      </c>
    </row>
    <row r="6">
      <c r="A6" s="2" t="inlineStr">
        <is>
          <t>Page type</t>
        </is>
      </c>
      <c r="B6" s="3" t="inlineStr">
        <is>
          <t>biomechanics</t>
        </is>
      </c>
    </row>
    <row r="7">
      <c r="A7" s="2" t="inlineStr">
        <is>
          <t>Tiers</t>
        </is>
      </c>
      <c r="B7" s="3" t="inlineStr">
        <is>
          <t>medical student, mrcs, frcs</t>
        </is>
      </c>
    </row>
    <row r="8">
      <c r="A8" s="2" t="inlineStr">
        <is>
          <t>Words</t>
        </is>
      </c>
      <c r="B8" s="3" t="inlineStr">
        <is>
          <t>12,898</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61</v>
      </c>
    </row>
    <row r="12">
      <c r="A12" s="2" t="inlineStr">
        <is>
          <t>Recommendations to sign</t>
        </is>
      </c>
      <c r="B12" s="3" t="n">
        <v>75</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3.2.1</t>
        </is>
      </c>
      <c r="B2" s="6" t="inlineStr">
        <is>
          <t>Degrees of Freedom of the Knee</t>
        </is>
      </c>
      <c r="C2" s="6" t="n">
        <v>3</v>
      </c>
      <c r="D2" s="6" t="n">
        <v>1459</v>
      </c>
      <c r="E2" s="6" t="inlineStr">
        <is>
          <t>biomechanics/degrees-of-freedom.html</t>
        </is>
      </c>
    </row>
    <row r="3">
      <c r="A3" s="6" t="inlineStr">
        <is>
          <t>3.2.2</t>
        </is>
      </c>
      <c r="B3" s="6" t="inlineStr">
        <is>
          <t>Flexion and Extension</t>
        </is>
      </c>
      <c r="C3" s="6" t="n">
        <v>3</v>
      </c>
      <c r="D3" s="6" t="n">
        <v>1284</v>
      </c>
      <c r="E3" s="6" t="inlineStr">
        <is>
          <t>biomechanics/flexion-and-extension.html</t>
        </is>
      </c>
    </row>
    <row r="4">
      <c r="A4" s="6" t="inlineStr">
        <is>
          <t>3.2.3</t>
        </is>
      </c>
      <c r="B4" s="6" t="inlineStr">
        <is>
          <t>Internal Rotation</t>
        </is>
      </c>
      <c r="C4" s="6" t="n">
        <v>3</v>
      </c>
      <c r="D4" s="6" t="n">
        <v>1269</v>
      </c>
      <c r="E4" s="6" t="inlineStr">
        <is>
          <t>biomechanics/internal-rotation.html</t>
        </is>
      </c>
    </row>
    <row r="5">
      <c r="A5" s="6" t="inlineStr">
        <is>
          <t>3.2.4</t>
        </is>
      </c>
      <c r="B5" s="6" t="inlineStr">
        <is>
          <t>External Rotation</t>
        </is>
      </c>
      <c r="C5" s="6" t="n">
        <v>3</v>
      </c>
      <c r="D5" s="6" t="n">
        <v>1244</v>
      </c>
      <c r="E5" s="6" t="inlineStr">
        <is>
          <t>biomechanics/external-rotation.html</t>
        </is>
      </c>
    </row>
    <row r="6">
      <c r="A6" s="6" t="inlineStr">
        <is>
          <t>3.2.5</t>
        </is>
      </c>
      <c r="B6" s="6" t="inlineStr">
        <is>
          <t>Varus Motion</t>
        </is>
      </c>
      <c r="C6" s="6" t="n">
        <v>3</v>
      </c>
      <c r="D6" s="6" t="n">
        <v>1225</v>
      </c>
      <c r="E6" s="6" t="inlineStr">
        <is>
          <t>biomechanics/varus-motion.html</t>
        </is>
      </c>
    </row>
    <row r="7">
      <c r="A7" s="6" t="inlineStr">
        <is>
          <t>3.2.6</t>
        </is>
      </c>
      <c r="B7" s="6" t="inlineStr">
        <is>
          <t>Valgus Motion</t>
        </is>
      </c>
      <c r="C7" s="6" t="n">
        <v>3</v>
      </c>
      <c r="D7" s="6" t="n">
        <v>1152</v>
      </c>
      <c r="E7" s="6" t="inlineStr">
        <is>
          <t>biomechanics/valgus-motion.html</t>
        </is>
      </c>
    </row>
    <row r="8">
      <c r="A8" s="6" t="inlineStr">
        <is>
          <t>3.2.7</t>
        </is>
      </c>
      <c r="B8" s="6" t="inlineStr">
        <is>
          <t>Anterior Translation</t>
        </is>
      </c>
      <c r="C8" s="6" t="n">
        <v>3</v>
      </c>
      <c r="D8" s="6" t="n">
        <v>1200</v>
      </c>
      <c r="E8" s="6" t="inlineStr">
        <is>
          <t>biomechanics/anterior-translation.html</t>
        </is>
      </c>
    </row>
    <row r="9">
      <c r="A9" s="6" t="inlineStr">
        <is>
          <t>3.2.8</t>
        </is>
      </c>
      <c r="B9" s="6" t="inlineStr">
        <is>
          <t>Posterior Translation</t>
        </is>
      </c>
      <c r="C9" s="6" t="n">
        <v>3</v>
      </c>
      <c r="D9" s="6" t="n">
        <v>1200</v>
      </c>
      <c r="E9" s="6" t="inlineStr">
        <is>
          <t>biomechanics/posterior-translation.html</t>
        </is>
      </c>
    </row>
    <row r="10">
      <c r="A10" s="6" t="inlineStr">
        <is>
          <t>3.2.9</t>
        </is>
      </c>
      <c r="B10" s="6" t="inlineStr">
        <is>
          <t>Coupled Motion</t>
        </is>
      </c>
      <c r="C10" s="6" t="n">
        <v>3</v>
      </c>
      <c r="D10" s="6" t="n">
        <v>1478</v>
      </c>
      <c r="E10" s="6" t="inlineStr">
        <is>
          <t>biomechanics/coupled-motion.html</t>
        </is>
      </c>
    </row>
    <row r="11">
      <c r="A11" s="6" t="inlineStr">
        <is>
          <t>3.2.10</t>
        </is>
      </c>
      <c r="B11" s="6" t="inlineStr">
        <is>
          <t>Knee Stability During Motion</t>
        </is>
      </c>
      <c r="C11" s="6" t="n">
        <v>3</v>
      </c>
      <c r="D11" s="6" t="n">
        <v>1387</v>
      </c>
      <c r="E11" s="6" t="inlineStr">
        <is>
          <t>biomechanics/knee-stability-during-motion.html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3.2.1</t>
        </is>
      </c>
      <c r="B2" s="4" t="inlineStr">
        <is>
          <t>Degrees of Freedom of the Knee</t>
        </is>
      </c>
      <c r="C2" s="4" t="inlineStr">
        <is>
          <t>Constraining one degree of freedom reduces range in others; over-constraint presents as stiffness.</t>
        </is>
      </c>
    </row>
    <row r="3">
      <c r="A3" s="4" t="inlineStr">
        <is>
          <t>3.2.1</t>
        </is>
      </c>
      <c r="B3" s="4" t="inlineStr">
        <is>
          <t>Degrees of Freedom of the Knee</t>
        </is>
      </c>
      <c r="C3" s="4" t="inlineStr">
        <is>
          <t>The small range degrees of freedom carry importance out of proportion to their magnitude.</t>
        </is>
      </c>
    </row>
    <row r="4">
      <c r="A4" s="4" t="inlineStr">
        <is>
          <t>3.2.1</t>
        </is>
      </c>
      <c r="B4" s="4" t="inlineStr">
        <is>
          <t>Degrees of Freedom of the Knee</t>
        </is>
      </c>
      <c r="C4" s="4" t="inlineStr">
        <is>
          <t>Robotic cadaveric testing is the reference method and carries an order effect.</t>
        </is>
      </c>
    </row>
    <row r="5">
      <c r="A5" s="4" t="inlineStr">
        <is>
          <t>3.2.1</t>
        </is>
      </c>
      <c r="B5" s="4" t="inlineStr">
        <is>
          <t>Degrees of Freedom of the Knee</t>
        </is>
      </c>
      <c r="C5" s="4" t="inlineStr">
        <is>
          <t>No clinical instrument measures rotation reliably, which is why it is graded by hand.</t>
        </is>
      </c>
    </row>
    <row r="6">
      <c r="A6" s="4" t="inlineStr">
        <is>
          <t>3.2.1</t>
        </is>
      </c>
      <c r="B6" s="4" t="inlineStr">
        <is>
          <t>Degrees of Freedom of the Knee</t>
        </is>
      </c>
      <c r="C6" s="4" t="inlineStr">
        <is>
          <t>A knee called stable on the one measurable degree of freedom may not be.</t>
        </is>
      </c>
    </row>
    <row r="7">
      <c r="A7" s="4" t="inlineStr">
        <is>
          <t>3.2.2</t>
        </is>
      </c>
      <c r="B7" s="4" t="inlineStr">
        <is>
          <t>Flexion and Extension</t>
        </is>
      </c>
      <c r="C7" s="4" t="inlineStr">
        <is>
          <t>The flexion arc is surface geometry and ligament length, and surgery can alter either.</t>
        </is>
      </c>
    </row>
    <row r="8">
      <c r="A8" s="4" t="inlineStr">
        <is>
          <t>3.2.2</t>
        </is>
      </c>
      <c r="B8" s="4" t="inlineStr">
        <is>
          <t>Flexion and Extension</t>
        </is>
      </c>
      <c r="C8" s="4" t="inlineStr">
        <is>
          <t>Rollback asymmetry is the knee's rotation; reproducing one without the other reproduces neither.</t>
        </is>
      </c>
    </row>
    <row r="9">
      <c r="A9" s="4" t="inlineStr">
        <is>
          <t>3.2.2</t>
        </is>
      </c>
      <c r="B9" s="4" t="inlineStr">
        <is>
          <t>Flexion and Extension</t>
        </is>
      </c>
      <c r="C9" s="4" t="inlineStr">
        <is>
          <t>Tibial slope changes the relationship between flexion and anteroposterior position.</t>
        </is>
      </c>
    </row>
    <row r="10">
      <c r="A10" s="4" t="inlineStr">
        <is>
          <t>3.2.2</t>
        </is>
      </c>
      <c r="B10" s="4" t="inlineStr">
        <is>
          <t>Flexion and Extension</t>
        </is>
      </c>
      <c r="C10" s="4" t="inlineStr">
        <is>
          <t>Passive asleep, passive awake and active are three measurements, and the gaps carry information.</t>
        </is>
      </c>
    </row>
    <row r="11">
      <c r="A11" s="4" t="inlineStr">
        <is>
          <t>3.2.2</t>
        </is>
      </c>
      <c r="B11" s="4" t="inlineStr">
        <is>
          <t>Flexion and Extension</t>
        </is>
      </c>
      <c r="C11" s="4" t="inlineStr">
        <is>
          <t>Published implant flexion is usually passive and best case.</t>
        </is>
      </c>
    </row>
    <row r="12">
      <c r="A12" s="4" t="inlineStr">
        <is>
          <t>3.2.3</t>
        </is>
      </c>
      <c r="B12" s="4" t="inlineStr">
        <is>
          <t>Internal Rotation</t>
        </is>
      </c>
      <c r="C12" s="4" t="inlineStr">
        <is>
          <t>The motion patients complain about is the one with no number.</t>
        </is>
      </c>
    </row>
    <row r="13">
      <c r="A13" s="4" t="inlineStr">
        <is>
          <t>3.2.3</t>
        </is>
      </c>
      <c r="B13" s="4" t="inlineStr">
        <is>
          <t>Internal Rotation</t>
        </is>
      </c>
      <c r="C13" s="4" t="inlineStr">
        <is>
          <t>Its restraints are distributed, so no single reconstruction reliably normalises it.</t>
        </is>
      </c>
    </row>
    <row r="14">
      <c r="A14" s="4" t="inlineStr">
        <is>
          <t>3.2.3</t>
        </is>
      </c>
      <c r="B14" s="4" t="inlineStr">
        <is>
          <t>Internal Rotation</t>
        </is>
      </c>
      <c r="C14" s="4" t="inlineStr">
        <is>
          <t>The margin between restoring and over-constraining is small, because the structures have little compliance.</t>
        </is>
      </c>
    </row>
    <row r="15">
      <c r="A15" s="4" t="inlineStr">
        <is>
          <t>3.2.3</t>
        </is>
      </c>
      <c r="B15" s="4" t="inlineStr">
        <is>
          <t>Internal Rotation</t>
        </is>
      </c>
      <c r="C15" s="4" t="inlineStr">
        <is>
          <t>A three point scale assessed unblinded measures less than it appears to.</t>
        </is>
      </c>
    </row>
    <row r="16">
      <c r="A16" s="4" t="inlineStr">
        <is>
          <t>3.2.3</t>
        </is>
      </c>
      <c r="B16" s="4" t="inlineStr">
        <is>
          <t>Internal Rotation</t>
        </is>
      </c>
      <c r="C16" s="4" t="inlineStr">
        <is>
          <t>A normal arthrometer reading does not mean a stable knee.</t>
        </is>
      </c>
    </row>
    <row r="17">
      <c r="A17" s="4" t="inlineStr">
        <is>
          <t>3.2.4</t>
        </is>
      </c>
      <c r="B17" s="4" t="inlineStr">
        <is>
          <t>External Rotation</t>
        </is>
      </c>
      <c r="C17" s="4" t="inlineStr">
        <is>
          <t>Increased external rotation localises; it does not grade severity.</t>
        </is>
      </c>
    </row>
    <row r="18">
      <c r="A18" s="4" t="inlineStr">
        <is>
          <t>3.2.4</t>
        </is>
      </c>
      <c r="B18" s="4" t="inlineStr">
        <is>
          <t>External Rotation</t>
        </is>
      </c>
      <c r="C18" s="4" t="inlineStr">
        <is>
          <t>Three structures within two centimetres share the restraint, so the test localises to a region.</t>
        </is>
      </c>
    </row>
    <row r="19">
      <c r="A19" s="4" t="inlineStr">
        <is>
          <t>3.2.4</t>
        </is>
      </c>
      <c r="B19" s="4" t="inlineStr">
        <is>
          <t>External Rotation</t>
        </is>
      </c>
      <c r="C19" s="4" t="inlineStr">
        <is>
          <t>A varus limb loads a corner reconstruction at every step, so alignment comes first.</t>
        </is>
      </c>
    </row>
    <row r="20">
      <c r="A20" s="4" t="inlineStr">
        <is>
          <t>3.2.4</t>
        </is>
      </c>
      <c r="B20" s="4" t="inlineStr">
        <is>
          <t>External Rotation</t>
        </is>
      </c>
      <c r="C20" s="4" t="inlineStr">
        <is>
          <t>Corner tissue that healed long gives laxity with continuity on imaging.</t>
        </is>
      </c>
    </row>
    <row r="21">
      <c r="A21" s="4" t="inlineStr">
        <is>
          <t>3.2.4</t>
        </is>
      </c>
      <c r="B21" s="4" t="inlineStr">
        <is>
          <t>External Rotation</t>
        </is>
      </c>
      <c r="C21" s="4" t="inlineStr">
        <is>
          <t>The 10 degree threshold is a convention rather than a derived cut off.</t>
        </is>
      </c>
    </row>
    <row r="22">
      <c r="A22" s="4" t="inlineStr">
        <is>
          <t>3.2.5</t>
        </is>
      </c>
      <c r="B22" s="4" t="inlineStr">
        <is>
          <t>Varus Motion</t>
        </is>
      </c>
      <c r="C22" s="4" t="inlineStr">
        <is>
          <t>Alignment, laxity, thrust and compartment state are four measurements of one problem.</t>
        </is>
      </c>
    </row>
    <row r="23">
      <c r="A23" s="4" t="inlineStr">
        <is>
          <t>3.2.5</t>
        </is>
      </c>
      <c r="B23" s="4" t="inlineStr">
        <is>
          <t>Varus Motion</t>
        </is>
      </c>
      <c r="C23" s="4" t="inlineStr">
        <is>
          <t>A lateral reconstruction in an uncorrected varus limb is loaded by the limb, not the injury.</t>
        </is>
      </c>
    </row>
    <row r="24">
      <c r="A24" s="4" t="inlineStr">
        <is>
          <t>3.2.5</t>
        </is>
      </c>
      <c r="B24" s="4" t="inlineStr">
        <is>
          <t>Varus Motion</t>
        </is>
      </c>
      <c r="C24" s="4" t="inlineStr">
        <is>
          <t>Osteotomy has the largest mechanical effect per unit of surgery at this joint.</t>
        </is>
      </c>
    </row>
    <row r="25">
      <c r="A25" s="4" t="inlineStr">
        <is>
          <t>3.2.5</t>
        </is>
      </c>
      <c r="B25" s="4" t="inlineStr">
        <is>
          <t>Varus Motion</t>
        </is>
      </c>
      <c r="C25" s="4" t="inlineStr">
        <is>
          <t>Sectioning figures describe a knee without the alignment the patient has.</t>
        </is>
      </c>
    </row>
    <row r="26">
      <c r="A26" s="4" t="inlineStr">
        <is>
          <t>3.2.5</t>
        </is>
      </c>
      <c r="B26" s="4" t="inlineStr">
        <is>
          <t>Varus Motion</t>
        </is>
      </c>
      <c r="C26" s="4" t="inlineStr">
        <is>
          <t>Reconstructing laxity in a limb whose alignment caused it repeats the failure.</t>
        </is>
      </c>
    </row>
    <row r="27">
      <c r="A27" s="4" t="inlineStr">
        <is>
          <t>3.2.6</t>
        </is>
      </c>
      <c r="B27" s="4" t="inlineStr">
        <is>
          <t>Valgus Motion</t>
        </is>
      </c>
      <c r="C27" s="4" t="inlineStr">
        <is>
          <t>Medial laxity is a question about length, not continuity.</t>
        </is>
      </c>
    </row>
    <row r="28">
      <c r="A28" s="4" t="inlineStr">
        <is>
          <t>3.2.6</t>
        </is>
      </c>
      <c r="B28" s="4" t="inlineStr">
        <is>
          <t>Valgus Motion</t>
        </is>
      </c>
      <c r="C28" s="4" t="inlineStr">
        <is>
          <t>The corner restrains in extension and the collateral in flexion, a reciprocal pair.</t>
        </is>
      </c>
    </row>
    <row r="29">
      <c r="A29" s="4" t="inlineStr">
        <is>
          <t>3.2.6</t>
        </is>
      </c>
      <c r="B29" s="4" t="inlineStr">
        <is>
          <t>Valgus Motion</t>
        </is>
      </c>
      <c r="C29" s="4" t="inlineStr">
        <is>
          <t>Time changes this injury in a way it changes no other knee ligament.</t>
        </is>
      </c>
    </row>
    <row r="30">
      <c r="A30" s="4" t="inlineStr">
        <is>
          <t>3.2.6</t>
        </is>
      </c>
      <c r="B30" s="4" t="inlineStr">
        <is>
          <t>Valgus Motion</t>
        </is>
      </c>
      <c r="C30" s="4" t="inlineStr">
        <is>
          <t>Sectioning figures describe an acutely cut ligament, not a chronically lengthened one.</t>
        </is>
      </c>
    </row>
    <row r="31">
      <c r="A31" s="4" t="inlineStr">
        <is>
          <t>3.2.6</t>
        </is>
      </c>
      <c r="B31" s="4" t="inlineStr">
        <is>
          <t>Valgus Motion</t>
        </is>
      </c>
      <c r="C31" s="4" t="inlineStr">
        <is>
          <t>Continuity on imaging is not competence.</t>
        </is>
      </c>
    </row>
    <row r="32">
      <c r="A32" s="4" t="inlineStr">
        <is>
          <t>3.2.7</t>
        </is>
      </c>
      <c r="B32" s="4" t="inlineStr">
        <is>
          <t>Anterior Translation</t>
        </is>
      </c>
      <c r="C32" s="4" t="inlineStr">
        <is>
          <t>The clinical instrument measures one component of a coupled event.</t>
        </is>
      </c>
    </row>
    <row r="33">
      <c r="A33" s="4" t="inlineStr">
        <is>
          <t>3.2.7</t>
        </is>
      </c>
      <c r="B33" s="4" t="inlineStr">
        <is>
          <t>Anterior Translation</t>
        </is>
      </c>
      <c r="C33" s="4" t="inlineStr">
        <is>
          <t>Secondary restraint failure is progressive, which is the mechanical case for early meniscal preservation.</t>
        </is>
      </c>
    </row>
    <row r="34">
      <c r="A34" s="4" t="inlineStr">
        <is>
          <t>3.2.7</t>
        </is>
      </c>
      <c r="B34" s="4" t="inlineStr">
        <is>
          <t>Anterior Translation</t>
        </is>
      </c>
      <c r="C34" s="4" t="inlineStr">
        <is>
          <t>Slope is a bony contribution to a problem usually described as ligamentous.</t>
        </is>
      </c>
    </row>
    <row r="35">
      <c r="A35" s="4" t="inlineStr">
        <is>
          <t>3.2.7</t>
        </is>
      </c>
      <c r="B35" s="4" t="inlineStr">
        <is>
          <t>Anterior Translation</t>
        </is>
      </c>
      <c r="C35" s="4" t="inlineStr">
        <is>
          <t>Arthrometry is adequate for groups and weak for individuals, which is the reverse of its common use.</t>
        </is>
      </c>
    </row>
    <row r="36">
      <c r="A36" s="4" t="inlineStr">
        <is>
          <t>3.2.7</t>
        </is>
      </c>
      <c r="B36" s="4" t="inlineStr">
        <is>
          <t>Anterior Translation</t>
        </is>
      </c>
      <c r="C36" s="4" t="inlineStr">
        <is>
          <t>Translation and rotation are reported with different precision, which shapes trial conclusions.</t>
        </is>
      </c>
    </row>
    <row r="37">
      <c r="A37" s="4" t="inlineStr">
        <is>
          <t>3.2.8</t>
        </is>
      </c>
      <c r="B37" s="4" t="inlineStr">
        <is>
          <t>Posterior Translation</t>
        </is>
      </c>
      <c r="C37" s="4" t="inlineStr">
        <is>
          <t>The cruciate is the restraint and the corner the modifier; flexion angle separates them.</t>
        </is>
      </c>
    </row>
    <row r="38">
      <c r="A38" s="4" t="inlineStr">
        <is>
          <t>3.2.8</t>
        </is>
      </c>
      <c r="B38" s="4" t="inlineStr">
        <is>
          <t>Posterior Translation</t>
        </is>
      </c>
      <c r="C38" s="4" t="inlineStr">
        <is>
          <t>Partial healing is why this ligament's natural history differs from the anterior cruciate's.</t>
        </is>
      </c>
    </row>
    <row r="39">
      <c r="A39" s="4" t="inlineStr">
        <is>
          <t>3.2.8</t>
        </is>
      </c>
      <c r="B39" s="4" t="inlineStr">
        <is>
          <t>Posterior Translation</t>
        </is>
      </c>
      <c r="C39" s="4" t="inlineStr">
        <is>
          <t>Posterior sag changes resting contact and loads compartments differently over time.</t>
        </is>
      </c>
    </row>
    <row r="40">
      <c r="A40" s="4" t="inlineStr">
        <is>
          <t>3.2.8</t>
        </is>
      </c>
      <c r="B40" s="4" t="inlineStr">
        <is>
          <t>Posterior Translation</t>
        </is>
      </c>
      <c r="C40" s="4" t="inlineStr">
        <is>
          <t>Stress radiography is underused here, because the clinical finding depends on starting position.</t>
        </is>
      </c>
    </row>
    <row r="41">
      <c r="A41" s="4" t="inlineStr">
        <is>
          <t>3.2.8</t>
        </is>
      </c>
      <c r="B41" s="4" t="inlineStr">
        <is>
          <t>Posterior Translation</t>
        </is>
      </c>
      <c r="C41" s="4" t="inlineStr">
        <is>
          <t>A varus limb with posterolateral laxity is a different problem from the same injury in a neutral one.</t>
        </is>
      </c>
    </row>
    <row r="42">
      <c r="A42" s="4" t="inlineStr">
        <is>
          <t>3.2.9</t>
        </is>
      </c>
      <c r="B42" s="4" t="inlineStr">
        <is>
          <t>Coupled Motion</t>
        </is>
      </c>
      <c r="C42" s="4" t="inlineStr">
        <is>
          <t>Rotatory and translational laxity dissociate after reconstruction because coupling splits them.</t>
        </is>
      </c>
    </row>
    <row r="43">
      <c r="A43" s="4" t="inlineStr">
        <is>
          <t>3.2.9</t>
        </is>
      </c>
      <c r="B43" s="4" t="inlineStr">
        <is>
          <t>Coupled Motion</t>
        </is>
      </c>
      <c r="C43" s="4" t="inlineStr">
        <is>
          <t>The anterolateral structures restrain the rotational half of the coupled pair.</t>
        </is>
      </c>
    </row>
    <row r="44">
      <c r="A44" s="4" t="inlineStr">
        <is>
          <t>3.2.9</t>
        </is>
      </c>
      <c r="B44" s="4" t="inlineStr">
        <is>
          <t>Coupled Motion</t>
        </is>
      </c>
      <c r="C44" s="4" t="inlineStr">
        <is>
          <t>Residual symptoms with a normal arthrometer reading are a coupling problem.</t>
        </is>
      </c>
    </row>
    <row r="45">
      <c r="A45" s="4" t="inlineStr">
        <is>
          <t>3.2.9</t>
        </is>
      </c>
      <c r="B45" s="4" t="inlineStr">
        <is>
          <t>Coupled Motion</t>
        </is>
      </c>
      <c r="C45" s="4" t="inlineStr">
        <is>
          <t>Posterior tibial slope and lateral plateau shape change the coupled rotation.</t>
        </is>
      </c>
    </row>
    <row r="46">
      <c r="A46" s="4" t="inlineStr">
        <is>
          <t>3.2.9</t>
        </is>
      </c>
      <c r="B46" s="4" t="inlineStr">
        <is>
          <t>Coupled Motion</t>
        </is>
      </c>
      <c r="C46" s="4" t="inlineStr">
        <is>
          <t>Sectioning order changes apportionment, which is a limitation of the method.</t>
        </is>
      </c>
    </row>
    <row r="47">
      <c r="A47" s="4" t="inlineStr">
        <is>
          <t>3.2.10</t>
        </is>
      </c>
      <c r="B47" s="4" t="inlineStr">
        <is>
          <t>Knee Stability During Motion</t>
        </is>
      </c>
      <c r="C47" s="4" t="inlineStr">
        <is>
          <t>Stability is a redundant system; redundancy preserves function and hides injury.</t>
        </is>
      </c>
    </row>
    <row r="48">
      <c r="A48" s="4" t="inlineStr">
        <is>
          <t>3.2.10</t>
        </is>
      </c>
      <c r="B48" s="4" t="inlineStr">
        <is>
          <t>Knee Stability During Motion</t>
        </is>
      </c>
      <c r="C48" s="4" t="inlineStr">
        <is>
          <t>The cost of redundancy is transferred load, which is the mechanical route to degeneration.</t>
        </is>
      </c>
    </row>
    <row r="49">
      <c r="A49" s="4" t="inlineStr">
        <is>
          <t>3.2.10</t>
        </is>
      </c>
      <c r="B49" s="4" t="inlineStr">
        <is>
          <t>Knee Stability During Motion</t>
        </is>
      </c>
      <c r="C49" s="4" t="inlineStr">
        <is>
          <t>A multiligament knee is a system failure rather than a sum of single injuries.</t>
        </is>
      </c>
    </row>
    <row r="50">
      <c r="A50" s="4" t="inlineStr">
        <is>
          <t>3.2.10</t>
        </is>
      </c>
      <c r="B50" s="4" t="inlineStr">
        <is>
          <t>Knee Stability During Motion</t>
        </is>
      </c>
      <c r="C50" s="4" t="inlineStr">
        <is>
          <t>Bony morphology and alignment change the demand on the soft tissue restraints.</t>
        </is>
      </c>
    </row>
    <row r="51">
      <c r="A51" s="4" t="inlineStr">
        <is>
          <t>3.2.10</t>
        </is>
      </c>
      <c r="B51" s="4" t="inlineStr">
        <is>
          <t>Knee Stability During Motion</t>
        </is>
      </c>
      <c r="C51" s="4" t="inlineStr">
        <is>
          <t>No single measurement captures stability.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3.2.1-P1</t>
        </is>
      </c>
      <c r="B3" s="4" t="inlineStr">
        <is>
          <t>3.2.1</t>
        </is>
      </c>
      <c r="C3" s="4" t="inlineStr">
        <is>
          <t>mrcs</t>
        </is>
      </c>
      <c r="D3" s="4" t="inlineStr">
        <is>
          <t>State the flexion angle whenever a laxity figure is recorded, because the same knee gives different answers at different angles.</t>
        </is>
      </c>
      <c r="E3" s="4" t="inlineStr"/>
      <c r="F3" s="4" t="inlineStr"/>
      <c r="G3" s="4" t="inlineStr"/>
    </row>
    <row r="4">
      <c r="A4" s="4" t="inlineStr">
        <is>
          <t>3.2.1-P2</t>
        </is>
      </c>
      <c r="B4" s="4" t="inlineStr">
        <is>
          <t>3.2.1</t>
        </is>
      </c>
      <c r="C4" s="4" t="inlineStr">
        <is>
          <t>mrcs</t>
        </is>
      </c>
      <c r="D4" s="4" t="inlineStr">
        <is>
          <t>Compare with the other side rather than with a published range, since individual variation exceeds most injury effects in the smaller degrees of freedom.</t>
        </is>
      </c>
      <c r="E4" s="4" t="inlineStr"/>
      <c r="F4" s="4" t="inlineStr"/>
      <c r="G4" s="4" t="inlineStr"/>
    </row>
    <row r="5">
      <c r="A5" s="4" t="inlineStr">
        <is>
          <t>3.2.1-P3</t>
        </is>
      </c>
      <c r="B5" s="4" t="inlineStr">
        <is>
          <t>3.2.1</t>
        </is>
      </c>
      <c r="C5" s="4" t="inlineStr">
        <is>
          <t>mrcs</t>
        </is>
      </c>
      <c r="D5" s="4" t="inlineStr">
        <is>
          <t>Expect a test to load more than one degree of freedom, and read a combination of findings rather than one.</t>
        </is>
      </c>
      <c r="E5" s="4" t="inlineStr"/>
      <c r="F5" s="4" t="inlineStr"/>
      <c r="G5" s="4" t="inlineStr"/>
    </row>
    <row r="6">
      <c r="A6" s="4" t="inlineStr">
        <is>
          <t>3.2.1-P4</t>
        </is>
      </c>
      <c r="B6" s="4" t="inlineStr">
        <is>
          <t>3.2.1</t>
        </is>
      </c>
      <c r="C6" s="4" t="inlineStr">
        <is>
          <t>frcs</t>
        </is>
      </c>
      <c r="D6" s="4" t="inlineStr">
        <is>
          <t>Treat the six as a set whose members trade against each other.</t>
        </is>
      </c>
      <c r="E6" s="4" t="inlineStr"/>
      <c r="F6" s="4" t="inlineStr"/>
      <c r="G6" s="4" t="inlineStr"/>
    </row>
    <row r="7">
      <c r="A7" s="4" t="inlineStr">
        <is>
          <t>3.2.1-P5</t>
        </is>
      </c>
      <c r="B7" s="4" t="inlineStr">
        <is>
          <t>3.2.1</t>
        </is>
      </c>
      <c r="C7" s="4" t="inlineStr">
        <is>
          <t>frcs</t>
        </is>
      </c>
      <c r="D7" s="4" t="inlineStr">
        <is>
          <t>Assess rotation as well as translation before accepting that a knee is stable, since the instrument exists for one and not the other.</t>
        </is>
      </c>
      <c r="E7" s="4" t="inlineStr"/>
      <c r="F7" s="4" t="inlineStr"/>
      <c r="G7" s="4" t="inlineStr"/>
    </row>
    <row r="8">
      <c r="A8" s="4" t="inlineStr">
        <is>
          <t>3.2.1-P6</t>
        </is>
      </c>
      <c r="B8" s="4" t="inlineStr">
        <is>
          <t>3.2.1</t>
        </is>
      </c>
      <c r="C8" s="4" t="inlineStr">
        <is>
          <t>frcs</t>
        </is>
      </c>
      <c r="D8" s="4" t="inlineStr">
        <is>
          <t>Consider what a construct constrains beyond its target, because the trade is real and is reported by patients as stiffness rather than as over-constraint.</t>
        </is>
      </c>
      <c r="E8" s="4" t="inlineStr"/>
      <c r="F8" s="4" t="inlineStr"/>
      <c r="G8" s="4" t="inlineStr"/>
    </row>
    <row r="9">
      <c r="A9" s="4" t="inlineStr">
        <is>
          <t>3.2.1-P7</t>
        </is>
      </c>
      <c r="B9" s="4" t="inlineStr">
        <is>
          <t>3.2.1</t>
        </is>
      </c>
      <c r="C9" s="4" t="inlineStr">
        <is>
          <t>frcs</t>
        </is>
      </c>
      <c r="D9" s="4" t="inlineStr">
        <is>
          <t>Record laxity with its flexion angle and its comparison side, so a later assessment can be read against it.</t>
        </is>
      </c>
      <c r="E9" s="4" t="inlineStr"/>
      <c r="F9" s="4" t="inlineStr"/>
      <c r="G9" s="4" t="inlineStr"/>
    </row>
    <row r="10">
      <c r="A10" s="4" t="inlineStr">
        <is>
          <t>3.2.1-P8</t>
        </is>
      </c>
      <c r="B10" s="4" t="inlineStr">
        <is>
          <t>3.2.1</t>
        </is>
      </c>
      <c r="C10" s="4" t="inlineStr">
        <is>
          <t>frcs</t>
        </is>
      </c>
      <c r="D10" s="4" t="inlineStr">
        <is>
          <t>Avoid describing a knee as stable on the basis of the degree of freedom that happens to have an instrument.</t>
        </is>
      </c>
      <c r="E10" s="4" t="inlineStr"/>
      <c r="F10" s="4" t="inlineStr"/>
      <c r="G10" s="4" t="inlineStr"/>
    </row>
    <row r="11">
      <c r="A11" s="4" t="inlineStr">
        <is>
          <t>3.2.2-P1</t>
        </is>
      </c>
      <c r="B11" s="4" t="inlineStr">
        <is>
          <t>3.2.2</t>
        </is>
      </c>
      <c r="C11" s="4" t="inlineStr">
        <is>
          <t>mrcs</t>
        </is>
      </c>
      <c r="D11" s="4" t="inlineStr">
        <is>
          <t>Record two numbers and name the deficit, because an arc alone conceals fixed flexion.</t>
        </is>
      </c>
      <c r="E11" s="4" t="inlineStr"/>
      <c r="F11" s="4" t="inlineStr"/>
      <c r="G11" s="4" t="inlineStr"/>
    </row>
    <row r="12">
      <c r="A12" s="4" t="inlineStr">
        <is>
          <t>3.2.2-P2</t>
        </is>
      </c>
      <c r="B12" s="4" t="inlineStr">
        <is>
          <t>3.2.2</t>
        </is>
      </c>
      <c r="C12" s="4" t="inlineStr">
        <is>
          <t>mrcs</t>
        </is>
      </c>
      <c r="D12" s="4" t="inlineStr">
        <is>
          <t>Expect effusion to limit flexion early, and reassess range once it has settled rather than recording a limited range as fixed.</t>
        </is>
      </c>
      <c r="E12" s="4" t="inlineStr"/>
      <c r="F12" s="4" t="inlineStr"/>
      <c r="G12" s="4" t="inlineStr"/>
    </row>
    <row r="13">
      <c r="A13" s="4" t="inlineStr">
        <is>
          <t>3.2.2-P3</t>
        </is>
      </c>
      <c r="B13" s="4" t="inlineStr">
        <is>
          <t>3.2.2</t>
        </is>
      </c>
      <c r="C13" s="4" t="inlineStr">
        <is>
          <t>frcs</t>
        </is>
      </c>
      <c r="D13" s="4" t="inlineStr">
        <is>
          <t>Treat the flexion arc as the product of surface geometry and ligament length, and note that surgery can alter either independently.</t>
        </is>
      </c>
      <c r="E13" s="4" t="inlineStr"/>
      <c r="F13" s="4" t="inlineStr"/>
      <c r="G13" s="4" t="inlineStr"/>
    </row>
    <row r="14">
      <c r="A14" s="4" t="inlineStr">
        <is>
          <t>3.2.2-P4</t>
        </is>
      </c>
      <c r="B14" s="4" t="inlineStr">
        <is>
          <t>3.2.2</t>
        </is>
      </c>
      <c r="C14" s="4" t="inlineStr">
        <is>
          <t>frcs</t>
        </is>
      </c>
      <c r="D14" s="4" t="inlineStr">
        <is>
          <t>Measure extension deliberately rather than as part of a sweep, since small deficits are both the hardest to measure and the most disabling.</t>
        </is>
      </c>
      <c r="E14" s="4" t="inlineStr"/>
      <c r="F14" s="4" t="inlineStr"/>
      <c r="G14" s="4" t="inlineStr"/>
    </row>
    <row r="15">
      <c r="A15" s="4" t="inlineStr">
        <is>
          <t>3.2.2-P5</t>
        </is>
      </c>
      <c r="B15" s="4" t="inlineStr">
        <is>
          <t>3.2.2</t>
        </is>
      </c>
      <c r="C15" s="4" t="inlineStr">
        <is>
          <t>frcs</t>
        </is>
      </c>
      <c r="D15" s="4" t="inlineStr">
        <is>
          <t>Record passive and active range separately when assessing a stiff knee, because the difference localises the cause.</t>
        </is>
      </c>
      <c r="E15" s="4" t="inlineStr"/>
      <c r="F15" s="4" t="inlineStr"/>
      <c r="G15" s="4" t="inlineStr"/>
    </row>
    <row r="16">
      <c r="A16" s="4" t="inlineStr">
        <is>
          <t>3.2.2-P6</t>
        </is>
      </c>
      <c r="B16" s="4" t="inlineStr">
        <is>
          <t>3.2.2</t>
        </is>
      </c>
      <c r="C16" s="4" t="inlineStr">
        <is>
          <t>frcs</t>
        </is>
      </c>
      <c r="D16" s="4" t="inlineStr">
        <is>
          <t>Consider slope and offset when a knee does not achieve its expected arc after surgery.</t>
        </is>
      </c>
      <c r="E16" s="4" t="inlineStr"/>
      <c r="F16" s="4" t="inlineStr"/>
      <c r="G16" s="4" t="inlineStr"/>
    </row>
    <row r="17">
      <c r="A17" s="4" t="inlineStr">
        <is>
          <t>3.2.2-P7</t>
        </is>
      </c>
      <c r="B17" s="4" t="inlineStr">
        <is>
          <t>3.2.2</t>
        </is>
      </c>
      <c r="C17" s="4" t="inlineStr">
        <is>
          <t>frcs</t>
        </is>
      </c>
      <c r="D17" s="4" t="inlineStr">
        <is>
          <t>Avoid quoting a design's published flexion as a patient's expected flexion.</t>
        </is>
      </c>
      <c r="E17" s="4" t="inlineStr"/>
      <c r="F17" s="4" t="inlineStr"/>
      <c r="G17" s="4" t="inlineStr"/>
    </row>
    <row r="18">
      <c r="A18" s="4" t="inlineStr">
        <is>
          <t>3.2.3-P1</t>
        </is>
      </c>
      <c r="B18" s="4" t="inlineStr">
        <is>
          <t>3.2.3</t>
        </is>
      </c>
      <c r="C18" s="4" t="inlineStr">
        <is>
          <t>mrcs</t>
        </is>
      </c>
      <c r="D18" s="4" t="inlineStr">
        <is>
          <t>Grade the pivot shift and record the grade, because it is the only routine measure of this motion.</t>
        </is>
      </c>
      <c r="E18" s="4" t="inlineStr"/>
      <c r="F18" s="4" t="inlineStr"/>
      <c r="G18" s="4" t="inlineStr"/>
    </row>
    <row r="19">
      <c r="A19" s="4" t="inlineStr">
        <is>
          <t>3.2.3-P2</t>
        </is>
      </c>
      <c r="B19" s="4" t="inlineStr">
        <is>
          <t>3.2.3</t>
        </is>
      </c>
      <c r="C19" s="4" t="inlineStr">
        <is>
          <t>mrcs</t>
        </is>
      </c>
      <c r="D19" s="4" t="inlineStr">
        <is>
          <t>Expect a combined anterior cruciate and anterolateral injury to produce more rotation than either alone.</t>
        </is>
      </c>
      <c r="E19" s="4" t="inlineStr"/>
      <c r="F19" s="4" t="inlineStr"/>
      <c r="G19" s="4" t="inlineStr"/>
    </row>
    <row r="20">
      <c r="A20" s="4" t="inlineStr">
        <is>
          <t>3.2.3-P3</t>
        </is>
      </c>
      <c r="B20" s="4" t="inlineStr">
        <is>
          <t>3.2.3</t>
        </is>
      </c>
      <c r="C20" s="4" t="inlineStr">
        <is>
          <t>frcs</t>
        </is>
      </c>
      <c r="D20" s="4" t="inlineStr">
        <is>
          <t>Treat internal rotation as the degree of freedom that exposes the limits of current practice: it is the motion patients complain about, the one surgery most often fails to restore, and the one with no number.</t>
        </is>
      </c>
      <c r="E20" s="4" t="inlineStr"/>
      <c r="F20" s="4" t="inlineStr"/>
      <c r="G20" s="4" t="inlineStr"/>
    </row>
    <row r="21">
      <c r="A21" s="4" t="inlineStr">
        <is>
          <t>3.2.3-P4</t>
        </is>
      </c>
      <c r="B21" s="4" t="inlineStr">
        <is>
          <t>3.2.3</t>
        </is>
      </c>
      <c r="C21" s="4" t="inlineStr">
        <is>
          <t>frcs</t>
        </is>
      </c>
      <c r="D21" s="4" t="inlineStr">
        <is>
          <t>Grade and document rotation at every assessment, since the absence of an instrument makes the serial record the only comparison available.</t>
        </is>
      </c>
      <c r="E21" s="4" t="inlineStr"/>
      <c r="F21" s="4" t="inlineStr"/>
      <c r="G21" s="4" t="inlineStr"/>
    </row>
    <row r="22">
      <c r="A22" s="4" t="inlineStr">
        <is>
          <t>3.2.3-P5</t>
        </is>
      </c>
      <c r="B22" s="4" t="inlineStr">
        <is>
          <t>3.2.3</t>
        </is>
      </c>
      <c r="C22" s="4" t="inlineStr">
        <is>
          <t>frcs</t>
        </is>
      </c>
      <c r="D22" s="4" t="inlineStr">
        <is>
          <t>Consider an anterolateral procedure where rotational laxity is high, and understand it as restoring a distributed restraint rather than replacing a structure.</t>
        </is>
      </c>
      <c r="E22" s="4" t="inlineStr"/>
      <c r="F22" s="4" t="inlineStr"/>
      <c r="G22" s="4" t="inlineStr"/>
    </row>
    <row r="23">
      <c r="A23" s="4" t="inlineStr">
        <is>
          <t>3.2.3-P6</t>
        </is>
      </c>
      <c r="B23" s="4" t="inlineStr">
        <is>
          <t>3.2.3</t>
        </is>
      </c>
      <c r="C23" s="4" t="inlineStr">
        <is>
          <t>frcs</t>
        </is>
      </c>
      <c r="D23" s="4" t="inlineStr">
        <is>
          <t>Set expectations in terms of rotation rather than translation, because that is what patients describe.</t>
        </is>
      </c>
      <c r="E23" s="4" t="inlineStr"/>
      <c r="F23" s="4" t="inlineStr"/>
      <c r="G23" s="4" t="inlineStr"/>
    </row>
    <row r="24">
      <c r="A24" s="4" t="inlineStr">
        <is>
          <t>3.2.3-P7</t>
        </is>
      </c>
      <c r="B24" s="4" t="inlineStr">
        <is>
          <t>3.2.3</t>
        </is>
      </c>
      <c r="C24" s="4" t="inlineStr">
        <is>
          <t>frcs</t>
        </is>
      </c>
      <c r="D24" s="4" t="inlineStr">
        <is>
          <t>Avoid reading a normal arthrometer reading as a stable knee.</t>
        </is>
      </c>
      <c r="E24" s="4" t="inlineStr"/>
      <c r="F24" s="4" t="inlineStr"/>
      <c r="G24" s="4" t="inlineStr"/>
    </row>
    <row r="25">
      <c r="A25" s="4" t="inlineStr">
        <is>
          <t>3.2.4-P1</t>
        </is>
      </c>
      <c r="B25" s="4" t="inlineStr">
        <is>
          <t>3.2.4</t>
        </is>
      </c>
      <c r="C25" s="4" t="inlineStr">
        <is>
          <t>mrcs</t>
        </is>
      </c>
      <c r="D25" s="4" t="inlineStr">
        <is>
          <t>Examine the posterior cruciate in any knee with increased external rotation at 90 degrees.</t>
        </is>
      </c>
      <c r="E25" s="4" t="inlineStr"/>
      <c r="F25" s="4" t="inlineStr"/>
      <c r="G25" s="4" t="inlineStr"/>
    </row>
    <row r="26">
      <c r="A26" s="4" t="inlineStr">
        <is>
          <t>3.2.4-P2</t>
        </is>
      </c>
      <c r="B26" s="4" t="inlineStr">
        <is>
          <t>3.2.4</t>
        </is>
      </c>
      <c r="C26" s="4" t="inlineStr">
        <is>
          <t>mrcs</t>
        </is>
      </c>
      <c r="D26" s="4" t="inlineStr">
        <is>
          <t>Compare sides rather than using an absolute threshold, since baseline rotation varies between people.</t>
        </is>
      </c>
      <c r="E26" s="4" t="inlineStr"/>
      <c r="F26" s="4" t="inlineStr"/>
      <c r="G26" s="4" t="inlineStr"/>
    </row>
    <row r="27">
      <c r="A27" s="4" t="inlineStr">
        <is>
          <t>3.2.4-P3</t>
        </is>
      </c>
      <c r="B27" s="4" t="inlineStr">
        <is>
          <t>3.2.4</t>
        </is>
      </c>
      <c r="C27" s="4" t="inlineStr">
        <is>
          <t>frcs</t>
        </is>
      </c>
      <c r="D27" s="4" t="inlineStr">
        <is>
          <t>Treat increased external rotation as a localising sign rather than a severity measure.</t>
        </is>
      </c>
      <c r="E27" s="4" t="inlineStr"/>
      <c r="F27" s="4" t="inlineStr"/>
      <c r="G27" s="4" t="inlineStr"/>
    </row>
    <row r="28">
      <c r="A28" s="4" t="inlineStr">
        <is>
          <t>3.2.4-P4</t>
        </is>
      </c>
      <c r="B28" s="4" t="inlineStr">
        <is>
          <t>3.2.4</t>
        </is>
      </c>
      <c r="C28" s="4" t="inlineStr">
        <is>
          <t>frcs</t>
        </is>
      </c>
      <c r="D28" s="4" t="inlineStr">
        <is>
          <t>Assess alignment in any knee with a posterolateral finding, before planning a soft tissue procedure.</t>
        </is>
      </c>
      <c r="E28" s="4" t="inlineStr"/>
      <c r="F28" s="4" t="inlineStr"/>
      <c r="G28" s="4" t="inlineStr"/>
    </row>
    <row r="29">
      <c r="A29" s="4" t="inlineStr">
        <is>
          <t>3.2.4-P5</t>
        </is>
      </c>
      <c r="B29" s="4" t="inlineStr">
        <is>
          <t>3.2.4</t>
        </is>
      </c>
      <c r="C29" s="4" t="inlineStr">
        <is>
          <t>frcs</t>
        </is>
      </c>
      <c r="D29" s="4" t="inlineStr">
        <is>
          <t>Read continuity on imaging as insufficient to exclude a corner injury, since tissue heals long.</t>
        </is>
      </c>
      <c r="E29" s="4" t="inlineStr"/>
      <c r="F29" s="4" t="inlineStr"/>
      <c r="G29" s="4" t="inlineStr"/>
    </row>
    <row r="30">
      <c r="A30" s="4" t="inlineStr">
        <is>
          <t>3.2.4-P6</t>
        </is>
      </c>
      <c r="B30" s="4" t="inlineStr">
        <is>
          <t>3.2.4</t>
        </is>
      </c>
      <c r="C30" s="4" t="inlineStr">
        <is>
          <t>frcs</t>
        </is>
      </c>
      <c r="D30" s="4" t="inlineStr">
        <is>
          <t>Record both dial angles and the side difference at every assessment, since this is the one rotation with a serial number available.</t>
        </is>
      </c>
      <c r="E30" s="4" t="inlineStr"/>
      <c r="F30" s="4" t="inlineStr"/>
      <c r="G30" s="4" t="inlineStr"/>
    </row>
    <row r="31">
      <c r="A31" s="4" t="inlineStr">
        <is>
          <t>3.2.4-P7</t>
        </is>
      </c>
      <c r="B31" s="4" t="inlineStr">
        <is>
          <t>3.2.4</t>
        </is>
      </c>
      <c r="C31" s="4" t="inlineStr">
        <is>
          <t>frcs</t>
        </is>
      </c>
      <c r="D31" s="4" t="inlineStr">
        <is>
          <t>Avoid treating the 10 degree threshold as a boundary rather than a convention.</t>
        </is>
      </c>
      <c r="E31" s="4" t="inlineStr"/>
      <c r="F31" s="4" t="inlineStr"/>
      <c r="G31" s="4" t="inlineStr"/>
    </row>
    <row r="32">
      <c r="A32" s="4" t="inlineStr">
        <is>
          <t>3.2.5-P1</t>
        </is>
      </c>
      <c r="B32" s="4" t="inlineStr">
        <is>
          <t>3.2.5</t>
        </is>
      </c>
      <c r="C32" s="4" t="inlineStr">
        <is>
          <t>mrcs</t>
        </is>
      </c>
      <c r="D32" s="4" t="inlineStr">
        <is>
          <t>Measure alignment on a long leg film in any knee with coronal laxity, because the two together decide the treatment.</t>
        </is>
      </c>
      <c r="E32" s="4" t="inlineStr"/>
      <c r="F32" s="4" t="inlineStr"/>
      <c r="G32" s="4" t="inlineStr"/>
    </row>
    <row r="33">
      <c r="A33" s="4" t="inlineStr">
        <is>
          <t>3.2.5-P2</t>
        </is>
      </c>
      <c r="B33" s="4" t="inlineStr">
        <is>
          <t>3.2.5</t>
        </is>
      </c>
      <c r="C33" s="4" t="inlineStr">
        <is>
          <t>mrcs</t>
        </is>
      </c>
      <c r="D33" s="4" t="inlineStr">
        <is>
          <t>Expect laxity and alignment to drive each other, which is the argument for correcting alignment alongside any lateral reconstruction.</t>
        </is>
      </c>
      <c r="E33" s="4" t="inlineStr"/>
      <c r="F33" s="4" t="inlineStr"/>
      <c r="G33" s="4" t="inlineStr"/>
    </row>
    <row r="34">
      <c r="A34" s="4" t="inlineStr">
        <is>
          <t>3.2.5-P3</t>
        </is>
      </c>
      <c r="B34" s="4" t="inlineStr">
        <is>
          <t>3.2.5</t>
        </is>
      </c>
      <c r="C34" s="4" t="inlineStr">
        <is>
          <t>frcs</t>
        </is>
      </c>
      <c r="D34" s="4" t="inlineStr">
        <is>
          <t>Treat varus as a system rather than a sign.</t>
        </is>
      </c>
      <c r="E34" s="4" t="inlineStr"/>
      <c r="F34" s="4" t="inlineStr"/>
      <c r="G34" s="4" t="inlineStr"/>
    </row>
    <row r="35">
      <c r="A35" s="4" t="inlineStr">
        <is>
          <t>3.2.5-P4</t>
        </is>
      </c>
      <c r="B35" s="4" t="inlineStr">
        <is>
          <t>3.2.5</t>
        </is>
      </c>
      <c r="C35" s="4" t="inlineStr">
        <is>
          <t>frcs</t>
        </is>
      </c>
      <c r="D35" s="4" t="inlineStr">
        <is>
          <t>Correct alignment before or with a lateral reconstruction in a varus limb, and say so in the plan rather than treating it as optional.</t>
        </is>
      </c>
      <c r="E35" s="4" t="inlineStr"/>
      <c r="F35" s="4" t="inlineStr"/>
      <c r="G35" s="4" t="inlineStr"/>
    </row>
    <row r="36">
      <c r="A36" s="4" t="inlineStr">
        <is>
          <t>3.2.5-P5</t>
        </is>
      </c>
      <c r="B36" s="4" t="inlineStr">
        <is>
          <t>3.2.5</t>
        </is>
      </c>
      <c r="C36" s="4" t="inlineStr">
        <is>
          <t>frcs</t>
        </is>
      </c>
      <c r="D36" s="4" t="inlineStr">
        <is>
          <t>Measure on weight bearing films, since a supine measurement describes an unloaded knee.</t>
        </is>
      </c>
      <c r="E36" s="4" t="inlineStr"/>
      <c r="F36" s="4" t="inlineStr"/>
      <c r="G36" s="4" t="inlineStr"/>
    </row>
    <row r="37">
      <c r="A37" s="4" t="inlineStr">
        <is>
          <t>3.2.5-P6</t>
        </is>
      </c>
      <c r="B37" s="4" t="inlineStr">
        <is>
          <t>3.2.5</t>
        </is>
      </c>
      <c r="C37" s="4" t="inlineStr">
        <is>
          <t>frcs</t>
        </is>
      </c>
      <c r="D37" s="4" t="inlineStr">
        <is>
          <t>Record thrust explicitly, because it predicts the mechanical environment a construct will live in.</t>
        </is>
      </c>
      <c r="E37" s="4" t="inlineStr"/>
      <c r="F37" s="4" t="inlineStr"/>
      <c r="G37" s="4" t="inlineStr"/>
    </row>
    <row r="38">
      <c r="A38" s="4" t="inlineStr">
        <is>
          <t>3.2.5-P7</t>
        </is>
      </c>
      <c r="B38" s="4" t="inlineStr">
        <is>
          <t>3.2.5</t>
        </is>
      </c>
      <c r="C38" s="4" t="inlineStr">
        <is>
          <t>frcs</t>
        </is>
      </c>
      <c r="D38" s="4" t="inlineStr">
        <is>
          <t>Avoid reconstructing laxity in a limb whose alignment caused it.</t>
        </is>
      </c>
      <c r="E38" s="4" t="inlineStr"/>
      <c r="F38" s="4" t="inlineStr"/>
      <c r="G38" s="4" t="inlineStr"/>
    </row>
    <row r="39">
      <c r="A39" s="4" t="inlineStr">
        <is>
          <t>3.2.6-P1</t>
        </is>
      </c>
      <c r="B39" s="4" t="inlineStr">
        <is>
          <t>3.2.6</t>
        </is>
      </c>
      <c r="C39" s="4" t="inlineStr">
        <is>
          <t>mrcs</t>
        </is>
      </c>
      <c r="D39" s="4" t="inlineStr">
        <is>
          <t>Examine the anterior cruciate in any complete medial injury.</t>
        </is>
      </c>
      <c r="E39" s="4" t="inlineStr"/>
      <c r="F39" s="4" t="inlineStr"/>
      <c r="G39" s="4" t="inlineStr"/>
    </row>
    <row r="40">
      <c r="A40" s="4" t="inlineStr">
        <is>
          <t>3.2.6-P2</t>
        </is>
      </c>
      <c r="B40" s="4" t="inlineStr">
        <is>
          <t>3.2.6</t>
        </is>
      </c>
      <c r="C40" s="4" t="inlineStr">
        <is>
          <t>mrcs</t>
        </is>
      </c>
      <c r="D40" s="4" t="inlineStr">
        <is>
          <t>Treat bracing as a mechanical intervention aimed at healing position, and explain it that way.</t>
        </is>
      </c>
      <c r="E40" s="4" t="inlineStr"/>
      <c r="F40" s="4" t="inlineStr"/>
      <c r="G40" s="4" t="inlineStr"/>
    </row>
    <row r="41">
      <c r="A41" s="4" t="inlineStr">
        <is>
          <t>3.2.6-P3</t>
        </is>
      </c>
      <c r="B41" s="4" t="inlineStr">
        <is>
          <t>3.2.6</t>
        </is>
      </c>
      <c r="C41" s="4" t="inlineStr">
        <is>
          <t>frcs</t>
        </is>
      </c>
      <c r="D41" s="4" t="inlineStr">
        <is>
          <t>Treat medial laxity as a question about length rather than continuity.</t>
        </is>
      </c>
      <c r="E41" s="4" t="inlineStr"/>
      <c r="F41" s="4" t="inlineStr"/>
      <c r="G41" s="4" t="inlineStr"/>
    </row>
    <row r="42">
      <c r="A42" s="4" t="inlineStr">
        <is>
          <t>3.2.6-P4</t>
        </is>
      </c>
      <c r="B42" s="4" t="inlineStr">
        <is>
          <t>3.2.6</t>
        </is>
      </c>
      <c r="C42" s="4" t="inlineStr">
        <is>
          <t>frcs</t>
        </is>
      </c>
      <c r="D42" s="4" t="inlineStr">
        <is>
          <t>Delay the decision in an isolated medial injury where the anatomy says healing is likely, and re-examine rather than operating on the first finding.</t>
        </is>
      </c>
      <c r="E42" s="4" t="inlineStr"/>
      <c r="F42" s="4" t="inlineStr"/>
      <c r="G42" s="4" t="inlineStr"/>
    </row>
    <row r="43">
      <c r="A43" s="4" t="inlineStr">
        <is>
          <t>3.2.6-P5</t>
        </is>
      </c>
      <c r="B43" s="4" t="inlineStr">
        <is>
          <t>3.2.6</t>
        </is>
      </c>
      <c r="C43" s="4" t="inlineStr">
        <is>
          <t>frcs</t>
        </is>
      </c>
      <c r="D43" s="4" t="inlineStr">
        <is>
          <t>Assess alignment before reconstructing chronic medial laxity, since a valgus limb protects a medial reconstruction and a varus one does not.</t>
        </is>
      </c>
      <c r="E43" s="4" t="inlineStr"/>
      <c r="F43" s="4" t="inlineStr"/>
      <c r="G43" s="4" t="inlineStr"/>
    </row>
    <row r="44">
      <c r="A44" s="4" t="inlineStr">
        <is>
          <t>3.2.6-P6</t>
        </is>
      </c>
      <c r="B44" s="4" t="inlineStr">
        <is>
          <t>3.2.6</t>
        </is>
      </c>
      <c r="C44" s="4" t="inlineStr">
        <is>
          <t>frcs</t>
        </is>
      </c>
      <c r="D44" s="4" t="inlineStr">
        <is>
          <t>Consider shortening rather than only reattaching in a chronic injury, because the problem is length.</t>
        </is>
      </c>
      <c r="E44" s="4" t="inlineStr"/>
      <c r="F44" s="4" t="inlineStr"/>
      <c r="G44" s="4" t="inlineStr"/>
    </row>
    <row r="45">
      <c r="A45" s="4" t="inlineStr">
        <is>
          <t>3.2.6-P7</t>
        </is>
      </c>
      <c r="B45" s="4" t="inlineStr">
        <is>
          <t>3.2.6</t>
        </is>
      </c>
      <c r="C45" s="4" t="inlineStr">
        <is>
          <t>frcs</t>
        </is>
      </c>
      <c r="D45" s="4" t="inlineStr">
        <is>
          <t>Avoid reading continuity on imaging as competence.</t>
        </is>
      </c>
      <c r="E45" s="4" t="inlineStr"/>
      <c r="F45" s="4" t="inlineStr"/>
      <c r="G45" s="4" t="inlineStr"/>
    </row>
    <row r="46">
      <c r="A46" s="4" t="inlineStr">
        <is>
          <t>3.2.7-P1</t>
        </is>
      </c>
      <c r="B46" s="4" t="inlineStr">
        <is>
          <t>3.2.7</t>
        </is>
      </c>
      <c r="C46" s="4" t="inlineStr">
        <is>
          <t>mrcs</t>
        </is>
      </c>
      <c r="D46" s="4" t="inlineStr">
        <is>
          <t>Examine the menisci in a chronic cruciate deficient knee, because the secondary restraint is under load and fails over time.</t>
        </is>
      </c>
      <c r="E46" s="4" t="inlineStr"/>
      <c r="F46" s="4" t="inlineStr"/>
      <c r="G46" s="4" t="inlineStr"/>
    </row>
    <row r="47">
      <c r="A47" s="4" t="inlineStr">
        <is>
          <t>3.2.7-P2</t>
        </is>
      </c>
      <c r="B47" s="4" t="inlineStr">
        <is>
          <t>3.2.7</t>
        </is>
      </c>
      <c r="C47" s="4" t="inlineStr">
        <is>
          <t>mrcs</t>
        </is>
      </c>
      <c r="D47" s="4" t="inlineStr">
        <is>
          <t>Measure side to side rather than absolute, since baseline laxity varies widely.</t>
        </is>
      </c>
      <c r="E47" s="4" t="inlineStr"/>
      <c r="F47" s="4" t="inlineStr"/>
      <c r="G47" s="4" t="inlineStr"/>
    </row>
    <row r="48">
      <c r="A48" s="4" t="inlineStr">
        <is>
          <t>3.2.7-P3</t>
        </is>
      </c>
      <c r="B48" s="4" t="inlineStr">
        <is>
          <t>3.2.7</t>
        </is>
      </c>
      <c r="C48" s="4" t="inlineStr">
        <is>
          <t>mrcs</t>
        </is>
      </c>
      <c r="D48" s="4" t="inlineStr">
        <is>
          <t>Avoid concluding that a knee is stable from a normal arthrometer reading alone.</t>
        </is>
      </c>
      <c r="E48" s="4" t="inlineStr"/>
      <c r="F48" s="4" t="inlineStr"/>
      <c r="G48" s="4" t="inlineStr"/>
    </row>
    <row r="49">
      <c r="A49" s="4" t="inlineStr">
        <is>
          <t>3.2.7-P4</t>
        </is>
      </c>
      <c r="B49" s="4" t="inlineStr">
        <is>
          <t>3.2.7</t>
        </is>
      </c>
      <c r="C49" s="4" t="inlineStr">
        <is>
          <t>frcs</t>
        </is>
      </c>
      <c r="D49" s="4" t="inlineStr">
        <is>
          <t>Treat anterior translation as a partial description of anterior instability.</t>
        </is>
      </c>
      <c r="E49" s="4" t="inlineStr"/>
      <c r="F49" s="4" t="inlineStr"/>
      <c r="G49" s="4" t="inlineStr"/>
    </row>
    <row r="50">
      <c r="A50" s="4" t="inlineStr">
        <is>
          <t>3.2.7-P5</t>
        </is>
      </c>
      <c r="B50" s="4" t="inlineStr">
        <is>
          <t>3.2.7</t>
        </is>
      </c>
      <c r="C50" s="4" t="inlineStr">
        <is>
          <t>frcs</t>
        </is>
      </c>
      <c r="D50" s="4" t="inlineStr">
        <is>
          <t>Assess rotation alongside translation before judging a reconstruction, since only one of the two has an instrument.</t>
        </is>
      </c>
      <c r="E50" s="4" t="inlineStr"/>
      <c r="F50" s="4" t="inlineStr"/>
      <c r="G50" s="4" t="inlineStr"/>
    </row>
    <row r="51">
      <c r="A51" s="4" t="inlineStr">
        <is>
          <t>3.2.7-P6</t>
        </is>
      </c>
      <c r="B51" s="4" t="inlineStr">
        <is>
          <t>3.2.7</t>
        </is>
      </c>
      <c r="C51" s="4" t="inlineStr">
        <is>
          <t>frcs</t>
        </is>
      </c>
      <c r="D51" s="4" t="inlineStr">
        <is>
          <t>Measure slope in a revision, because it is a modifiable bony cause of a repeated ligamentous failure.</t>
        </is>
      </c>
      <c r="E51" s="4" t="inlineStr"/>
      <c r="F51" s="4" t="inlineStr"/>
      <c r="G51" s="4" t="inlineStr"/>
    </row>
    <row r="52">
      <c r="A52" s="4" t="inlineStr">
        <is>
          <t>3.2.7-P7</t>
        </is>
      </c>
      <c r="B52" s="4" t="inlineStr">
        <is>
          <t>3.2.7</t>
        </is>
      </c>
      <c r="C52" s="4" t="inlineStr">
        <is>
          <t>frcs</t>
        </is>
      </c>
      <c r="D52" s="4" t="inlineStr">
        <is>
          <t>Preserve meniscal tissue in a cruciate deficient knee, since the secondary restraint protects the primary one and the graft that replaces it.</t>
        </is>
      </c>
      <c r="E52" s="4" t="inlineStr"/>
      <c r="F52" s="4" t="inlineStr"/>
      <c r="G52" s="4" t="inlineStr"/>
    </row>
    <row r="53">
      <c r="A53" s="4" t="inlineStr">
        <is>
          <t>3.2.7-P8</t>
        </is>
      </c>
      <c r="B53" s="4" t="inlineStr">
        <is>
          <t>3.2.7</t>
        </is>
      </c>
      <c r="C53" s="4" t="inlineStr">
        <is>
          <t>frcs</t>
        </is>
      </c>
      <c r="D53" s="4" t="inlineStr">
        <is>
          <t>Avoid treating a measured translation as the outcome of interest when the patient's complaint is rotational.</t>
        </is>
      </c>
      <c r="E53" s="4" t="inlineStr"/>
      <c r="F53" s="4" t="inlineStr"/>
      <c r="G53" s="4" t="inlineStr"/>
    </row>
    <row r="54">
      <c r="A54" s="4" t="inlineStr">
        <is>
          <t>3.2.8-P1</t>
        </is>
      </c>
      <c r="B54" s="4" t="inlineStr">
        <is>
          <t>3.2.8</t>
        </is>
      </c>
      <c r="C54" s="4" t="inlineStr">
        <is>
          <t>medical_student</t>
        </is>
      </c>
      <c r="D54" s="4" t="inlineStr">
        <is>
          <t>Read the resting step off before pushing.</t>
        </is>
      </c>
      <c r="E54" s="4" t="inlineStr"/>
      <c r="F54" s="4" t="inlineStr"/>
      <c r="G54" s="4" t="inlineStr"/>
    </row>
    <row r="55">
      <c r="A55" s="4" t="inlineStr">
        <is>
          <t>3.2.8-P2</t>
        </is>
      </c>
      <c r="B55" s="4" t="inlineStr">
        <is>
          <t>3.2.8</t>
        </is>
      </c>
      <c r="C55" s="4" t="inlineStr">
        <is>
          <t>mrcs</t>
        </is>
      </c>
      <c r="D55" s="4" t="inlineStr">
        <is>
          <t>Examine the posterolateral corner in every posterior cruciate injury, since the combination changes the treatment.</t>
        </is>
      </c>
      <c r="E55" s="4" t="inlineStr"/>
      <c r="F55" s="4" t="inlineStr"/>
      <c r="G55" s="4" t="inlineStr"/>
    </row>
    <row r="56">
      <c r="A56" s="4" t="inlineStr">
        <is>
          <t>3.2.8-P3</t>
        </is>
      </c>
      <c r="B56" s="4" t="inlineStr">
        <is>
          <t>3.2.8</t>
        </is>
      </c>
      <c r="C56" s="4" t="inlineStr">
        <is>
          <t>mrcs</t>
        </is>
      </c>
      <c r="D56" s="4" t="inlineStr">
        <is>
          <t>Read an intact posterior cruciate on imaging as compatible with laxity, because healing in continuity at length is common.</t>
        </is>
      </c>
      <c r="E56" s="4" t="inlineStr"/>
      <c r="F56" s="4" t="inlineStr"/>
      <c r="G56" s="4" t="inlineStr"/>
    </row>
    <row r="57">
      <c r="A57" s="4" t="inlineStr">
        <is>
          <t>3.2.8-P4</t>
        </is>
      </c>
      <c r="B57" s="4" t="inlineStr">
        <is>
          <t>3.2.8</t>
        </is>
      </c>
      <c r="C57" s="4" t="inlineStr">
        <is>
          <t>mrcs</t>
        </is>
      </c>
      <c r="D57" s="4" t="inlineStr">
        <is>
          <t>Expect downhill and stair symptoms rather than rotational giving way.</t>
        </is>
      </c>
      <c r="E57" s="4" t="inlineStr"/>
      <c r="F57" s="4" t="inlineStr"/>
      <c r="G57" s="4" t="inlineStr"/>
    </row>
    <row r="58">
      <c r="A58" s="4" t="inlineStr">
        <is>
          <t>3.2.8-P5</t>
        </is>
      </c>
      <c r="B58" s="4" t="inlineStr">
        <is>
          <t>3.2.8</t>
        </is>
      </c>
      <c r="C58" s="4" t="inlineStr">
        <is>
          <t>frcs</t>
        </is>
      </c>
      <c r="D58" s="4" t="inlineStr">
        <is>
          <t>Treat the posterior cruciate as the restraint and the corner as the modifier.</t>
        </is>
      </c>
      <c r="E58" s="4" t="inlineStr"/>
      <c r="F58" s="4" t="inlineStr"/>
      <c r="G58" s="4" t="inlineStr"/>
    </row>
    <row r="59">
      <c r="A59" s="4" t="inlineStr">
        <is>
          <t>3.2.8-P6</t>
        </is>
      </c>
      <c r="B59" s="4" t="inlineStr">
        <is>
          <t>3.2.8</t>
        </is>
      </c>
      <c r="C59" s="4" t="inlineStr">
        <is>
          <t>frcs</t>
        </is>
      </c>
      <c r="D59" s="4" t="inlineStr">
        <is>
          <t>Measure with stress radiography where the grade decides the treatment, rather than relying on a clinical estimate from an uncertain starting position.</t>
        </is>
      </c>
      <c r="E59" s="4" t="inlineStr"/>
      <c r="F59" s="4" t="inlineStr"/>
      <c r="G59" s="4" t="inlineStr"/>
    </row>
    <row r="60">
      <c r="A60" s="4" t="inlineStr">
        <is>
          <t>3.2.8-P7</t>
        </is>
      </c>
      <c r="B60" s="4" t="inlineStr">
        <is>
          <t>3.2.8</t>
        </is>
      </c>
      <c r="C60" s="4" t="inlineStr">
        <is>
          <t>frcs</t>
        </is>
      </c>
      <c r="D60" s="4" t="inlineStr">
        <is>
          <t>Assess alignment in any chronic posterolateral injury before planning reconstruction.</t>
        </is>
      </c>
      <c r="E60" s="4" t="inlineStr"/>
      <c r="F60" s="4" t="inlineStr"/>
      <c r="G60" s="4" t="inlineStr"/>
    </row>
    <row r="61">
      <c r="A61" s="4" t="inlineStr">
        <is>
          <t>3.2.8-P8</t>
        </is>
      </c>
      <c r="B61" s="4" t="inlineStr">
        <is>
          <t>3.2.8</t>
        </is>
      </c>
      <c r="C61" s="4" t="inlineStr">
        <is>
          <t>frcs</t>
        </is>
      </c>
      <c r="D61" s="4" t="inlineStr">
        <is>
          <t>Expect partial healing and reassess rather than treating the early finding as final.</t>
        </is>
      </c>
      <c r="E61" s="4" t="inlineStr"/>
      <c r="F61" s="4" t="inlineStr"/>
      <c r="G61" s="4" t="inlineStr"/>
    </row>
    <row r="62">
      <c r="A62" s="4" t="inlineStr">
        <is>
          <t>3.2.8-P9</t>
        </is>
      </c>
      <c r="B62" s="4" t="inlineStr">
        <is>
          <t>3.2.8</t>
        </is>
      </c>
      <c r="C62" s="4" t="inlineStr">
        <is>
          <t>frcs</t>
        </is>
      </c>
      <c r="D62" s="4" t="inlineStr">
        <is>
          <t>Avoid reconstructing a posterior cruciate in a varus limb without addressing the alignment.</t>
        </is>
      </c>
      <c r="E62" s="4" t="inlineStr"/>
      <c r="F62" s="4" t="inlineStr"/>
      <c r="G62" s="4" t="inlineStr"/>
    </row>
    <row r="63">
      <c r="A63" s="4" t="inlineStr">
        <is>
          <t>3.2.9-P1</t>
        </is>
      </c>
      <c r="B63" s="4" t="inlineStr">
        <is>
          <t>3.2.9</t>
        </is>
      </c>
      <c r="C63" s="4" t="inlineStr">
        <is>
          <t>mrcs</t>
        </is>
      </c>
      <c r="D63" s="4" t="inlineStr">
        <is>
          <t>Read a rotatory test as the more informative one when anterior cruciate function is in question, since it loads the coupled pair.</t>
        </is>
      </c>
      <c r="E63" s="4" t="inlineStr"/>
      <c r="F63" s="4" t="inlineStr"/>
      <c r="G63" s="4" t="inlineStr"/>
    </row>
    <row r="64">
      <c r="A64" s="4" t="inlineStr">
        <is>
          <t>3.2.9-P2</t>
        </is>
      </c>
      <c r="B64" s="4" t="inlineStr">
        <is>
          <t>3.2.9</t>
        </is>
      </c>
      <c r="C64" s="4" t="inlineStr">
        <is>
          <t>mrcs</t>
        </is>
      </c>
      <c r="D64" s="4" t="inlineStr">
        <is>
          <t>Record the coupled findings together in posterolateral injury rather than grading varus alone.</t>
        </is>
      </c>
      <c r="E64" s="4" t="inlineStr"/>
      <c r="F64" s="4" t="inlineStr"/>
      <c r="G64" s="4" t="inlineStr"/>
    </row>
    <row r="65">
      <c r="A65" s="4" t="inlineStr">
        <is>
          <t>3.2.9-P3</t>
        </is>
      </c>
      <c r="B65" s="4" t="inlineStr">
        <is>
          <t>3.2.9</t>
        </is>
      </c>
      <c r="C65" s="4" t="inlineStr">
        <is>
          <t>mrcs</t>
        </is>
      </c>
      <c r="D65" s="4" t="inlineStr">
        <is>
          <t>Expect a knee with a meniscal and a ligament injury to behave worse than either alone, because both act on the same path.</t>
        </is>
      </c>
      <c r="E65" s="4" t="inlineStr"/>
      <c r="F65" s="4" t="inlineStr"/>
      <c r="G65" s="4" t="inlineStr"/>
    </row>
    <row r="66">
      <c r="A66" s="4" t="inlineStr">
        <is>
          <t>3.2.9-P4</t>
        </is>
      </c>
      <c r="B66" s="4" t="inlineStr">
        <is>
          <t>3.2.9</t>
        </is>
      </c>
      <c r="C66" s="4" t="inlineStr">
        <is>
          <t>frcs</t>
        </is>
      </c>
      <c r="D66" s="4" t="inlineStr">
        <is>
          <t>Treat coupling as the reason rotatory laxity and translational laxity dissociate after reconstruction.</t>
        </is>
      </c>
      <c r="E66" s="4" t="inlineStr"/>
      <c r="F66" s="4" t="inlineStr"/>
      <c r="G66" s="4" t="inlineStr"/>
    </row>
    <row r="67">
      <c r="A67" s="4" t="inlineStr">
        <is>
          <t>3.2.9-P5</t>
        </is>
      </c>
      <c r="B67" s="4" t="inlineStr">
        <is>
          <t>3.2.9</t>
        </is>
      </c>
      <c r="C67" s="4" t="inlineStr">
        <is>
          <t>frcs</t>
        </is>
      </c>
      <c r="D67" s="4" t="inlineStr">
        <is>
          <t>Assess rotation as well as translation before calling a reconstruction successful.</t>
        </is>
      </c>
      <c r="E67" s="4" t="inlineStr"/>
      <c r="F67" s="4" t="inlineStr"/>
      <c r="G67" s="4" t="inlineStr"/>
    </row>
    <row r="68">
      <c r="A68" s="4" t="inlineStr">
        <is>
          <t>3.2.9-P6</t>
        </is>
      </c>
      <c r="B68" s="4" t="inlineStr">
        <is>
          <t>3.2.9</t>
        </is>
      </c>
      <c r="C68" s="4" t="inlineStr">
        <is>
          <t>frcs</t>
        </is>
      </c>
      <c r="D68" s="4" t="inlineStr">
        <is>
          <t>Consider the coupled contribution of slope and lateral plateau shape when a graft fails without a new injury.</t>
        </is>
      </c>
      <c r="E68" s="4" t="inlineStr"/>
      <c r="F68" s="4" t="inlineStr"/>
      <c r="G68" s="4" t="inlineStr"/>
    </row>
    <row r="69">
      <c r="A69" s="4" t="inlineStr">
        <is>
          <t>3.2.9-P7</t>
        </is>
      </c>
      <c r="B69" s="4" t="inlineStr">
        <is>
          <t>3.2.9</t>
        </is>
      </c>
      <c r="C69" s="4" t="inlineStr">
        <is>
          <t>frcs</t>
        </is>
      </c>
      <c r="D69" s="4" t="inlineStr">
        <is>
          <t>Repair or preserve the lateral meniscus posterior horn where possible, on mechanical grounds related to the coupled motion.</t>
        </is>
      </c>
      <c r="E69" s="4" t="inlineStr"/>
      <c r="F69" s="4" t="inlineStr"/>
      <c r="G69" s="4" t="inlineStr"/>
    </row>
    <row r="70">
      <c r="A70" s="4" t="inlineStr">
        <is>
          <t>3.2.10-P1</t>
        </is>
      </c>
      <c r="B70" s="4" t="inlineStr">
        <is>
          <t>3.2.10</t>
        </is>
      </c>
      <c r="C70" s="4" t="inlineStr">
        <is>
          <t>medical_student</t>
        </is>
      </c>
      <c r="D70" s="4" t="inlineStr">
        <is>
          <t>Expect a patient with a ligament injury to improve with rehabilitation without the ligament healing, since the muscular share can be increased.</t>
        </is>
      </c>
      <c r="E70" s="4" t="inlineStr"/>
      <c r="F70" s="4" t="inlineStr"/>
      <c r="G70" s="4" t="inlineStr"/>
    </row>
    <row r="71">
      <c r="A71" s="4" t="inlineStr">
        <is>
          <t>3.2.10-P2</t>
        </is>
      </c>
      <c r="B71" s="4" t="inlineStr">
        <is>
          <t>3.2.10</t>
        </is>
      </c>
      <c r="C71" s="4" t="inlineStr">
        <is>
          <t>medical_student</t>
        </is>
      </c>
      <c r="D71" s="4" t="inlineStr">
        <is>
          <t>Treat giving way as a report of the path being lost rather than as a report of pain, and ask what the knee was doing at the time.</t>
        </is>
      </c>
      <c r="E71" s="4" t="inlineStr"/>
      <c r="F71" s="4" t="inlineStr"/>
      <c r="G71" s="4" t="inlineStr"/>
    </row>
    <row r="72">
      <c r="A72" s="4" t="inlineStr">
        <is>
          <t>3.2.10-P3</t>
        </is>
      </c>
      <c r="B72" s="4" t="inlineStr">
        <is>
          <t>3.2.10</t>
        </is>
      </c>
      <c r="C72" s="4" t="inlineStr">
        <is>
          <t>mrcs</t>
        </is>
      </c>
      <c r="D72" s="4" t="inlineStr">
        <is>
          <t>Expect examination under anaesthetic to show more laxity than the clinic, and plan around the larger figure.</t>
        </is>
      </c>
      <c r="E72" s="4" t="inlineStr"/>
      <c r="F72" s="4" t="inlineStr"/>
      <c r="G72" s="4" t="inlineStr"/>
    </row>
    <row r="73">
      <c r="A73" s="4" t="inlineStr">
        <is>
          <t>3.2.10-P4</t>
        </is>
      </c>
      <c r="B73" s="4" t="inlineStr">
        <is>
          <t>3.2.10</t>
        </is>
      </c>
      <c r="C73" s="4" t="inlineStr">
        <is>
          <t>mrcs</t>
        </is>
      </c>
      <c r="D73" s="4" t="inlineStr">
        <is>
          <t>Treat the muscular contribution as modifiable and the ligamentous one as not, which is the basis of non operative management in selected injuries.</t>
        </is>
      </c>
      <c r="E73" s="4" t="inlineStr"/>
      <c r="F73" s="4" t="inlineStr"/>
      <c r="G73" s="4" t="inlineStr"/>
    </row>
    <row r="74">
      <c r="A74" s="4" t="inlineStr">
        <is>
          <t>3.2.10-P5</t>
        </is>
      </c>
      <c r="B74" s="4" t="inlineStr">
        <is>
          <t>3.2.10</t>
        </is>
      </c>
      <c r="C74" s="4" t="inlineStr">
        <is>
          <t>frcs</t>
        </is>
      </c>
      <c r="D74" s="4" t="inlineStr">
        <is>
          <t>Treat stability as a system with redundancy rather than as a set of independent structures.</t>
        </is>
      </c>
      <c r="E74" s="4" t="inlineStr"/>
      <c r="F74" s="4" t="inlineStr"/>
      <c r="G74" s="4" t="inlineStr"/>
    </row>
    <row r="75">
      <c r="A75" s="4" t="inlineStr">
        <is>
          <t>3.2.10-P6</t>
        </is>
      </c>
      <c r="B75" s="4" t="inlineStr">
        <is>
          <t>3.2.10</t>
        </is>
      </c>
      <c r="C75" s="4" t="inlineStr">
        <is>
          <t>frcs</t>
        </is>
      </c>
      <c r="D75" s="4" t="inlineStr">
        <is>
          <t>Plan multiligament reconstruction around the system rather than structure by structure, since restoring one restraint changes the load on the others.</t>
        </is>
      </c>
      <c r="E75" s="4" t="inlineStr"/>
      <c r="F75" s="4" t="inlineStr"/>
      <c r="G75" s="4" t="inlineStr"/>
    </row>
    <row r="76">
      <c r="A76" s="4" t="inlineStr">
        <is>
          <t>3.2.10-P7</t>
        </is>
      </c>
      <c r="B76" s="4" t="inlineStr">
        <is>
          <t>3.2.10</t>
        </is>
      </c>
      <c r="C76" s="4" t="inlineStr">
        <is>
          <t>frcs</t>
        </is>
      </c>
      <c r="D76" s="4" t="inlineStr">
        <is>
          <t>Correct alignment where it is loading a reconstruction, on mechanical grounds rather than on appearance.</t>
        </is>
      </c>
      <c r="E76" s="4" t="inlineStr"/>
      <c r="F76" s="4" t="inlineStr"/>
      <c r="G76" s="4" t="inlineStr"/>
    </row>
    <row r="77">
      <c r="A77" s="4" t="inlineStr">
        <is>
          <t>3.2.10-P8</t>
        </is>
      </c>
      <c r="B77" s="4" t="inlineStr">
        <is>
          <t>3.2.10</t>
        </is>
      </c>
      <c r="C77" s="4" t="inlineStr">
        <is>
          <t>frcs</t>
        </is>
      </c>
      <c r="D77" s="4" t="inlineStr">
        <is>
          <t>Preserve meniscal tissue in an unstable knee, because it carries both restraint and load distribution.</t>
        </is>
      </c>
      <c r="E77" s="4" t="inlineStr"/>
      <c r="F77" s="4" t="inlineStr"/>
      <c r="G77" s="4" t="inlineStr"/>
    </row>
  </sheetData>
  <dataValidations count="1">
    <dataValidation sqref="E3:E77"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3.2.1-F1</t>
        </is>
      </c>
      <c r="B3" s="4" t="inlineStr">
        <is>
          <t>3.2.1</t>
        </is>
      </c>
      <c r="C3" s="4" t="inlineStr">
        <is>
          <t>medical_student</t>
        </is>
      </c>
      <c r="D3" s="4" t="inlineStr">
        <is>
          <t>six degrees</t>
        </is>
      </c>
      <c r="E3" s="4" t="inlineStr">
        <is>
          <t>A rigid body in space has six degrees of freedom: it can rotate about three axes and translate along three.</t>
        </is>
      </c>
      <c r="F3" s="4" t="inlineStr"/>
      <c r="G3" s="4" t="inlineStr"/>
      <c r="H3" s="4" t="inlineStr"/>
    </row>
    <row r="4">
      <c r="A4" s="4" t="inlineStr">
        <is>
          <t>3.2.1-F2</t>
        </is>
      </c>
      <c r="B4" s="4" t="inlineStr">
        <is>
          <t>3.2.1</t>
        </is>
      </c>
      <c r="C4" s="4" t="inlineStr">
        <is>
          <t>medical_student</t>
        </is>
      </c>
      <c r="D4" s="4" t="inlineStr">
        <is>
          <t>140 degrees</t>
        </is>
      </c>
      <c r="E4" s="4" t="inlineStr">
        <is>
          <t>Conventional teaching gives flexion and extension about 140 degrees, axial rotation up to about 30 degrees at 90 degrees of flexion, varus and valgus a few degrees, anteroposterior translation about 5 to 10 mm, and medial to lateral translation and compression to distraction one or two millimetres each.</t>
        </is>
      </c>
      <c r="F4" s="4" t="inlineStr"/>
      <c r="G4" s="4" t="inlineStr"/>
      <c r="H4" s="4" t="inlineStr"/>
    </row>
    <row r="5">
      <c r="A5" s="4" t="inlineStr">
        <is>
          <t>3.2.1-F3</t>
        </is>
      </c>
      <c r="B5" s="4" t="inlineStr">
        <is>
          <t>3.2.1</t>
        </is>
      </c>
      <c r="C5" s="4" t="inlineStr">
        <is>
          <t>medical_student</t>
        </is>
      </c>
      <c r="D5" s="4" t="inlineStr">
        <is>
          <t>30 degrees</t>
        </is>
      </c>
      <c r="E5" s="4" t="inlineStr">
        <is>
          <t>Conventional teaching gives flexion and extension about 140 degrees, axial rotation up to about 30 degrees at 90 degrees of flexion, varus and valgus a few degrees, anteroposterior translation about 5 to 10 mm, and medial to lateral translation and compression to distraction one or two millimetres each.</t>
        </is>
      </c>
      <c r="F5" s="4" t="inlineStr"/>
      <c r="G5" s="4" t="inlineStr"/>
      <c r="H5" s="4" t="inlineStr"/>
    </row>
    <row r="6">
      <c r="A6" s="4" t="inlineStr">
        <is>
          <t>3.2.1-F4</t>
        </is>
      </c>
      <c r="B6" s="4" t="inlineStr">
        <is>
          <t>3.2.1</t>
        </is>
      </c>
      <c r="C6" s="4" t="inlineStr">
        <is>
          <t>medical_student</t>
        </is>
      </c>
      <c r="D6" s="4" t="inlineStr">
        <is>
          <t>90 degrees</t>
        </is>
      </c>
      <c r="E6" s="4" t="inlineStr">
        <is>
          <t>Conventional teaching gives flexion and extension about 140 degrees, axial rotation up to about 30 degrees at 90 degrees of flexion, varus and valgus a few degrees, anteroposterior translation about 5 to 10 mm, and medial to lateral translation and compression to distraction one or two millimetres each.</t>
        </is>
      </c>
      <c r="F6" s="4" t="inlineStr"/>
      <c r="G6" s="4" t="inlineStr"/>
      <c r="H6" s="4" t="inlineStr"/>
    </row>
    <row r="7">
      <c r="A7" s="4" t="inlineStr">
        <is>
          <t>3.2.1-F5</t>
        </is>
      </c>
      <c r="B7" s="4" t="inlineStr">
        <is>
          <t>3.2.1</t>
        </is>
      </c>
      <c r="C7" s="4" t="inlineStr">
        <is>
          <t>medical_student</t>
        </is>
      </c>
      <c r="D7" s="4" t="inlineStr">
        <is>
          <t>5 to 10 mm</t>
        </is>
      </c>
      <c r="E7" s="4" t="inlineStr">
        <is>
          <t>Conventional teaching gives flexion and extension about 140 degrees, axial rotation up to about 30 degrees at 90 degrees of flexion, varus and valgus a few degrees, anteroposterior translation about 5 to 10 mm, and medial to lateral translation and compression to distraction one or two millimetres each.</t>
        </is>
      </c>
      <c r="F7" s="4" t="inlineStr"/>
      <c r="G7" s="4" t="inlineStr"/>
      <c r="H7" s="4" t="inlineStr"/>
    </row>
    <row r="8">
      <c r="A8" s="4" t="inlineStr">
        <is>
          <t>3.2.1-F6</t>
        </is>
      </c>
      <c r="B8" s="4" t="inlineStr">
        <is>
          <t>3.2.1</t>
        </is>
      </c>
      <c r="C8" s="4" t="inlineStr">
        <is>
          <t>medical_student</t>
        </is>
      </c>
      <c r="D8" s="4" t="inlineStr">
        <is>
          <t>one or two millimetres</t>
        </is>
      </c>
      <c r="E8" s="4" t="inlineStr">
        <is>
          <t>Conventional teaching gives flexion and extension about 140 degrees, axial rotation up to about 30 degrees at 90 degrees of flexion, varus and valgus a few degrees, anteroposterior translation about 5 to 10 mm, and medial to lateral translation and compression to distraction one or two millimetres each.</t>
        </is>
      </c>
      <c r="F8" s="4" t="inlineStr"/>
      <c r="G8" s="4" t="inlineStr"/>
      <c r="H8" s="4" t="inlineStr"/>
    </row>
    <row r="9">
      <c r="A9" s="4" t="inlineStr">
        <is>
          <t>3.2.1-F7</t>
        </is>
      </c>
      <c r="B9" s="4" t="inlineStr">
        <is>
          <t>3.2.1</t>
        </is>
      </c>
      <c r="C9" s="4" t="inlineStr">
        <is>
          <t>medical_student</t>
        </is>
      </c>
      <c r="D9" s="4" t="inlineStr">
        <is>
          <t>one degree</t>
        </is>
      </c>
      <c r="E9" s="4" t="inlineStr">
        <is>
          <t>Every stability test is an attempt to isolate one degree of freedom and measure it.</t>
        </is>
      </c>
      <c r="F9" s="4" t="inlineStr"/>
      <c r="G9" s="4" t="inlineStr"/>
      <c r="H9" s="4" t="inlineStr"/>
    </row>
    <row r="10">
      <c r="A10" s="4" t="inlineStr">
        <is>
          <t>3.2.1-F8</t>
        </is>
      </c>
      <c r="B10" s="4" t="inlineStr">
        <is>
          <t>3.2.1</t>
        </is>
      </c>
      <c r="C10" s="4" t="inlineStr">
        <is>
          <t>mrcs</t>
        </is>
      </c>
      <c r="D10" s="4" t="inlineStr">
        <is>
          <t>25 to 30 degrees</t>
        </is>
      </c>
      <c r="E10" s="4" t="inlineStr">
        <is>
          <t>Axial rotation is close to zero in full extension and conventional teaching puts it at about 25 to 30 degrees total at 90 degrees of flexion.</t>
        </is>
      </c>
      <c r="F10" s="4" t="inlineStr"/>
      <c r="G10" s="4" t="inlineStr"/>
      <c r="H10" s="4" t="inlineStr"/>
    </row>
    <row r="11">
      <c r="A11" s="4" t="inlineStr">
        <is>
          <t>3.2.2-F1</t>
        </is>
      </c>
      <c r="B11" s="4" t="inlineStr">
        <is>
          <t>3.2.2</t>
        </is>
      </c>
      <c r="C11" s="4" t="n"/>
      <c r="D11" s="4" t="inlineStr">
        <is>
          <t>ten degrees</t>
        </is>
      </c>
      <c r="E11" s="4" t="inlineStr">
        <is>
          <t>The knee's largest motion, the ranges that daily life needs, and why the last ten degrees of extension matter more than the last thirty of flexion.</t>
        </is>
      </c>
      <c r="F11" s="4" t="inlineStr"/>
      <c r="G11" s="4" t="inlineStr"/>
      <c r="H11" s="4" t="inlineStr"/>
    </row>
    <row r="12">
      <c r="A12" s="4" t="inlineStr">
        <is>
          <t>3.2.2-F2</t>
        </is>
      </c>
      <c r="B12" s="4" t="inlineStr">
        <is>
          <t>3.2.2</t>
        </is>
      </c>
      <c r="C12" s="4" t="inlineStr">
        <is>
          <t>medical_student</t>
        </is>
      </c>
      <c r="D12" s="4" t="inlineStr">
        <is>
          <t>0 to 140 degrees</t>
        </is>
      </c>
      <c r="E12" s="4" t="inlineStr">
        <is>
          <t>Conventional teaching gives the range as about 0 to 140 degrees, with 5 to 10 degrees of hyperextension present in many normal knees.</t>
        </is>
      </c>
      <c r="F12" s="4" t="inlineStr"/>
      <c r="G12" s="4" t="inlineStr"/>
      <c r="H12" s="4" t="inlineStr"/>
    </row>
    <row r="13">
      <c r="A13" s="4" t="inlineStr">
        <is>
          <t>3.2.2-F3</t>
        </is>
      </c>
      <c r="B13" s="4" t="inlineStr">
        <is>
          <t>3.2.2</t>
        </is>
      </c>
      <c r="C13" s="4" t="inlineStr">
        <is>
          <t>medical_student</t>
        </is>
      </c>
      <c r="D13" s="4" t="inlineStr">
        <is>
          <t>5 to 10 degrees</t>
        </is>
      </c>
      <c r="E13" s="4" t="inlineStr">
        <is>
          <t>Conventional teaching gives the range as about 0 to 140 degrees, with 5 to 10 degrees of hyperextension present in many normal knees.</t>
        </is>
      </c>
      <c r="F13" s="4" t="inlineStr"/>
      <c r="G13" s="4" t="inlineStr"/>
      <c r="H13" s="4" t="inlineStr"/>
    </row>
    <row r="14">
      <c r="A14" s="4" t="inlineStr">
        <is>
          <t>3.2.2-F4</t>
        </is>
      </c>
      <c r="B14" s="4" t="inlineStr">
        <is>
          <t>3.2.2</t>
        </is>
      </c>
      <c r="C14" s="4" t="inlineStr">
        <is>
          <t>medical_student</t>
        </is>
      </c>
      <c r="D14" s="4" t="inlineStr">
        <is>
          <t>0 to 60 degrees</t>
        </is>
      </c>
      <c r="E14" s="4" t="inlineStr">
        <is>
          <t>Level walking uses about 0 to 60 degrees, stairs about 80 to 90, sitting about 90, and squatting beyond 130.</t>
        </is>
      </c>
      <c r="F14" s="4" t="inlineStr"/>
      <c r="G14" s="4" t="inlineStr"/>
      <c r="H14" s="4" t="inlineStr"/>
    </row>
    <row r="15">
      <c r="A15" s="4" t="inlineStr">
        <is>
          <t>3.2.2-F5</t>
        </is>
      </c>
      <c r="B15" s="4" t="inlineStr">
        <is>
          <t>3.2.2</t>
        </is>
      </c>
      <c r="C15" s="4" t="inlineStr">
        <is>
          <t>medical_student</t>
        </is>
      </c>
      <c r="D15" s="4" t="inlineStr">
        <is>
          <t>80</t>
        </is>
      </c>
      <c r="E15" s="4" t="inlineStr">
        <is>
          <t>Level walking uses about 0 to 60 degrees, stairs about 80 to 90, sitting about 90, and squatting beyond 130.</t>
        </is>
      </c>
      <c r="F15" s="4" t="inlineStr"/>
      <c r="G15" s="4" t="inlineStr"/>
      <c r="H15" s="4" t="inlineStr"/>
    </row>
    <row r="16">
      <c r="A16" s="4" t="inlineStr">
        <is>
          <t>3.2.2-F6</t>
        </is>
      </c>
      <c r="B16" s="4" t="inlineStr">
        <is>
          <t>3.2.2</t>
        </is>
      </c>
      <c r="C16" s="4" t="inlineStr">
        <is>
          <t>medical_student</t>
        </is>
      </c>
      <c r="D16" s="4" t="inlineStr">
        <is>
          <t>90</t>
        </is>
      </c>
      <c r="E16" s="4" t="inlineStr">
        <is>
          <t>Level walking uses about 0 to 60 degrees, stairs about 80 to 90, sitting about 90, and squatting beyond 130.</t>
        </is>
      </c>
      <c r="F16" s="4" t="inlineStr"/>
      <c r="G16" s="4" t="inlineStr"/>
      <c r="H16" s="4" t="inlineStr"/>
    </row>
    <row r="17">
      <c r="A17" s="4" t="inlineStr">
        <is>
          <t>3.2.2-F7</t>
        </is>
      </c>
      <c r="B17" s="4" t="inlineStr">
        <is>
          <t>3.2.2</t>
        </is>
      </c>
      <c r="C17" s="4" t="inlineStr">
        <is>
          <t>medical_student</t>
        </is>
      </c>
      <c r="D17" s="4" t="inlineStr">
        <is>
          <t>130</t>
        </is>
      </c>
      <c r="E17" s="4" t="inlineStr">
        <is>
          <t>Level walking uses about 0 to 60 degrees, stairs about 80 to 90, sitting about 90, and squatting beyond 130.</t>
        </is>
      </c>
      <c r="F17" s="4" t="inlineStr"/>
      <c r="G17" s="4" t="inlineStr"/>
      <c r="H17" s="4" t="inlineStr"/>
    </row>
    <row r="18">
      <c r="A18" s="4" t="inlineStr">
        <is>
          <t>3.2.2-F8</t>
        </is>
      </c>
      <c r="B18" s="4" t="inlineStr">
        <is>
          <t>3.2.2</t>
        </is>
      </c>
      <c r="C18" s="4" t="inlineStr">
        <is>
          <t>medical_student</t>
        </is>
      </c>
      <c r="D18" s="4" t="inlineStr">
        <is>
          <t>30
degrees</t>
        </is>
      </c>
      <c r="E18" s="4" t="inlineStr">
        <is>
          <t>Effusion limits flexion before anything else does, because the capsule has a volume at which it is most comfortable and that volume corresponds to about 30 degrees.</t>
        </is>
      </c>
      <c r="F18" s="4" t="inlineStr"/>
      <c r="G18" s="4" t="inlineStr"/>
      <c r="H18" s="4" t="inlineStr"/>
    </row>
    <row r="19">
      <c r="A19" s="4" t="inlineStr">
        <is>
          <t>3.2.2-F9</t>
        </is>
      </c>
      <c r="B19" s="4" t="inlineStr">
        <is>
          <t>3.2.2</t>
        </is>
      </c>
      <c r="C19" s="4" t="inlineStr">
        <is>
          <t>medical_student</t>
        </is>
      </c>
      <c r="D19" s="4" t="inlineStr">
        <is>
          <t>10 degrees</t>
        </is>
      </c>
      <c r="E19" s="4" t="inlineStr">
        <is>
          <t>Losing the last 10 degrees of extension is more disabling than losing the last 30 of flexion.</t>
        </is>
      </c>
      <c r="F19" s="4" t="inlineStr"/>
      <c r="G19" s="4" t="inlineStr"/>
      <c r="H19" s="4" t="inlineStr"/>
    </row>
    <row r="20">
      <c r="A20" s="4" t="inlineStr">
        <is>
          <t>3.2.2-F10</t>
        </is>
      </c>
      <c r="B20" s="4" t="inlineStr">
        <is>
          <t>3.2.2</t>
        </is>
      </c>
      <c r="C20" s="4" t="inlineStr">
        <is>
          <t>medical_student</t>
        </is>
      </c>
      <c r="D20" s="4" t="inlineStr">
        <is>
          <t>30</t>
        </is>
      </c>
      <c r="E20" s="4" t="inlineStr">
        <is>
          <t>Losing the last 10 degrees of extension is more disabling than losing the last 30 of flexion.</t>
        </is>
      </c>
      <c r="F20" s="4" t="inlineStr"/>
      <c r="G20" s="4" t="inlineStr"/>
      <c r="H20" s="4" t="inlineStr"/>
    </row>
    <row r="21">
      <c r="A21" s="4" t="inlineStr">
        <is>
          <t>3.2.2-F11</t>
        </is>
      </c>
      <c r="B21" s="4" t="inlineStr">
        <is>
          <t>3.2.2</t>
        </is>
      </c>
      <c r="C21" s="4" t="inlineStr">
        <is>
          <t>mrcs</t>
        </is>
      </c>
      <c r="D21" s="4" t="inlineStr">
        <is>
          <t>20 degrees</t>
        </is>
      </c>
      <c r="E21" s="4" t="inlineStr">
        <is>
          <t>Rolling without gliding would roll the femur off the back of the tibia within about 20 degrees.</t>
        </is>
      </c>
      <c r="F21" s="4" t="inlineStr"/>
      <c r="G21" s="4" t="inlineStr"/>
      <c r="H21" s="4" t="inlineStr"/>
    </row>
    <row r="22">
      <c r="A22" s="4" t="inlineStr">
        <is>
          <t>3.2.2-F12</t>
        </is>
      </c>
      <c r="B22" s="4" t="inlineStr">
        <is>
          <t>3.2.2</t>
        </is>
      </c>
      <c r="C22" s="4" t="inlineStr">
        <is>
          <t>mrcs</t>
        </is>
      </c>
      <c r="D22" s="4" t="inlineStr">
        <is>
          <t>15 mm</t>
        </is>
      </c>
      <c r="E22" s="4" t="inlineStr">
        <is>
          <t>Conventional teaching puts the tibiofemoral contact point moving posteriorly by of the order of 15 mm from extension to deep flexion in the lateral compartment and considerably less medially.</t>
        </is>
      </c>
      <c r="F22" s="4" t="inlineStr"/>
      <c r="G22" s="4" t="inlineStr"/>
      <c r="H22" s="4" t="inlineStr"/>
    </row>
    <row r="23">
      <c r="A23" s="4" t="inlineStr">
        <is>
          <t>3.2.2-F13</t>
        </is>
      </c>
      <c r="B23" s="4" t="inlineStr">
        <is>
          <t>3.2.2</t>
        </is>
      </c>
      <c r="C23" s="4" t="inlineStr">
        <is>
          <t>mrcs</t>
        </is>
      </c>
      <c r="D23" s="4" t="inlineStr">
        <is>
          <t>10 to 120 degrees</t>
        </is>
      </c>
      <c r="E23" s="4" t="inlineStr">
        <is>
          <t>Recording convention matters: a knee described as having 10 to 120 degrees has a fixed flexion deformity, and the same arc described as 110 degrees of movement hides it.</t>
        </is>
      </c>
      <c r="F23" s="4" t="inlineStr"/>
      <c r="G23" s="4" t="inlineStr"/>
      <c r="H23" s="4" t="inlineStr"/>
    </row>
    <row r="24">
      <c r="A24" s="4" t="inlineStr">
        <is>
          <t>3.2.2-F14</t>
        </is>
      </c>
      <c r="B24" s="4" t="inlineStr">
        <is>
          <t>3.2.2</t>
        </is>
      </c>
      <c r="C24" s="4" t="inlineStr">
        <is>
          <t>mrcs</t>
        </is>
      </c>
      <c r="D24" s="4" t="inlineStr">
        <is>
          <t>110 degrees</t>
        </is>
      </c>
      <c r="E24" s="4" t="inlineStr">
        <is>
          <t>Recording convention matters: a knee described as having 10 to 120 degrees has a fixed flexion deformity, and the same arc described as 110 degrees of movement hides it.</t>
        </is>
      </c>
      <c r="F24" s="4" t="inlineStr"/>
      <c r="G24" s="4" t="inlineStr"/>
      <c r="H24" s="4" t="inlineStr"/>
    </row>
    <row r="25">
      <c r="A25" s="4" t="inlineStr">
        <is>
          <t>3.2.3-F1</t>
        </is>
      </c>
      <c r="B25" s="4" t="inlineStr">
        <is>
          <t>3.2.3</t>
        </is>
      </c>
      <c r="C25" s="4" t="n"/>
      <c r="D25" s="4" t="inlineStr">
        <is>
          <t>ninety degrees</t>
        </is>
      </c>
      <c r="E25" s="4" t="inlineStr">
        <is>
          <t>Turning the shin inwards under the thigh: almost impossible straight, freest at ninety degrees, and the motion a pivot shift is made of.</t>
        </is>
      </c>
      <c r="F25" s="4" t="inlineStr"/>
      <c r="G25" s="4" t="inlineStr"/>
      <c r="H25" s="4" t="inlineStr"/>
    </row>
    <row r="26">
      <c r="A26" s="4" t="inlineStr">
        <is>
          <t>3.2.3-F2</t>
        </is>
      </c>
      <c r="B26" s="4" t="inlineStr">
        <is>
          <t>3.2.3</t>
        </is>
      </c>
      <c r="C26" s="4" t="inlineStr">
        <is>
          <t>medical_student</t>
        </is>
      </c>
      <c r="D26" s="4" t="inlineStr">
        <is>
          <t>10 to 15 degrees</t>
        </is>
      </c>
      <c r="E26" s="4" t="inlineStr">
        <is>
          <t>Conventional teaching gives internal rotation of about 10 to 15 degrees at 90 degrees of flexion.</t>
        </is>
      </c>
      <c r="F26" s="4" t="inlineStr"/>
      <c r="G26" s="4" t="inlineStr"/>
      <c r="H26" s="4" t="inlineStr"/>
    </row>
    <row r="27">
      <c r="A27" s="4" t="inlineStr">
        <is>
          <t>3.2.3-F3</t>
        </is>
      </c>
      <c r="B27" s="4" t="inlineStr">
        <is>
          <t>3.2.3</t>
        </is>
      </c>
      <c r="C27" s="4" t="inlineStr">
        <is>
          <t>medical_student</t>
        </is>
      </c>
      <c r="D27" s="4" t="inlineStr">
        <is>
          <t>90 degrees</t>
        </is>
      </c>
      <c r="E27" s="4" t="inlineStr">
        <is>
          <t>Conventional teaching gives internal rotation of about 10 to 15 degrees at 90 degrees of flexion.</t>
        </is>
      </c>
      <c r="F27" s="4" t="inlineStr"/>
      <c r="G27" s="4" t="inlineStr"/>
      <c r="H27" s="4" t="inlineStr"/>
    </row>
    <row r="28">
      <c r="A28" s="4" t="inlineStr">
        <is>
          <t>3.2.3-F4</t>
        </is>
      </c>
      <c r="B28" s="4" t="inlineStr">
        <is>
          <t>3.2.3</t>
        </is>
      </c>
      <c r="C28" s="4" t="inlineStr">
        <is>
          <t>mrcs</t>
        </is>
      </c>
      <c r="D28" s="4" t="inlineStr">
        <is>
          <t>25 to 30 degrees</t>
        </is>
      </c>
      <c r="E28" s="4" t="inlineStr">
        <is>
          <t>Total axial rotation, internal and external together, is conventionally given as about 25 to 30 degrees at 90 degrees of flexion, with external rotation taking the larger share.</t>
        </is>
      </c>
      <c r="F28" s="4" t="inlineStr"/>
      <c r="G28" s="4" t="inlineStr"/>
      <c r="H28" s="4" t="inlineStr"/>
    </row>
    <row r="29">
      <c r="A29" s="4" t="inlineStr">
        <is>
          <t>3.2.3-F5</t>
        </is>
      </c>
      <c r="B29" s="4" t="inlineStr">
        <is>
          <t>3.2.3</t>
        </is>
      </c>
      <c r="C29" s="4" t="inlineStr">
        <is>
          <t>mrcs</t>
        </is>
      </c>
      <c r="D29" s="4" t="inlineStr">
        <is>
          <t>0</t>
        </is>
      </c>
      <c r="E29" s="4" t="inlineStr">
        <is>
          <t>The pivot shift is graded 0 to 3 by feel, and interobserver agreement is moderate at best.</t>
        </is>
      </c>
      <c r="F29" s="4" t="inlineStr"/>
      <c r="G29" s="4" t="inlineStr"/>
      <c r="H29" s="4" t="inlineStr"/>
    </row>
    <row r="30">
      <c r="A30" s="4" t="inlineStr">
        <is>
          <t>3.2.4-F1</t>
        </is>
      </c>
      <c r="B30" s="4" t="inlineStr">
        <is>
          <t>3.2.4</t>
        </is>
      </c>
      <c r="C30" s="4" t="inlineStr">
        <is>
          <t>medical_student</t>
        </is>
      </c>
      <c r="D30" s="4" t="inlineStr">
        <is>
          <t>15 to 20 degrees</t>
        </is>
      </c>
      <c r="E30" s="4" t="inlineStr">
        <is>
          <t>Conventional teaching gives external rotation of about 15 to 20 degrees at 90 degrees of flexion, somewhat more than internal rotation at the same angle.</t>
        </is>
      </c>
      <c r="F30" s="4" t="inlineStr"/>
      <c r="G30" s="4" t="inlineStr"/>
      <c r="H30" s="4" t="inlineStr"/>
    </row>
    <row r="31">
      <c r="A31" s="4" t="inlineStr">
        <is>
          <t>3.2.4-F2</t>
        </is>
      </c>
      <c r="B31" s="4" t="inlineStr">
        <is>
          <t>3.2.4</t>
        </is>
      </c>
      <c r="C31" s="4" t="inlineStr">
        <is>
          <t>medical_student</t>
        </is>
      </c>
      <c r="D31" s="4" t="inlineStr">
        <is>
          <t>90
degrees</t>
        </is>
      </c>
      <c r="E31" s="4" t="inlineStr">
        <is>
          <t>Conventional teaching gives external rotation of about 15 to 20 degrees at 90 degrees of flexion, somewhat more than internal rotation at the same angle.</t>
        </is>
      </c>
      <c r="F31" s="4" t="inlineStr"/>
      <c r="G31" s="4" t="inlineStr"/>
      <c r="H31" s="4" t="inlineStr"/>
    </row>
    <row r="32">
      <c r="A32" s="4" t="inlineStr">
        <is>
          <t>3.2.4-F3</t>
        </is>
      </c>
      <c r="B32" s="4" t="inlineStr">
        <is>
          <t>3.2.4</t>
        </is>
      </c>
      <c r="C32" s="4" t="inlineStr">
        <is>
          <t>medical_student</t>
        </is>
      </c>
      <c r="D32" s="4" t="inlineStr">
        <is>
          <t>30 degrees</t>
        </is>
      </c>
      <c r="E32" s="4" t="inlineStr">
        <is>
          <t>Posterolateral injury increases it, and the increase is larger at 30 degrees than at 90 when the posterior cruciate is intact.</t>
        </is>
      </c>
      <c r="F32" s="4" t="inlineStr"/>
      <c r="G32" s="4" t="inlineStr"/>
      <c r="H32" s="4" t="inlineStr"/>
    </row>
    <row r="33">
      <c r="A33" s="4" t="inlineStr">
        <is>
          <t>3.2.4-F4</t>
        </is>
      </c>
      <c r="B33" s="4" t="inlineStr">
        <is>
          <t>3.2.4</t>
        </is>
      </c>
      <c r="C33" s="4" t="inlineStr">
        <is>
          <t>medical_student</t>
        </is>
      </c>
      <c r="D33" s="4" t="inlineStr">
        <is>
          <t>90</t>
        </is>
      </c>
      <c r="E33" s="4" t="inlineStr">
        <is>
          <t>Posterolateral injury increases it, and the increase is larger at 30 degrees than at 90 when the posterior cruciate is intact.</t>
        </is>
      </c>
      <c r="F33" s="4" t="inlineStr"/>
      <c r="G33" s="4" t="inlineStr"/>
      <c r="H33" s="4" t="inlineStr"/>
    </row>
    <row r="34">
      <c r="A34" s="4" t="inlineStr">
        <is>
          <t>3.2.4-F5</t>
        </is>
      </c>
      <c r="B34" s="4" t="inlineStr">
        <is>
          <t>3.2.4</t>
        </is>
      </c>
      <c r="C34" s="4" t="inlineStr">
        <is>
          <t>medical_student</t>
        </is>
      </c>
      <c r="D34" s="4" t="inlineStr">
        <is>
          <t>30</t>
        </is>
      </c>
      <c r="E34" s="4" t="inlineStr">
        <is>
          <t>The dial test measures external rotation at 30 and at 90 degrees and compares sides.</t>
        </is>
      </c>
      <c r="F34" s="4" t="inlineStr"/>
      <c r="G34" s="4" t="inlineStr"/>
      <c r="H34" s="4" t="inlineStr"/>
    </row>
    <row r="35">
      <c r="A35" s="4" t="inlineStr">
        <is>
          <t>3.2.4-F6</t>
        </is>
      </c>
      <c r="B35" s="4" t="inlineStr">
        <is>
          <t>3.2.4</t>
        </is>
      </c>
      <c r="C35" s="4" t="inlineStr">
        <is>
          <t>medical_student</t>
        </is>
      </c>
      <c r="D35" s="4" t="inlineStr">
        <is>
          <t>30 and 90 degrees</t>
        </is>
      </c>
      <c r="E35" s="4" t="inlineStr">
        <is>
          <t>- The dial test measures it at 30 and 90 degrees and compares sides.</t>
        </is>
      </c>
      <c r="F35" s="4" t="inlineStr"/>
      <c r="G35" s="4" t="inlineStr"/>
      <c r="H35" s="4" t="inlineStr"/>
    </row>
    <row r="36">
      <c r="A36" s="4" t="inlineStr">
        <is>
          <t>3.2.4-F7</t>
        </is>
      </c>
      <c r="B36" s="4" t="inlineStr">
        <is>
          <t>3.2.4</t>
        </is>
      </c>
      <c r="C36" s="4" t="inlineStr">
        <is>
          <t>mrcs</t>
        </is>
      </c>
      <c r="D36" s="4" t="inlineStr">
        <is>
          <t>10 degrees</t>
        </is>
      </c>
      <c r="E36" s="4" t="inlineStr">
        <is>
          <t>A side to side difference of more than about 10 degrees is the conventional threshold for a positive test.</t>
        </is>
      </c>
      <c r="F36" s="4" t="inlineStr"/>
      <c r="G36" s="4" t="inlineStr"/>
      <c r="H36" s="4" t="inlineStr"/>
    </row>
    <row r="37">
      <c r="A37" s="4" t="inlineStr">
        <is>
          <t>3.2.4-F8</t>
        </is>
      </c>
      <c r="B37" s="4" t="inlineStr">
        <is>
          <t>3.2.4</t>
        </is>
      </c>
      <c r="C37" s="4" t="inlineStr">
        <is>
          <t>frcs</t>
        </is>
      </c>
      <c r="D37" s="4" t="inlineStr">
        <is>
          <t>two centimetres</t>
        </is>
      </c>
      <c r="E37" s="4" t="inlineStr">
        <is>
          <t>The corner's restraint is shared between three structures within two centimetres of each other, which is why the test localises to a region and not to a ligament.</t>
        </is>
      </c>
      <c r="F37" s="4" t="inlineStr"/>
      <c r="G37" s="4" t="inlineStr"/>
      <c r="H37" s="4" t="inlineStr"/>
    </row>
    <row r="38">
      <c r="A38" s="4" t="inlineStr">
        <is>
          <t>3.2.4-F9</t>
        </is>
      </c>
      <c r="B38" s="4" t="inlineStr">
        <is>
          <t>3.2.4</t>
        </is>
      </c>
      <c r="C38" s="4" t="inlineStr">
        <is>
          <t>frcs</t>
        </is>
      </c>
      <c r="D38" s="4" t="inlineStr">
        <is>
          <t>10 degree</t>
        </is>
      </c>
      <c r="E38" s="4" t="inlineStr">
        <is>
          <t>Avoid treating the 10 degree threshold as a boundary rather than a convention.</t>
        </is>
      </c>
      <c r="F38" s="4" t="inlineStr"/>
      <c r="G38" s="4" t="inlineStr"/>
      <c r="H38" s="4" t="inlineStr"/>
    </row>
    <row r="39">
      <c r="A39" s="4" t="inlineStr">
        <is>
          <t>3.2.5-F1</t>
        </is>
      </c>
      <c r="B39" s="4" t="inlineStr">
        <is>
          <t>3.2.5</t>
        </is>
      </c>
      <c r="C39" s="4" t="inlineStr">
        <is>
          <t>medical_student</t>
        </is>
      </c>
      <c r="D39" s="4" t="inlineStr">
        <is>
          <t>30 degrees</t>
        </is>
      </c>
      <c r="E39" s="4" t="inlineStr">
        <is>
          <t>At about 30 degrees of flexion the capsule and cruciates contribute less, so the test is done at that angle to isolate the collateral ligament.</t>
        </is>
      </c>
      <c r="F39" s="4" t="inlineStr"/>
      <c r="G39" s="4" t="inlineStr"/>
      <c r="H39" s="4" t="inlineStr"/>
    </row>
    <row r="40">
      <c r="A40" s="4" t="inlineStr">
        <is>
          <t>3.2.5-F2</t>
        </is>
      </c>
      <c r="B40" s="4" t="inlineStr">
        <is>
          <t>3.2.5</t>
        </is>
      </c>
      <c r="C40" s="4" t="inlineStr">
        <is>
          <t>mrcs</t>
        </is>
      </c>
      <c r="D40" s="4" t="inlineStr">
        <is>
          <t>0 and 30 degrees</t>
        </is>
      </c>
      <c r="E40" s="4" t="inlineStr">
        <is>
          <t>Test at 0 and 30 degrees and read the pair, since the pattern separates the collateral from the corner.</t>
        </is>
      </c>
      <c r="F40" s="4" t="inlineStr"/>
      <c r="G40" s="4" t="inlineStr"/>
      <c r="H40" s="4" t="inlineStr"/>
    </row>
    <row r="41">
      <c r="A41" s="4" t="inlineStr">
        <is>
          <t>3.2.6-F1</t>
        </is>
      </c>
      <c r="B41" s="4" t="inlineStr">
        <is>
          <t>3.2.6</t>
        </is>
      </c>
      <c r="C41" s="4" t="inlineStr">
        <is>
          <t>medical_student</t>
        </is>
      </c>
      <c r="D41" s="4" t="inlineStr">
        <is>
          <t>5 to 7 degrees</t>
        </is>
      </c>
      <c r="E41" s="4" t="inlineStr">
        <is>
          <t>Conventional teaching gives physiological valgus alignment as about 5 to 7 degrees, with women on average slightly higher than men.</t>
        </is>
      </c>
      <c r="F41" s="4" t="inlineStr"/>
      <c r="G41" s="4" t="inlineStr"/>
      <c r="H41" s="4" t="inlineStr"/>
    </row>
    <row r="42">
      <c r="A42" s="4" t="inlineStr">
        <is>
          <t>3.2.6-F2</t>
        </is>
      </c>
      <c r="B42" s="4" t="inlineStr">
        <is>
          <t>3.2.6</t>
        </is>
      </c>
      <c r="C42" s="4" t="inlineStr">
        <is>
          <t>medical_student</t>
        </is>
      </c>
      <c r="D42" s="4" t="inlineStr">
        <is>
          <t>20 to 30 degrees</t>
        </is>
      </c>
      <c r="E42" s="4" t="inlineStr">
        <is>
          <t>Testing at 20 to 30 degrees of flexion isolates the collateral ligament, because the secondary restraints contribute less there.</t>
        </is>
      </c>
      <c r="F42" s="4" t="inlineStr"/>
      <c r="G42" s="4" t="inlineStr"/>
      <c r="H42" s="4" t="inlineStr"/>
    </row>
    <row r="43">
      <c r="A43" s="4" t="inlineStr">
        <is>
          <t>3.2.6-F3</t>
        </is>
      </c>
      <c r="B43" s="4" t="inlineStr">
        <is>
          <t>3.2.6</t>
        </is>
      </c>
      <c r="C43" s="4" t="inlineStr">
        <is>
          <t>mrcs</t>
        </is>
      </c>
      <c r="D43" s="4" t="inlineStr">
        <is>
          <t>25 degrees</t>
        </is>
      </c>
      <c r="E43" s="4" t="inlineStr">
        <is>
          <t>The superficial collateral carries the large majority of valgus restraint at 25 degrees of flexion, with the posteromedial corner taking an increasing share towards extension.</t>
        </is>
      </c>
      <c r="F43" s="4" t="inlineStr"/>
      <c r="G43" s="4" t="inlineStr"/>
      <c r="H43" s="4" t="inlineStr"/>
    </row>
    <row r="44">
      <c r="A44" s="4" t="inlineStr">
        <is>
          <t>3.2.6-F4</t>
        </is>
      </c>
      <c r="B44" s="4" t="inlineStr">
        <is>
          <t>3.2.6</t>
        </is>
      </c>
      <c r="C44" s="4" t="inlineStr">
        <is>
          <t>mrcs</t>
        </is>
      </c>
      <c r="D44" s="4" t="inlineStr">
        <is>
          <t>30 degrees</t>
        </is>
      </c>
      <c r="E44" s="4" t="inlineStr">
        <is>
          <t>Conventional teaching grades medial injury by the opening at 30 degrees: a few millimetres for grade one and two, and a complete loss of endpoint for grade three.</t>
        </is>
      </c>
      <c r="F44" s="4" t="inlineStr"/>
      <c r="G44" s="4" t="inlineStr"/>
      <c r="H44" s="4" t="inlineStr"/>
    </row>
    <row r="45">
      <c r="A45" s="4" t="inlineStr">
        <is>
          <t>3.2.6-F5</t>
        </is>
      </c>
      <c r="B45" s="4" t="inlineStr">
        <is>
          <t>3.2.6</t>
        </is>
      </c>
      <c r="C45" s="4" t="inlineStr">
        <is>
          <t>mrcs</t>
        </is>
      </c>
      <c r="D45" s="4" t="inlineStr">
        <is>
          <t>0 and 30 degrees</t>
        </is>
      </c>
      <c r="E45" s="4" t="inlineStr">
        <is>
          <t>Valgus stress testing at 0 and 30 degrees, graded by opening and endpoint.</t>
        </is>
      </c>
      <c r="F45" s="4" t="inlineStr"/>
      <c r="G45" s="4" t="inlineStr"/>
      <c r="H45" s="4" t="inlineStr"/>
    </row>
    <row r="46">
      <c r="A46" s="4" t="inlineStr">
        <is>
          <t>3.2.7-F1</t>
        </is>
      </c>
      <c r="B46" s="4" t="inlineStr">
        <is>
          <t>3.2.7</t>
        </is>
      </c>
      <c r="C46" s="4" t="n"/>
      <c r="D46" s="4" t="inlineStr">
        <is>
          <t>one degree</t>
        </is>
      </c>
      <c r="E46" s="4" t="inlineStr">
        <is>
          <t>The one degree of freedom with a clinical instrument, and the one most often mistaken for the whole problem.</t>
        </is>
      </c>
      <c r="F46" s="4" t="inlineStr"/>
      <c r="G46" s="4" t="inlineStr"/>
      <c r="H46" s="4" t="inlineStr"/>
    </row>
    <row r="47">
      <c r="A47" s="4" t="inlineStr">
        <is>
          <t>3.2.7-F2</t>
        </is>
      </c>
      <c r="B47" s="4" t="inlineStr">
        <is>
          <t>3.2.7</t>
        </is>
      </c>
      <c r="C47" s="4" t="inlineStr">
        <is>
          <t>medical_student</t>
        </is>
      </c>
      <c r="D47" s="4" t="inlineStr">
        <is>
          <t>85 per cent</t>
        </is>
      </c>
      <c r="E47" s="4" t="inlineStr">
        <is>
          <t>Conventional teaching gives its share as about 85 per cent of the resistance to anterior translation.</t>
        </is>
      </c>
      <c r="F47" s="4" t="inlineStr"/>
      <c r="G47" s="4" t="inlineStr"/>
      <c r="H47" s="4" t="inlineStr"/>
    </row>
    <row r="48">
      <c r="A48" s="4" t="inlineStr">
        <is>
          <t>3.2.7-F3</t>
        </is>
      </c>
      <c r="B48" s="4" t="inlineStr">
        <is>
          <t>3.2.7</t>
        </is>
      </c>
      <c r="C48" s="4" t="inlineStr">
        <is>
          <t>medical_student</t>
        </is>
      </c>
      <c r="D48" s="4" t="inlineStr">
        <is>
          <t>5 to 10 mm</t>
        </is>
      </c>
      <c r="E48" s="4" t="inlineStr">
        <is>
          <t>Conventional teaching gives normal anterior translation as about 5 to 10 mm at 30 degrees of flexion, with the side to side difference being the clinically useful quantity.</t>
        </is>
      </c>
      <c r="F48" s="4" t="inlineStr"/>
      <c r="G48" s="4" t="inlineStr"/>
      <c r="H48" s="4" t="inlineStr"/>
    </row>
    <row r="49">
      <c r="A49" s="4" t="inlineStr">
        <is>
          <t>3.2.7-F4</t>
        </is>
      </c>
      <c r="B49" s="4" t="inlineStr">
        <is>
          <t>3.2.7</t>
        </is>
      </c>
      <c r="C49" s="4" t="inlineStr">
        <is>
          <t>medical_student</t>
        </is>
      </c>
      <c r="D49" s="4" t="inlineStr">
        <is>
          <t>30 degrees</t>
        </is>
      </c>
      <c r="E49" s="4" t="inlineStr">
        <is>
          <t>Conventional teaching gives normal anterior translation as about 5 to 10 mm at 30 degrees of flexion, with the side to side difference being the clinically useful quantity.</t>
        </is>
      </c>
      <c r="F49" s="4" t="inlineStr"/>
      <c r="G49" s="4" t="inlineStr"/>
      <c r="H49" s="4" t="inlineStr"/>
    </row>
    <row r="50">
      <c r="A50" s="4" t="inlineStr">
        <is>
          <t>3.2.7-F5</t>
        </is>
      </c>
      <c r="B50" s="4" t="inlineStr">
        <is>
          <t>3.2.7</t>
        </is>
      </c>
      <c r="C50" s="4" t="inlineStr">
        <is>
          <t>medical_student</t>
        </is>
      </c>
      <c r="D50" s="4" t="inlineStr">
        <is>
          <t>90</t>
        </is>
      </c>
      <c r="E50" s="4" t="inlineStr">
        <is>
          <t>Translation is largest around 30 degrees, which is why the Lachman test is done there rather than at 90.</t>
        </is>
      </c>
      <c r="F50" s="4" t="inlineStr"/>
      <c r="G50" s="4" t="inlineStr"/>
      <c r="H50" s="4" t="inlineStr"/>
    </row>
    <row r="51">
      <c r="A51" s="4" t="inlineStr">
        <is>
          <t>3.2.7-F6</t>
        </is>
      </c>
      <c r="B51" s="4" t="inlineStr">
        <is>
          <t>3.2.7</t>
        </is>
      </c>
      <c r="C51" s="4" t="inlineStr">
        <is>
          <t>mrcs</t>
        </is>
      </c>
      <c r="D51" s="4" t="inlineStr">
        <is>
          <t>3 mm</t>
        </is>
      </c>
      <c r="E51" s="4" t="inlineStr">
        <is>
          <t>Conventional teaching gives a side to side difference of more than about 3 mm on instrumented testing as the usual threshold for abnormality.</t>
        </is>
      </c>
      <c r="F51" s="4" t="inlineStr"/>
      <c r="G51" s="4" t="inlineStr"/>
      <c r="H51" s="4" t="inlineStr"/>
    </row>
    <row r="52">
      <c r="A52" s="4" t="inlineStr">
        <is>
          <t>3.2.7-F7</t>
        </is>
      </c>
      <c r="B52" s="4" t="inlineStr">
        <is>
          <t>3.2.7</t>
        </is>
      </c>
      <c r="C52" s="4" t="inlineStr">
        <is>
          <t>mrcs</t>
        </is>
      </c>
      <c r="D52" s="4" t="inlineStr">
        <is>
          <t>7 to 10 degrees</t>
        </is>
      </c>
      <c r="E52" s="4" t="inlineStr">
        <is>
          <t>Posterior tibial slope increases anterior translation under axial load, with conventional teaching putting normal slope at about 7 to 10 degrees.</t>
        </is>
      </c>
      <c r="F52" s="4" t="inlineStr"/>
      <c r="G52" s="4" t="inlineStr"/>
      <c r="H52" s="4" t="inlineStr"/>
    </row>
    <row r="53">
      <c r="A53" s="4" t="inlineStr">
        <is>
          <t>3.2.7-F8</t>
        </is>
      </c>
      <c r="B53" s="4" t="inlineStr">
        <is>
          <t>3.2.7</t>
        </is>
      </c>
      <c r="C53" s="4" t="inlineStr">
        <is>
          <t>mrcs</t>
        </is>
      </c>
      <c r="D53" s="4" t="inlineStr">
        <is>
          <t>134</t>
        </is>
      </c>
      <c r="E53" s="4" t="inlineStr">
        <is>
          <t>Instrumented arthrometry applies a known force and measures displacement, usually at about 134 newtons, and reports side to side difference.</t>
        </is>
      </c>
      <c r="F53" s="4" t="inlineStr"/>
      <c r="G53" s="4" t="inlineStr"/>
      <c r="H53" s="4" t="inlineStr"/>
    </row>
    <row r="54">
      <c r="A54" s="4" t="inlineStr">
        <is>
          <t>3.2.8-F1</t>
        </is>
      </c>
      <c r="B54" s="4" t="inlineStr">
        <is>
          <t>3.2.8</t>
        </is>
      </c>
      <c r="C54" s="4" t="inlineStr">
        <is>
          <t>medical_student</t>
        </is>
      </c>
      <c r="D54" s="4" t="inlineStr">
        <is>
          <t>95 per cent</t>
        </is>
      </c>
      <c r="E54" s="4" t="inlineStr">
        <is>
          <t>Conventional teaching gives its share as about 95 per cent of the resistance to posterior translation at 90 degrees of flexion.</t>
        </is>
      </c>
      <c r="F54" s="4" t="inlineStr"/>
      <c r="G54" s="4" t="inlineStr"/>
      <c r="H54" s="4" t="inlineStr"/>
    </row>
    <row r="55">
      <c r="A55" s="4" t="inlineStr">
        <is>
          <t>3.2.8-F2</t>
        </is>
      </c>
      <c r="B55" s="4" t="inlineStr">
        <is>
          <t>3.2.8</t>
        </is>
      </c>
      <c r="C55" s="4" t="inlineStr">
        <is>
          <t>medical_student</t>
        </is>
      </c>
      <c r="D55" s="4" t="inlineStr">
        <is>
          <t>90 degrees</t>
        </is>
      </c>
      <c r="E55" s="4" t="inlineStr">
        <is>
          <t>Conventional teaching gives its share as about 95 per cent of the resistance to posterior translation at 90 degrees of flexion.</t>
        </is>
      </c>
      <c r="F55" s="4" t="inlineStr"/>
      <c r="G55" s="4" t="inlineStr"/>
      <c r="H55" s="4" t="inlineStr"/>
    </row>
    <row r="56">
      <c r="A56" s="4" t="inlineStr">
        <is>
          <t>3.2.8-F3</t>
        </is>
      </c>
      <c r="B56" s="4" t="inlineStr">
        <is>
          <t>3.2.8</t>
        </is>
      </c>
      <c r="C56" s="4" t="inlineStr">
        <is>
          <t>medical_student</t>
        </is>
      </c>
      <c r="D56" s="4" t="inlineStr">
        <is>
          <t>10 mm</t>
        </is>
      </c>
      <c r="E56" s="4" t="inlineStr">
        <is>
          <t>Conventional teaching puts the normal step off at about 10 mm of tibia in front of the condyle at 90 degrees of flexion.</t>
        </is>
      </c>
      <c r="F56" s="4" t="inlineStr"/>
      <c r="G56" s="4" t="inlineStr"/>
      <c r="H56" s="4" t="inlineStr"/>
    </row>
    <row r="57">
      <c r="A57" s="4" t="inlineStr">
        <is>
          <t>3.2.8-F4</t>
        </is>
      </c>
      <c r="B57" s="4" t="inlineStr">
        <is>
          <t>3.2.8</t>
        </is>
      </c>
      <c r="C57" s="4" t="inlineStr">
        <is>
          <t>mrcs</t>
        </is>
      </c>
      <c r="D57" s="4" t="inlineStr">
        <is>
          <t>0 to 5 mm</t>
        </is>
      </c>
      <c r="E57" s="4" t="inlineStr">
        <is>
          <t>Conventional teaching grades by step off: 0 to 5 mm grade one, 5 to 10 mm grade two, more than 10 mm grade three.</t>
        </is>
      </c>
      <c r="F57" s="4" t="inlineStr"/>
      <c r="G57" s="4" t="inlineStr"/>
      <c r="H57" s="4" t="inlineStr"/>
    </row>
    <row r="58">
      <c r="A58" s="4" t="inlineStr">
        <is>
          <t>3.2.8-F5</t>
        </is>
      </c>
      <c r="B58" s="4" t="inlineStr">
        <is>
          <t>3.2.8</t>
        </is>
      </c>
      <c r="C58" s="4" t="inlineStr">
        <is>
          <t>mrcs</t>
        </is>
      </c>
      <c r="D58" s="4" t="inlineStr">
        <is>
          <t>5 to 10 mm</t>
        </is>
      </c>
      <c r="E58" s="4" t="inlineStr">
        <is>
          <t>Conventional teaching grades by step off: 0 to 5 mm grade one, 5 to 10 mm grade two, more than 10 mm grade three.</t>
        </is>
      </c>
      <c r="F58" s="4" t="inlineStr"/>
      <c r="G58" s="4" t="inlineStr"/>
      <c r="H58" s="4" t="inlineStr"/>
    </row>
    <row r="59">
      <c r="A59" s="4" t="inlineStr">
        <is>
          <t>3.2.8-F6</t>
        </is>
      </c>
      <c r="B59" s="4" t="inlineStr">
        <is>
          <t>3.2.8</t>
        </is>
      </c>
      <c r="C59" s="4" t="inlineStr">
        <is>
          <t>mrcs</t>
        </is>
      </c>
      <c r="D59" s="4" t="inlineStr">
        <is>
          <t>0</t>
        </is>
      </c>
      <c r="E59" s="4" t="inlineStr">
        <is>
          <t>- Conventional teaching grades by step off: 0 to 5, 5 to 10, and more than 10 mm.</t>
        </is>
      </c>
      <c r="F59" s="4" t="inlineStr"/>
      <c r="G59" s="4" t="inlineStr"/>
      <c r="H59" s="4" t="inlineStr"/>
    </row>
    <row r="60">
      <c r="A60" s="4" t="inlineStr">
        <is>
          <t>3.2.9-F1</t>
        </is>
      </c>
      <c r="B60" s="4" t="inlineStr">
        <is>
          <t>3.2.9</t>
        </is>
      </c>
      <c r="C60" s="4" t="inlineStr">
        <is>
          <t>medical_student</t>
        </is>
      </c>
      <c r="D60" s="4" t="inlineStr">
        <is>
          <t>one degree</t>
        </is>
      </c>
      <c r="E60" s="4" t="inlineStr">
        <is>
          <t>Coupled motion means that moving a joint in one degree of freedom produces motion in another, without any separate effort to create it.</t>
        </is>
      </c>
      <c r="F60" s="4" t="inlineStr"/>
      <c r="G60" s="4" t="inlineStr"/>
      <c r="H60" s="4" t="inlineStr"/>
    </row>
    <row r="61">
      <c r="A61" s="4" t="inlineStr">
        <is>
          <t>3.2.9-F2</t>
        </is>
      </c>
      <c r="B61" s="4" t="inlineStr">
        <is>
          <t>3.2.9</t>
        </is>
      </c>
      <c r="C61" s="4" t="inlineStr">
        <is>
          <t>medical_student</t>
        </is>
      </c>
      <c r="D61" s="4" t="inlineStr">
        <is>
          <t>six degrees</t>
        </is>
      </c>
      <c r="E61" s="4" t="inlineStr">
        <is>
          <t>The six degrees of freedom described in 3.2.1 are therefore a vocabulary rather than a list of independent movements.</t>
        </is>
      </c>
      <c r="F61" s="4" t="inlineStr"/>
      <c r="G61" s="4" t="inlineStr"/>
      <c r="H61" s="4" t="inlineStr"/>
    </row>
    <row r="62">
      <c r="A62" s="4" t="inlineStr">
        <is>
          <t>3.2.10-F1</t>
        </is>
      </c>
      <c r="B62" s="4" t="inlineStr">
        <is>
          <t>3.2.10</t>
        </is>
      </c>
      <c r="C62" s="4" t="inlineStr">
        <is>
          <t>mrcs</t>
        </is>
      </c>
      <c r="D62" s="4" t="inlineStr">
        <is>
          <t>30 degrees</t>
        </is>
      </c>
      <c r="E62" s="4" t="inlineStr">
        <is>
          <t>The handover from bone to soft tissue occurs over roughly the first 30 degrees of flexion, which is why the same test gives different answers at 0 and 30 degrees.</t>
        </is>
      </c>
      <c r="F62" s="4" t="inlineStr"/>
      <c r="G62" s="4" t="inlineStr"/>
      <c r="H62" s="4" t="inlineStr"/>
    </row>
    <row r="63">
      <c r="A63" s="4" t="inlineStr">
        <is>
          <t>3.2.10-F2</t>
        </is>
      </c>
      <c r="B63" s="4" t="inlineStr">
        <is>
          <t>3.2.10</t>
        </is>
      </c>
      <c r="C63" s="4" t="inlineStr">
        <is>
          <t>mrcs</t>
        </is>
      </c>
      <c r="D63" s="4" t="inlineStr">
        <is>
          <t>0 and 30 degrees</t>
        </is>
      </c>
      <c r="E63" s="4" t="inlineStr">
        <is>
          <t>The handover from bone to soft tissue occurs over roughly the first 30 degrees of flexion, which is why the same test gives different answers at 0 and 30 degrees.</t>
        </is>
      </c>
      <c r="F63" s="4" t="inlineStr"/>
      <c r="G63" s="4" t="inlineStr"/>
      <c r="H63" s="4" t="inlineStr"/>
    </row>
  </sheetData>
  <dataValidations count="1">
    <dataValidation sqref="F3:F63"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75</f>
        <v/>
      </c>
      <c r="C2" s="3">
        <f>61</f>
        <v/>
      </c>
    </row>
    <row r="3">
      <c r="A3" s="2" t="inlineStr">
        <is>
          <t>Decided</t>
        </is>
      </c>
      <c r="B3" s="3">
        <f>COUNTIF(Recommendations!E3:E77,"&lt;&gt;")</f>
        <v/>
      </c>
      <c r="C3" s="3">
        <f>COUNTIF(Measurements!F3:F63,"&lt;&gt;")</f>
        <v/>
      </c>
    </row>
    <row r="4">
      <c r="A4" s="2" t="inlineStr">
        <is>
          <t>Still blank</t>
        </is>
      </c>
      <c r="B4" s="3">
        <f>B2-B3</f>
        <v/>
      </c>
      <c r="C4" s="3">
        <f>C2-C3</f>
        <v/>
      </c>
    </row>
    <row r="5">
      <c r="A5" s="2" t="inlineStr">
        <is>
          <t>CONFIRMED</t>
        </is>
      </c>
      <c r="B5" s="3">
        <f>COUNTIF(Recommendations!E3:E77,"CONFIRMED")</f>
        <v/>
      </c>
      <c r="C5" s="3" t="inlineStr"/>
    </row>
    <row r="6">
      <c r="A6" s="2" t="inlineStr">
        <is>
          <t>AMENDED</t>
        </is>
      </c>
      <c r="B6" s="3">
        <f>COUNTIF(Recommendations!E3:E77,"AMENDED")</f>
        <v/>
      </c>
      <c r="C6" s="3" t="inlineStr"/>
    </row>
    <row r="7">
      <c r="A7" s="2" t="inlineStr">
        <is>
          <t>WITHDRAWN</t>
        </is>
      </c>
      <c r="B7" s="3">
        <f>COUNTIF(Recommendations!E3:E77,"WITHDRAWN")</f>
        <v/>
      </c>
      <c r="C7" s="3" t="inlineStr"/>
    </row>
    <row r="8">
      <c r="A8" s="2" t="inlineStr">
        <is>
          <t>NOT_CLINICAL</t>
        </is>
      </c>
      <c r="B8" s="3">
        <f>COUNTIF(Recommendations!E3:E77,"NOT_CLINICAL")</f>
        <v/>
      </c>
      <c r="C8" s="3" t="inlineStr"/>
    </row>
    <row r="9">
      <c r="A9" s="2" t="inlineStr">
        <is>
          <t>VERIFIED</t>
        </is>
      </c>
      <c r="B9" s="3" t="inlineStr"/>
      <c r="C9" s="3">
        <f>COUNTIF(Measurements!F3:F63,"VERIFIED")</f>
        <v/>
      </c>
    </row>
    <row r="10">
      <c r="A10" s="2" t="inlineStr">
        <is>
          <t>CORRECTED</t>
        </is>
      </c>
      <c r="B10" s="3" t="inlineStr"/>
      <c r="C10" s="3">
        <f>COUNTIF(Measurements!F3:F63,"CORRECTED")</f>
        <v/>
      </c>
    </row>
    <row r="11">
      <c r="A11" s="2" t="inlineStr">
        <is>
          <t>REMOVED</t>
        </is>
      </c>
      <c r="B11" s="3" t="inlineStr"/>
      <c r="C11" s="3">
        <f>COUNTIF(Measurements!F3:F63,"REMOVED")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2026-10-17T16:08:06Z</dcterms:created>
  <dcterms:modified xmlns:dcterms="http://purl.org/dc/terms/" xmlns:xsi="http://www.w3.org/2001/XMLSchema-instance" xsi:type="dcterms:W3CDTF">2026-10-17T16:08:06Z</dcterms:modified>
</cp:coreProperties>
</file>