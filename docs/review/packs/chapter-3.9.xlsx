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3.9 Medial Knee Biomechanics</t>
        </is>
      </c>
    </row>
    <row r="3">
      <c r="A3" s="2" t="inlineStr">
        <is>
          <t>Section</t>
        </is>
      </c>
      <c r="B3" s="3" t="inlineStr">
        <is>
          <t>3</t>
        </is>
      </c>
    </row>
    <row r="4">
      <c r="A4" s="2" t="inlineStr">
        <is>
          <t>Chapter</t>
        </is>
      </c>
      <c r="B4" s="3" t="inlineStr">
        <is>
          <t>3.9 Medial Knee Biomechanics</t>
        </is>
      </c>
    </row>
    <row r="5">
      <c r="A5" s="2" t="inlineStr">
        <is>
          <t>Pages</t>
        </is>
      </c>
      <c r="B5" s="3" t="n">
        <v>10</v>
      </c>
    </row>
    <row r="6">
      <c r="A6" s="2" t="inlineStr">
        <is>
          <t>Page type</t>
        </is>
      </c>
      <c r="B6" s="3" t="inlineStr">
        <is>
          <t>biomechanics</t>
        </is>
      </c>
    </row>
    <row r="7">
      <c r="A7" s="2" t="inlineStr">
        <is>
          <t>Tiers</t>
        </is>
      </c>
      <c r="B7" s="3" t="inlineStr">
        <is>
          <t>medical student, mrcs, frcs, fellowship</t>
        </is>
      </c>
    </row>
    <row r="8">
      <c r="A8" s="2" t="inlineStr">
        <is>
          <t>Words</t>
        </is>
      </c>
      <c r="B8" s="3" t="inlineStr">
        <is>
          <t>10,966</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11</v>
      </c>
    </row>
    <row r="12">
      <c r="A12" s="2" t="inlineStr">
        <is>
          <t>Recommendations to sign</t>
        </is>
      </c>
      <c r="B12" s="3" t="n">
        <v>69</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3.9.1</t>
        </is>
      </c>
      <c r="B2" s="6" t="inlineStr">
        <is>
          <t>Valgus Stability</t>
        </is>
      </c>
      <c r="C2" s="6" t="n">
        <v>3</v>
      </c>
      <c r="D2" s="6" t="n">
        <v>1172</v>
      </c>
      <c r="E2" s="6" t="inlineStr">
        <is>
          <t>biomechanics/valgus-stability.html</t>
        </is>
      </c>
    </row>
    <row r="3">
      <c r="A3" s="6" t="inlineStr">
        <is>
          <t>3.9.2</t>
        </is>
      </c>
      <c r="B3" s="6" t="inlineStr">
        <is>
          <t>Rotational Stability</t>
        </is>
      </c>
      <c r="C3" s="6" t="n">
        <v>3</v>
      </c>
      <c r="D3" s="6" t="n">
        <v>1084</v>
      </c>
      <c r="E3" s="6" t="inlineStr">
        <is>
          <t>biomechanics/medial-rotational-stability.html</t>
        </is>
      </c>
    </row>
    <row r="4">
      <c r="A4" s="6" t="inlineStr">
        <is>
          <t>3.9.3</t>
        </is>
      </c>
      <c r="B4" s="6" t="inlineStr">
        <is>
          <t>Superficial MCL Function</t>
        </is>
      </c>
      <c r="C4" s="6" t="n">
        <v>3</v>
      </c>
      <c r="D4" s="6" t="n">
        <v>1051</v>
      </c>
      <c r="E4" s="6" t="inlineStr">
        <is>
          <t>biomechanics/superficial-mcl-function.html</t>
        </is>
      </c>
    </row>
    <row r="5">
      <c r="A5" s="6" t="inlineStr">
        <is>
          <t>3.9.4</t>
        </is>
      </c>
      <c r="B5" s="6" t="inlineStr">
        <is>
          <t>Deep MCL Function</t>
        </is>
      </c>
      <c r="C5" s="6" t="n">
        <v>3</v>
      </c>
      <c r="D5" s="6" t="n">
        <v>1001</v>
      </c>
      <c r="E5" s="6" t="inlineStr">
        <is>
          <t>biomechanics/deep-mcl-function.html</t>
        </is>
      </c>
    </row>
    <row r="6">
      <c r="A6" s="6" t="inlineStr">
        <is>
          <t>3.9.5</t>
        </is>
      </c>
      <c r="B6" s="6" t="inlineStr">
        <is>
          <t>POL Function</t>
        </is>
      </c>
      <c r="C6" s="6" t="n">
        <v>3</v>
      </c>
      <c r="D6" s="6" t="n">
        <v>1091</v>
      </c>
      <c r="E6" s="6" t="inlineStr">
        <is>
          <t>biomechanics/pol-function.html</t>
        </is>
      </c>
    </row>
    <row r="7">
      <c r="A7" s="6" t="inlineStr">
        <is>
          <t>3.9.6</t>
        </is>
      </c>
      <c r="B7" s="6" t="inlineStr">
        <is>
          <t>Posteromedial Corner Function</t>
        </is>
      </c>
      <c r="C7" s="6" t="n">
        <v>3</v>
      </c>
      <c r="D7" s="6" t="n">
        <v>1094</v>
      </c>
      <c r="E7" s="6" t="inlineStr">
        <is>
          <t>biomechanics/posteromedial-corner-function.html</t>
        </is>
      </c>
    </row>
    <row r="8">
      <c r="A8" s="6" t="inlineStr">
        <is>
          <t>3.9.7</t>
        </is>
      </c>
      <c r="B8" s="6" t="inlineStr">
        <is>
          <t>AMRI Biomechanics</t>
        </is>
      </c>
      <c r="C8" s="6" t="n">
        <v>3</v>
      </c>
      <c r="D8" s="6" t="n">
        <v>1051</v>
      </c>
      <c r="E8" s="6" t="inlineStr">
        <is>
          <t>biomechanics/amri-biomechanics.html</t>
        </is>
      </c>
    </row>
    <row r="9">
      <c r="A9" s="6" t="inlineStr">
        <is>
          <t>3.9.8</t>
        </is>
      </c>
      <c r="B9" s="6" t="inlineStr">
        <is>
          <t>Medial Reconstruction Biomechanics</t>
        </is>
      </c>
      <c r="C9" s="6" t="n">
        <v>4</v>
      </c>
      <c r="D9" s="6" t="n">
        <v>1315</v>
      </c>
      <c r="E9" s="6" t="inlineStr">
        <is>
          <t>biomechanics/medial-reconstruction-biomechanics.html</t>
        </is>
      </c>
    </row>
    <row r="10">
      <c r="A10" s="6" t="inlineStr">
        <is>
          <t>3.9.9</t>
        </is>
      </c>
      <c r="B10" s="6" t="inlineStr">
        <is>
          <t>Contributions at Different Flexion Angles</t>
        </is>
      </c>
      <c r="C10" s="6" t="n">
        <v>3</v>
      </c>
      <c r="D10" s="6" t="n">
        <v>1032</v>
      </c>
      <c r="E10" s="6" t="inlineStr">
        <is>
          <t>biomechanics/medial-contributions-by-flexion-angle.html</t>
        </is>
      </c>
    </row>
    <row r="11">
      <c r="A11" s="6" t="inlineStr">
        <is>
          <t>3.9.10</t>
        </is>
      </c>
      <c r="B11" s="6" t="inlineStr">
        <is>
          <t>Combined ACL and MCL Injury</t>
        </is>
      </c>
      <c r="C11" s="6" t="n">
        <v>3</v>
      </c>
      <c r="D11" s="6" t="n">
        <v>1075</v>
      </c>
      <c r="E11" s="6" t="inlineStr">
        <is>
          <t>biomechanics/combined-acl-and-mcl-injury.html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3.9.1</t>
        </is>
      </c>
      <c r="B2" s="4" t="inlineStr">
        <is>
          <t>Valgus Stability</t>
        </is>
      </c>
      <c r="C2" s="4" t="inlineStr">
        <is>
          <t>Valgus laxity is easy to measure and easy to over-read in isolation.</t>
        </is>
      </c>
    </row>
    <row r="3">
      <c r="A3" s="4" t="inlineStr">
        <is>
          <t>3.9.1</t>
        </is>
      </c>
      <c r="B3" s="4" t="inlineStr">
        <is>
          <t>Valgus Stability</t>
        </is>
      </c>
      <c r="C3" s="4" t="inlineStr">
        <is>
          <t>Opening in full extension indicates injury beyond the superficial ligament.</t>
        </is>
      </c>
    </row>
    <row r="4">
      <c r="A4" s="4" t="inlineStr">
        <is>
          <t>3.9.1</t>
        </is>
      </c>
      <c r="B4" s="4" t="inlineStr">
        <is>
          <t>Valgus Stability</t>
        </is>
      </c>
      <c r="C4" s="4" t="inlineStr">
        <is>
          <t>The ligament heals with length rather than failing to heal.</t>
        </is>
      </c>
    </row>
    <row r="5">
      <c r="A5" s="4" t="inlineStr">
        <is>
          <t>3.9.1</t>
        </is>
      </c>
      <c r="B5" s="4" t="inlineStr">
        <is>
          <t>Valgus Stability</t>
        </is>
      </c>
      <c r="C5" s="4" t="inlineStr">
        <is>
          <t>That healing is why the medial side is treated differently from the lateral.</t>
        </is>
      </c>
    </row>
    <row r="6">
      <c r="A6" s="4" t="inlineStr">
        <is>
          <t>3.9.1</t>
        </is>
      </c>
      <c r="B6" s="4" t="inlineStr">
        <is>
          <t>Valgus Stability</t>
        </is>
      </c>
      <c r="C6" s="4" t="inlineStr">
        <is>
          <t>Serial examination captures the natural history that defines management.</t>
        </is>
      </c>
    </row>
    <row r="7">
      <c r="A7" s="4" t="inlineStr">
        <is>
          <t>3.9.2</t>
        </is>
      </c>
      <c r="B7" s="4" t="inlineStr">
        <is>
          <t>Rotational Stability</t>
        </is>
      </c>
      <c r="C7" s="4" t="inlineStr">
        <is>
          <t>Rotational laxity decides whether a medial injury is operative.</t>
        </is>
      </c>
    </row>
    <row r="8">
      <c r="A8" s="4" t="inlineStr">
        <is>
          <t>3.9.2</t>
        </is>
      </c>
      <c r="B8" s="4" t="inlineStr">
        <is>
          <t>Rotational Stability</t>
        </is>
      </c>
      <c r="C8" s="4" t="inlineStr">
        <is>
          <t>Isolated valgus laxity usually is not operative.</t>
        </is>
      </c>
    </row>
    <row r="9">
      <c r="A9" s="4" t="inlineStr">
        <is>
          <t>3.9.2</t>
        </is>
      </c>
      <c r="B9" s="4" t="inlineStr">
        <is>
          <t>Rotational Stability</t>
        </is>
      </c>
      <c r="C9" s="4" t="inlineStr">
        <is>
          <t>Addressing rotation means reconstructing the posterior oblique ligament or the deep layer.</t>
        </is>
      </c>
    </row>
    <row r="10">
      <c r="A10" s="4" t="inlineStr">
        <is>
          <t>3.9.2</t>
        </is>
      </c>
      <c r="B10" s="4" t="inlineStr">
        <is>
          <t>Rotational Stability</t>
        </is>
      </c>
      <c r="C10" s="4" t="inlineStr">
        <is>
          <t>No clinical measurement quantifies medial rotatory laxity reproducibly.</t>
        </is>
      </c>
    </row>
    <row r="11">
      <c r="A11" s="4" t="inlineStr">
        <is>
          <t>3.9.2</t>
        </is>
      </c>
      <c r="B11" s="4" t="inlineStr">
        <is>
          <t>Rotational Stability</t>
        </is>
      </c>
      <c r="C11" s="4" t="inlineStr">
        <is>
          <t>A chronically lax knee has stretched its remaining restraints.</t>
        </is>
      </c>
    </row>
    <row r="12">
      <c r="A12" s="4" t="inlineStr">
        <is>
          <t>3.9.3</t>
        </is>
      </c>
      <c r="B12" s="4" t="inlineStr">
        <is>
          <t>Superficial MCL Function</t>
        </is>
      </c>
      <c r="C12" s="4" t="inlineStr">
        <is>
          <t>Healing capacity is the governing fact of medial side management.</t>
        </is>
      </c>
    </row>
    <row r="13">
      <c r="A13" s="4" t="inlineStr">
        <is>
          <t>3.9.3</t>
        </is>
      </c>
      <c r="B13" s="4" t="inlineStr">
        <is>
          <t>Superficial MCL Function</t>
        </is>
      </c>
      <c r="C13" s="4" t="inlineStr">
        <is>
          <t>The exceptions are displacement, chronic length and rotatory laxity.</t>
        </is>
      </c>
    </row>
    <row r="14">
      <c r="A14" s="4" t="inlineStr">
        <is>
          <t>3.9.3</t>
        </is>
      </c>
      <c r="B14" s="4" t="inlineStr">
        <is>
          <t>Superficial MCL Function</t>
        </is>
      </c>
      <c r="C14" s="4" t="inlineStr">
        <is>
          <t>Reproduce the native length; shortening over-constrains and restricts flexion.</t>
        </is>
      </c>
    </row>
    <row r="15">
      <c r="A15" s="4" t="inlineStr">
        <is>
          <t>3.9.3</t>
        </is>
      </c>
      <c r="B15" s="4" t="inlineStr">
        <is>
          <t>Superficial MCL Function</t>
        </is>
      </c>
      <c r="C15" s="4" t="inlineStr">
        <is>
          <t>Position sets the length change pattern, so the femoral attachment matters.</t>
        </is>
      </c>
    </row>
    <row r="16">
      <c r="A16" s="4" t="inlineStr">
        <is>
          <t>3.9.3</t>
        </is>
      </c>
      <c r="B16" s="4" t="inlineStr">
        <is>
          <t>Superficial MCL Function</t>
        </is>
      </c>
      <c r="C16" s="4" t="inlineStr">
        <is>
          <t>No measurement confirms a graft reproduces the native pattern.</t>
        </is>
      </c>
    </row>
    <row r="17">
      <c r="A17" s="4" t="inlineStr">
        <is>
          <t>3.9.4</t>
        </is>
      </c>
      <c r="B17" s="4" t="inlineStr">
        <is>
          <t>Deep MCL Function</t>
        </is>
      </c>
      <c r="C17" s="4" t="inlineStr">
        <is>
          <t>The meniscotibial attachment links medial ligament injury to meniscal extrusion.</t>
        </is>
      </c>
    </row>
    <row r="18">
      <c r="A18" s="4" t="inlineStr">
        <is>
          <t>3.9.4</t>
        </is>
      </c>
      <c r="B18" s="4" t="inlineStr">
        <is>
          <t>Deep MCL Function</t>
        </is>
      </c>
      <c r="C18" s="4" t="inlineStr">
        <is>
          <t>Extrusion is the imaging sign that it has failed.</t>
        </is>
      </c>
    </row>
    <row r="19">
      <c r="A19" s="4" t="inlineStr">
        <is>
          <t>3.9.4</t>
        </is>
      </c>
      <c r="B19" s="4" t="inlineStr">
        <is>
          <t>Deep MCL Function</t>
        </is>
      </c>
      <c r="C19" s="4" t="inlineStr">
        <is>
          <t>A medial injury treated as a ligament problem can leave a meniscal one.</t>
        </is>
      </c>
    </row>
    <row r="20">
      <c r="A20" s="4" t="inlineStr">
        <is>
          <t>3.9.4</t>
        </is>
      </c>
      <c r="B20" s="4" t="inlineStr">
        <is>
          <t>Deep MCL Function</t>
        </is>
      </c>
      <c r="C20" s="4" t="inlineStr">
        <is>
          <t>The meniscal consequence has the degenerative endpoint.</t>
        </is>
      </c>
    </row>
    <row r="21">
      <c r="A21" s="4" t="inlineStr">
        <is>
          <t>3.9.4</t>
        </is>
      </c>
      <c r="B21" s="4" t="inlineStr">
        <is>
          <t>Deep MCL Function</t>
        </is>
      </c>
      <c r="C21" s="4" t="inlineStr">
        <is>
          <t>No measurement confirms the deep layer's function has been restored.</t>
        </is>
      </c>
    </row>
    <row r="22">
      <c r="A22" s="4" t="inlineStr">
        <is>
          <t>3.9.5</t>
        </is>
      </c>
      <c r="B22" s="4" t="inlineStr">
        <is>
          <t>POL Function</t>
        </is>
      </c>
      <c r="C22" s="4" t="inlineStr">
        <is>
          <t>Its involvement converts a medial injury from non operative to operative.</t>
        </is>
      </c>
    </row>
    <row r="23">
      <c r="A23" s="4" t="inlineStr">
        <is>
          <t>3.9.5</t>
        </is>
      </c>
      <c r="B23" s="4" t="inlineStr">
        <is>
          <t>POL Function</t>
        </is>
      </c>
      <c r="C23" s="4" t="inlineStr">
        <is>
          <t>Examination in extension is how that is established.</t>
        </is>
      </c>
    </row>
    <row r="24">
      <c r="A24" s="4" t="inlineStr">
        <is>
          <t>3.9.5</t>
        </is>
      </c>
      <c r="B24" s="4" t="inlineStr">
        <is>
          <t>POL Function</t>
        </is>
      </c>
      <c r="C24" s="4" t="inlineStr">
        <is>
          <t>Reconstructing the superficial ligament alone leaves near extension and rotation uncontrolled.</t>
        </is>
      </c>
    </row>
    <row r="25">
      <c r="A25" s="4" t="inlineStr">
        <is>
          <t>3.9.5</t>
        </is>
      </c>
      <c r="B25" s="4" t="inlineStr">
        <is>
          <t>POL Function</t>
        </is>
      </c>
      <c r="C25" s="4" t="inlineStr">
        <is>
          <t>In a chronic injury it is the structure most likely to have stretched.</t>
        </is>
      </c>
    </row>
    <row r="26">
      <c r="A26" s="4" t="inlineStr">
        <is>
          <t>3.9.5</t>
        </is>
      </c>
      <c r="B26" s="4" t="inlineStr">
        <is>
          <t>POL Function</t>
        </is>
      </c>
      <c r="C26" s="4" t="inlineStr">
        <is>
          <t>No measurement confirms a reconstructed limb is functioning.</t>
        </is>
      </c>
    </row>
    <row r="27">
      <c r="A27" s="4" t="inlineStr">
        <is>
          <t>3.9.6</t>
        </is>
      </c>
      <c r="B27" s="4" t="inlineStr">
        <is>
          <t>Posteromedial Corner Function</t>
        </is>
      </c>
      <c r="C27" s="4" t="inlineStr">
        <is>
          <t>The corner decides the medial side's management.</t>
        </is>
      </c>
    </row>
    <row r="28">
      <c r="A28" s="4" t="inlineStr">
        <is>
          <t>3.9.6</t>
        </is>
      </c>
      <c r="B28" s="4" t="inlineStr">
        <is>
          <t>Posteromedial Corner Function</t>
        </is>
      </c>
      <c r="C28" s="4" t="inlineStr">
        <is>
          <t>An isolated superficial injury heals; a corner injury often does not.</t>
        </is>
      </c>
    </row>
    <row r="29">
      <c r="A29" s="4" t="inlineStr">
        <is>
          <t>3.9.6</t>
        </is>
      </c>
      <c r="B29" s="4" t="inlineStr">
        <is>
          <t>Posteromedial Corner Function</t>
        </is>
      </c>
      <c r="C29" s="4" t="inlineStr">
        <is>
          <t>Anatomic medial reconstruction is a two structure operation.</t>
        </is>
      </c>
    </row>
    <row r="30">
      <c r="A30" s="4" t="inlineStr">
        <is>
          <t>3.9.6</t>
        </is>
      </c>
      <c r="B30" s="4" t="inlineStr">
        <is>
          <t>Posteromedial Corner Function</t>
        </is>
      </c>
      <c r="C30" s="4" t="inlineStr">
        <is>
          <t>In combined injury the corner's state decides whether the medial side needs surgery.</t>
        </is>
      </c>
    </row>
    <row r="31">
      <c r="A31" s="4" t="inlineStr">
        <is>
          <t>3.9.6</t>
        </is>
      </c>
      <c r="B31" s="4" t="inlineStr">
        <is>
          <t>Posteromedial Corner Function</t>
        </is>
      </c>
      <c r="C31" s="4" t="inlineStr">
        <is>
          <t>No measurement confirms a reconstructed corner functions as a unit.</t>
        </is>
      </c>
    </row>
    <row r="32">
      <c r="A32" s="4" t="inlineStr">
        <is>
          <t>3.9.7</t>
        </is>
      </c>
      <c r="B32" s="4" t="inlineStr">
        <is>
          <t>AMRI Biomechanics</t>
        </is>
      </c>
      <c r="C32" s="4" t="inlineStr">
        <is>
          <t>The pattern is why a medial injury alongside a cruciate tear sometimes needs surgery.</t>
        </is>
      </c>
    </row>
    <row r="33">
      <c r="A33" s="4" t="inlineStr">
        <is>
          <t>3.9.7</t>
        </is>
      </c>
      <c r="B33" s="4" t="inlineStr">
        <is>
          <t>AMRI Biomechanics</t>
        </is>
      </c>
      <c r="C33" s="4" t="inlineStr">
        <is>
          <t>The graft restores the anterior component and leaves the rotational one.</t>
        </is>
      </c>
    </row>
    <row r="34">
      <c r="A34" s="4" t="inlineStr">
        <is>
          <t>3.9.7</t>
        </is>
      </c>
      <c r="B34" s="4" t="inlineStr">
        <is>
          <t>AMRI Biomechanics</t>
        </is>
      </c>
      <c r="C34" s="4" t="inlineStr">
        <is>
          <t>Residual anteromedial rotatory laxity predicts a poorer result.</t>
        </is>
      </c>
    </row>
    <row r="35">
      <c r="A35" s="4" t="inlineStr">
        <is>
          <t>3.9.7</t>
        </is>
      </c>
      <c r="B35" s="4" t="inlineStr">
        <is>
          <t>AMRI Biomechanics</t>
        </is>
      </c>
      <c r="C35" s="4" t="inlineStr">
        <is>
          <t>It is an indication to address the medial side at the same sitting.</t>
        </is>
      </c>
    </row>
    <row r="36">
      <c r="A36" s="4" t="inlineStr">
        <is>
          <t>3.9.7</t>
        </is>
      </c>
      <c r="B36" s="4" t="inlineStr">
        <is>
          <t>AMRI Biomechanics</t>
        </is>
      </c>
      <c r="C36" s="4" t="inlineStr">
        <is>
          <t>The rotatory component cannot be quantified clinically.</t>
        </is>
      </c>
    </row>
    <row r="37">
      <c r="A37" s="4" t="inlineStr">
        <is>
          <t>3.9.8</t>
        </is>
      </c>
      <c r="B37" s="4" t="inlineStr">
        <is>
          <t>Medial Reconstruction Biomechanics</t>
        </is>
      </c>
      <c r="C37" s="4" t="inlineStr">
        <is>
          <t>The chronic valgus knee with medial laxity has two wrong things reinforcing each other.</t>
        </is>
      </c>
    </row>
    <row r="38">
      <c r="A38" s="4" t="inlineStr">
        <is>
          <t>3.9.8</t>
        </is>
      </c>
      <c r="B38" s="4" t="inlineStr">
        <is>
          <t>Medial Reconstruction Biomechanics</t>
        </is>
      </c>
      <c r="C38" s="4" t="inlineStr">
        <is>
          <t>A graft in an uncorrected valgus limb carries the load that stretched the original.</t>
        </is>
      </c>
    </row>
    <row r="39">
      <c r="A39" s="4" t="inlineStr">
        <is>
          <t>3.9.8</t>
        </is>
      </c>
      <c r="B39" s="4" t="inlineStr">
        <is>
          <t>Medial Reconstruction Biomechanics</t>
        </is>
      </c>
      <c r="C39" s="4" t="inlineStr">
        <is>
          <t>Correct the alignment before or with the ligament reconstruction.</t>
        </is>
      </c>
    </row>
    <row r="40">
      <c r="A40" s="4" t="inlineStr">
        <is>
          <t>3.9.8</t>
        </is>
      </c>
      <c r="B40" s="4" t="inlineStr">
        <is>
          <t>Medial Reconstruction Biomechanics</t>
        </is>
      </c>
      <c r="C40" s="4" t="inlineStr">
        <is>
          <t>Stress views separate bony deformity from soft tissue laxity.</t>
        </is>
      </c>
    </row>
    <row r="41">
      <c r="A41" s="4" t="inlineStr">
        <is>
          <t>3.9.8</t>
        </is>
      </c>
      <c r="B41" s="4" t="inlineStr">
        <is>
          <t>Medial Reconstruction Biomechanics</t>
        </is>
      </c>
      <c r="C41" s="4" t="inlineStr">
        <is>
          <t>Combined procedure series do not separate the components.</t>
        </is>
      </c>
    </row>
    <row r="42">
      <c r="A42" s="4" t="inlineStr">
        <is>
          <t>3.9.9</t>
        </is>
      </c>
      <c r="B42" s="4" t="inlineStr">
        <is>
          <t>Contributions at Different Flexion Angles</t>
        </is>
      </c>
      <c r="C42" s="4" t="inlineStr">
        <is>
          <t>Angle dependence makes medial reconstruction a two limb operation.</t>
        </is>
      </c>
    </row>
    <row r="43">
      <c r="A43" s="4" t="inlineStr">
        <is>
          <t>3.9.9</t>
        </is>
      </c>
      <c r="B43" s="4" t="inlineStr">
        <is>
          <t>Contributions at Different Flexion Angles</t>
        </is>
      </c>
      <c r="C43" s="4" t="inlineStr">
        <is>
          <t>One limb at one angle cannot reproduce two reciprocal patterns.</t>
        </is>
      </c>
    </row>
    <row r="44">
      <c r="A44" s="4" t="inlineStr">
        <is>
          <t>3.9.9</t>
        </is>
      </c>
      <c r="B44" s="4" t="inlineStr">
        <is>
          <t>Contributions at Different Flexion Angles</t>
        </is>
      </c>
      <c r="C44" s="4" t="inlineStr">
        <is>
          <t>The result has to be measured at both angles.</t>
        </is>
      </c>
    </row>
    <row r="45">
      <c r="A45" s="4" t="inlineStr">
        <is>
          <t>3.9.9</t>
        </is>
      </c>
      <c r="B45" s="4" t="inlineStr">
        <is>
          <t>Contributions at Different Flexion Angles</t>
        </is>
      </c>
      <c r="C45" s="4" t="inlineStr">
        <is>
          <t>Over-constraint of either limb shows as lost range.</t>
        </is>
      </c>
    </row>
    <row r="46">
      <c r="A46" s="4" t="inlineStr">
        <is>
          <t>3.9.9</t>
        </is>
      </c>
      <c r="B46" s="4" t="inlineStr">
        <is>
          <t>Contributions at Different Flexion Angles</t>
        </is>
      </c>
      <c r="C46" s="4" t="inlineStr">
        <is>
          <t>No measurement attributes a residual laxity to a specific limb.</t>
        </is>
      </c>
    </row>
    <row r="47">
      <c r="A47" s="4" t="inlineStr">
        <is>
          <t>3.9.10</t>
        </is>
      </c>
      <c r="B47" s="4" t="inlineStr">
        <is>
          <t>Combined ACL and MCL Injury</t>
        </is>
      </c>
      <c r="C47" s="4" t="inlineStr">
        <is>
          <t>Medial healing favours delay; graft protection favours addressing residual laxity.</t>
        </is>
      </c>
    </row>
    <row r="48">
      <c r="A48" s="4" t="inlineStr">
        <is>
          <t>3.9.10</t>
        </is>
      </c>
      <c r="B48" s="4" t="inlineStr">
        <is>
          <t>Combined ACL and MCL Injury</t>
        </is>
      </c>
      <c r="C48" s="4" t="inlineStr">
        <is>
          <t>The resolution is brace, mobilise, reassess, then reconstruct.</t>
        </is>
      </c>
    </row>
    <row r="49">
      <c r="A49" s="4" t="inlineStr">
        <is>
          <t>3.9.10</t>
        </is>
      </c>
      <c r="B49" s="4" t="inlineStr">
        <is>
          <t>Combined ACL and MCL Injury</t>
        </is>
      </c>
      <c r="C49" s="4" t="inlineStr">
        <is>
          <t>Restore motion before cruciate surgery.</t>
        </is>
      </c>
    </row>
    <row r="50">
      <c r="A50" s="4" t="inlineStr">
        <is>
          <t>3.9.10</t>
        </is>
      </c>
      <c r="B50" s="4" t="inlineStr">
        <is>
          <t>Combined ACL and MCL Injury</t>
        </is>
      </c>
      <c r="C50" s="4" t="inlineStr">
        <is>
          <t>Acute medial repair is accepted for displacement or gross instability.</t>
        </is>
      </c>
    </row>
    <row r="51">
      <c r="A51" s="4" t="inlineStr">
        <is>
          <t>3.9.10</t>
        </is>
      </c>
      <c r="B51" s="4" t="inlineStr">
        <is>
          <t>Combined ACL and MCL Injury</t>
        </is>
      </c>
      <c r="C51" s="4" t="inlineStr">
        <is>
          <t>Outcome series are heterogeneous in grade and timing.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3.9.1-P1</t>
        </is>
      </c>
      <c r="B3" s="4" t="inlineStr">
        <is>
          <t>3.9.1</t>
        </is>
      </c>
      <c r="C3" s="4" t="inlineStr">
        <is>
          <t>mrcs</t>
        </is>
      </c>
      <c r="D3" s="4" t="inlineStr">
        <is>
          <t>Read opening in full extension as implicating the posteromedial structures.</t>
        </is>
      </c>
      <c r="E3" s="4" t="inlineStr"/>
      <c r="F3" s="4" t="inlineStr"/>
      <c r="G3" s="4" t="inlineStr"/>
    </row>
    <row r="4">
      <c r="A4" s="4" t="inlineStr">
        <is>
          <t>3.9.1-P2</t>
        </is>
      </c>
      <c r="B4" s="4" t="inlineStr">
        <is>
          <t>3.9.1</t>
        </is>
      </c>
      <c r="C4" s="4" t="inlineStr">
        <is>
          <t>mrcs</t>
        </is>
      </c>
      <c r="D4" s="4" t="inlineStr">
        <is>
          <t>Use valgus stress radiography where the grade decides the treatment.</t>
        </is>
      </c>
      <c r="E4" s="4" t="inlineStr"/>
      <c r="F4" s="4" t="inlineStr"/>
      <c r="G4" s="4" t="inlineStr"/>
    </row>
    <row r="5">
      <c r="A5" s="4" t="inlineStr">
        <is>
          <t>3.9.1-P3</t>
        </is>
      </c>
      <c r="B5" s="4" t="inlineStr">
        <is>
          <t>3.9.1</t>
        </is>
      </c>
      <c r="C5" s="4" t="inlineStr">
        <is>
          <t>mrcs</t>
        </is>
      </c>
      <c r="D5" s="4" t="inlineStr">
        <is>
          <t>Expect a healed ligament to be functional at a greater length than the original.</t>
        </is>
      </c>
      <c r="E5" s="4" t="inlineStr"/>
      <c r="F5" s="4" t="inlineStr"/>
      <c r="G5" s="4" t="inlineStr"/>
    </row>
    <row r="6">
      <c r="A6" s="4" t="inlineStr">
        <is>
          <t>3.9.1-P4</t>
        </is>
      </c>
      <c r="B6" s="4" t="inlineStr">
        <is>
          <t>3.9.1</t>
        </is>
      </c>
      <c r="C6" s="4" t="inlineStr">
        <is>
          <t>frcs</t>
        </is>
      </c>
      <c r="D6" s="4" t="inlineStr">
        <is>
          <t>Treat valgus laxity as the finding that is easy to measure and easy to over-read in isolation.</t>
        </is>
      </c>
      <c r="E6" s="4" t="inlineStr"/>
      <c r="F6" s="4" t="inlineStr"/>
      <c r="G6" s="4" t="inlineStr"/>
    </row>
    <row r="7">
      <c r="A7" s="4" t="inlineStr">
        <is>
          <t>3.9.1-P5</t>
        </is>
      </c>
      <c r="B7" s="4" t="inlineStr">
        <is>
          <t>3.9.1</t>
        </is>
      </c>
      <c r="C7" s="4" t="inlineStr">
        <is>
          <t>frcs</t>
        </is>
      </c>
      <c r="D7" s="4" t="inlineStr">
        <is>
          <t>Assess rotation, because rotatory laxity implicates the corner.</t>
        </is>
      </c>
      <c r="E7" s="4" t="inlineStr"/>
      <c r="F7" s="4" t="inlineStr"/>
      <c r="G7" s="4" t="inlineStr"/>
    </row>
    <row r="8">
      <c r="A8" s="4" t="inlineStr">
        <is>
          <t>3.9.2-P1</t>
        </is>
      </c>
      <c r="B8" s="4" t="inlineStr">
        <is>
          <t>3.9.2</t>
        </is>
      </c>
      <c r="C8" s="4" t="inlineStr">
        <is>
          <t>mrcs</t>
        </is>
      </c>
      <c r="D8" s="4" t="inlineStr">
        <is>
          <t>Assess external rotation as well as valgus on the medial side.</t>
        </is>
      </c>
      <c r="E8" s="4" t="inlineStr"/>
      <c r="F8" s="4" t="inlineStr"/>
      <c r="G8" s="4" t="inlineStr"/>
    </row>
    <row r="9">
      <c r="A9" s="4" t="inlineStr">
        <is>
          <t>3.9.2-P2</t>
        </is>
      </c>
      <c r="B9" s="4" t="inlineStr">
        <is>
          <t>3.9.2</t>
        </is>
      </c>
      <c r="C9" s="4" t="inlineStr">
        <is>
          <t>mrcs</t>
        </is>
      </c>
      <c r="D9" s="4" t="inlineStr">
        <is>
          <t>Expect a larger rotatory laxity where a cruciate is also injured.</t>
        </is>
      </c>
      <c r="E9" s="4" t="inlineStr"/>
      <c r="F9" s="4" t="inlineStr"/>
      <c r="G9" s="4" t="inlineStr"/>
    </row>
    <row r="10">
      <c r="A10" s="4" t="inlineStr">
        <is>
          <t>3.9.2-P3</t>
        </is>
      </c>
      <c r="B10" s="4" t="inlineStr">
        <is>
          <t>3.9.2</t>
        </is>
      </c>
      <c r="C10" s="4" t="inlineStr">
        <is>
          <t>mrcs</t>
        </is>
      </c>
      <c r="D10" s="4" t="inlineStr">
        <is>
          <t>Treat the absence of a reproducible instrument as a reason to examine under anaesthetic.</t>
        </is>
      </c>
      <c r="E10" s="4" t="inlineStr"/>
      <c r="F10" s="4" t="inlineStr"/>
      <c r="G10" s="4" t="inlineStr"/>
    </row>
    <row r="11">
      <c r="A11" s="4" t="inlineStr">
        <is>
          <t>3.9.2-P4</t>
        </is>
      </c>
      <c r="B11" s="4" t="inlineStr">
        <is>
          <t>3.9.2</t>
        </is>
      </c>
      <c r="C11" s="4" t="inlineStr">
        <is>
          <t>mrcs</t>
        </is>
      </c>
      <c r="D11" s="4" t="inlineStr">
        <is>
          <t>Consider the meniscal attachment, since the deep layer attaches to it.</t>
        </is>
      </c>
      <c r="E11" s="4" t="inlineStr"/>
      <c r="F11" s="4" t="inlineStr"/>
      <c r="G11" s="4" t="inlineStr"/>
    </row>
    <row r="12">
      <c r="A12" s="4" t="inlineStr">
        <is>
          <t>3.9.2-P5</t>
        </is>
      </c>
      <c r="B12" s="4" t="inlineStr">
        <is>
          <t>3.9.2</t>
        </is>
      </c>
      <c r="C12" s="4" t="inlineStr">
        <is>
          <t>frcs</t>
        </is>
      </c>
      <c r="D12" s="4" t="inlineStr">
        <is>
          <t>Treat rotational laxity as the finding that decides whether a medial injury is operative, and valgus laxity as the finding that is easier to obtain.</t>
        </is>
      </c>
      <c r="E12" s="4" t="inlineStr"/>
      <c r="F12" s="4" t="inlineStr"/>
      <c r="G12" s="4" t="inlineStr"/>
    </row>
    <row r="13">
      <c r="A13" s="4" t="inlineStr">
        <is>
          <t>3.9.2-P6</t>
        </is>
      </c>
      <c r="B13" s="4" t="inlineStr">
        <is>
          <t>3.9.2</t>
        </is>
      </c>
      <c r="C13" s="4" t="inlineStr">
        <is>
          <t>frcs</t>
        </is>
      </c>
      <c r="D13" s="4" t="inlineStr">
        <is>
          <t>Decide the operative question on rotational rather than coronal laxity.</t>
        </is>
      </c>
      <c r="E13" s="4" t="inlineStr"/>
      <c r="F13" s="4" t="inlineStr"/>
      <c r="G13" s="4" t="inlineStr"/>
    </row>
    <row r="14">
      <c r="A14" s="4" t="inlineStr">
        <is>
          <t>3.9.2-P7</t>
        </is>
      </c>
      <c r="B14" s="4" t="inlineStr">
        <is>
          <t>3.9.2</t>
        </is>
      </c>
      <c r="C14" s="4" t="inlineStr">
        <is>
          <t>frcs</t>
        </is>
      </c>
      <c r="D14" s="4" t="inlineStr">
        <is>
          <t>Examine under anaesthetic, since no instrument substitutes.</t>
        </is>
      </c>
      <c r="E14" s="4" t="inlineStr"/>
      <c r="F14" s="4" t="inlineStr"/>
      <c r="G14" s="4" t="inlineStr"/>
    </row>
    <row r="15">
      <c r="A15" s="4" t="inlineStr">
        <is>
          <t>3.9.2-P8</t>
        </is>
      </c>
      <c r="B15" s="4" t="inlineStr">
        <is>
          <t>3.9.2</t>
        </is>
      </c>
      <c r="C15" s="4" t="inlineStr">
        <is>
          <t>frcs</t>
        </is>
      </c>
      <c r="D15" s="4" t="inlineStr">
        <is>
          <t>Correct alignment where it would load the reconstruction.</t>
        </is>
      </c>
      <c r="E15" s="4" t="inlineStr"/>
      <c r="F15" s="4" t="inlineStr"/>
      <c r="G15" s="4" t="inlineStr"/>
    </row>
    <row r="16">
      <c r="A16" s="4" t="inlineStr">
        <is>
          <t>3.9.3-P1</t>
        </is>
      </c>
      <c r="B16" s="4" t="inlineStr">
        <is>
          <t>3.9.3</t>
        </is>
      </c>
      <c r="C16" s="4" t="inlineStr">
        <is>
          <t>mrcs</t>
        </is>
      </c>
      <c r="D16" s="4" t="inlineStr">
        <is>
          <t>Localise the injury proximally or distally, since healing differs.</t>
        </is>
      </c>
      <c r="E16" s="4" t="inlineStr"/>
      <c r="F16" s="4" t="inlineStr"/>
      <c r="G16" s="4" t="inlineStr"/>
    </row>
    <row r="17">
      <c r="A17" s="4" t="inlineStr">
        <is>
          <t>3.9.3-P2</t>
        </is>
      </c>
      <c r="B17" s="4" t="inlineStr">
        <is>
          <t>3.9.3</t>
        </is>
      </c>
      <c r="C17" s="4" t="inlineStr">
        <is>
          <t>mrcs</t>
        </is>
      </c>
      <c r="D17" s="4" t="inlineStr">
        <is>
          <t>Expect healing with residual length rather than restored length.</t>
        </is>
      </c>
      <c r="E17" s="4" t="inlineStr"/>
      <c r="F17" s="4" t="inlineStr"/>
      <c r="G17" s="4" t="inlineStr"/>
    </row>
    <row r="18">
      <c r="A18" s="4" t="inlineStr">
        <is>
          <t>3.9.3-P3</t>
        </is>
      </c>
      <c r="B18" s="4" t="inlineStr">
        <is>
          <t>3.9.3</t>
        </is>
      </c>
      <c r="C18" s="4" t="inlineStr">
        <is>
          <t>mrcs</t>
        </is>
      </c>
      <c r="D18" s="4" t="inlineStr">
        <is>
          <t>Place a reconstruction's femoral attachment proximal and posterior to the epicondyle.</t>
        </is>
      </c>
      <c r="E18" s="4" t="inlineStr"/>
      <c r="F18" s="4" t="inlineStr"/>
      <c r="G18" s="4" t="inlineStr"/>
    </row>
    <row r="19">
      <c r="A19" s="4" t="inlineStr">
        <is>
          <t>3.9.3-P4</t>
        </is>
      </c>
      <c r="B19" s="4" t="inlineStr">
        <is>
          <t>3.9.3</t>
        </is>
      </c>
      <c r="C19" s="4" t="inlineStr">
        <is>
          <t>frcs</t>
        </is>
      </c>
      <c r="D19" s="4" t="inlineStr">
        <is>
          <t>Treat this ligament's healing capacity as the governing fact of medial side management and as the reason the operative subgroup is narrow.</t>
        </is>
      </c>
      <c r="E19" s="4" t="inlineStr"/>
      <c r="F19" s="4" t="inlineStr"/>
      <c r="G19" s="4" t="inlineStr"/>
    </row>
    <row r="20">
      <c r="A20" s="4" t="inlineStr">
        <is>
          <t>3.9.3-P5</t>
        </is>
      </c>
      <c r="B20" s="4" t="inlineStr">
        <is>
          <t>3.9.3</t>
        </is>
      </c>
      <c r="C20" s="4" t="inlineStr">
        <is>
          <t>frcs</t>
        </is>
      </c>
      <c r="D20" s="4" t="inlineStr">
        <is>
          <t>Reserve operative treatment for displacement, failed healing or rotatory laxity.</t>
        </is>
      </c>
      <c r="E20" s="4" t="inlineStr"/>
      <c r="F20" s="4" t="inlineStr"/>
      <c r="G20" s="4" t="inlineStr"/>
    </row>
    <row r="21">
      <c r="A21" s="4" t="inlineStr">
        <is>
          <t>3.9.3-P6</t>
        </is>
      </c>
      <c r="B21" s="4" t="inlineStr">
        <is>
          <t>3.9.3</t>
        </is>
      </c>
      <c r="C21" s="4" t="inlineStr">
        <is>
          <t>frcs</t>
        </is>
      </c>
      <c r="D21" s="4" t="inlineStr">
        <is>
          <t>Place the femoral attachment anatomically, since position sets the length change pattern.</t>
        </is>
      </c>
      <c r="E21" s="4" t="inlineStr"/>
      <c r="F21" s="4" t="inlineStr"/>
      <c r="G21" s="4" t="inlineStr"/>
    </row>
    <row r="22">
      <c r="A22" s="4" t="inlineStr">
        <is>
          <t>3.9.3-P7</t>
        </is>
      </c>
      <c r="B22" s="4" t="inlineStr">
        <is>
          <t>3.9.3</t>
        </is>
      </c>
      <c r="C22" s="4" t="inlineStr">
        <is>
          <t>frcs</t>
        </is>
      </c>
      <c r="D22" s="4" t="inlineStr">
        <is>
          <t>Correct a valgus limb that is loading the medial side.</t>
        </is>
      </c>
      <c r="E22" s="4" t="inlineStr"/>
      <c r="F22" s="4" t="inlineStr"/>
      <c r="G22" s="4" t="inlineStr"/>
    </row>
    <row r="23">
      <c r="A23" s="4" t="inlineStr">
        <is>
          <t>3.9.4-P1</t>
        </is>
      </c>
      <c r="B23" s="4" t="inlineStr">
        <is>
          <t>3.9.4</t>
        </is>
      </c>
      <c r="C23" s="4" t="inlineStr">
        <is>
          <t>mrcs</t>
        </is>
      </c>
      <c r="D23" s="4" t="inlineStr">
        <is>
          <t>Expect isolated injury here to present as rotatory rather than coronal laxity.</t>
        </is>
      </c>
      <c r="E23" s="4" t="inlineStr"/>
      <c r="F23" s="4" t="inlineStr"/>
      <c r="G23" s="4" t="inlineStr"/>
    </row>
    <row r="24">
      <c r="A24" s="4" t="inlineStr">
        <is>
          <t>3.9.4-P2</t>
        </is>
      </c>
      <c r="B24" s="4" t="inlineStr">
        <is>
          <t>3.9.4</t>
        </is>
      </c>
      <c r="C24" s="4" t="inlineStr">
        <is>
          <t>mrcs</t>
        </is>
      </c>
      <c r="D24" s="4" t="inlineStr">
        <is>
          <t>Assess the layer and the meniscus together rather than separately.</t>
        </is>
      </c>
      <c r="E24" s="4" t="inlineStr"/>
      <c r="F24" s="4" t="inlineStr"/>
      <c r="G24" s="4" t="inlineStr"/>
    </row>
    <row r="25">
      <c r="A25" s="4" t="inlineStr">
        <is>
          <t>3.9.4-P3</t>
        </is>
      </c>
      <c r="B25" s="4" t="inlineStr">
        <is>
          <t>3.9.4</t>
        </is>
      </c>
      <c r="C25" s="4" t="inlineStr">
        <is>
          <t>mrcs</t>
        </is>
      </c>
      <c r="D25" s="4" t="inlineStr">
        <is>
          <t>Accept that no clinical test isolates this layer.</t>
        </is>
      </c>
      <c r="E25" s="4" t="inlineStr"/>
      <c r="F25" s="4" t="inlineStr"/>
      <c r="G25" s="4" t="inlineStr"/>
    </row>
    <row r="26">
      <c r="A26" s="4" t="inlineStr">
        <is>
          <t>3.9.4-P4</t>
        </is>
      </c>
      <c r="B26" s="4" t="inlineStr">
        <is>
          <t>3.9.4</t>
        </is>
      </c>
      <c r="C26" s="4" t="inlineStr">
        <is>
          <t>frcs</t>
        </is>
      </c>
      <c r="D26" s="4" t="inlineStr">
        <is>
          <t>Treat the meniscotibial attachment as the structure that links medial ligament injury to meniscal extrusion, and treat extrusion as the imaging sign that it has failed.</t>
        </is>
      </c>
      <c r="E26" s="4" t="inlineStr"/>
      <c r="F26" s="4" t="inlineStr"/>
      <c r="G26" s="4" t="inlineStr"/>
    </row>
    <row r="27">
      <c r="A27" s="4" t="inlineStr">
        <is>
          <t>3.9.4-P5</t>
        </is>
      </c>
      <c r="B27" s="4" t="inlineStr">
        <is>
          <t>3.9.4</t>
        </is>
      </c>
      <c r="C27" s="4" t="inlineStr">
        <is>
          <t>frcs</t>
        </is>
      </c>
      <c r="D27" s="4" t="inlineStr">
        <is>
          <t>Measure meniscal extrusion in a medial ligament injury.</t>
        </is>
      </c>
      <c r="E27" s="4" t="inlineStr"/>
      <c r="F27" s="4" t="inlineStr"/>
      <c r="G27" s="4" t="inlineStr"/>
    </row>
    <row r="28">
      <c r="A28" s="4" t="inlineStr">
        <is>
          <t>3.9.4-P6</t>
        </is>
      </c>
      <c r="B28" s="4" t="inlineStr">
        <is>
          <t>3.9.4</t>
        </is>
      </c>
      <c r="C28" s="4" t="inlineStr">
        <is>
          <t>frcs</t>
        </is>
      </c>
      <c r="D28" s="4" t="inlineStr">
        <is>
          <t>Repair the meniscotibial attachment where it is disrupted and repairable.</t>
        </is>
      </c>
      <c r="E28" s="4" t="inlineStr"/>
      <c r="F28" s="4" t="inlineStr"/>
      <c r="G28" s="4" t="inlineStr"/>
    </row>
    <row r="29">
      <c r="A29" s="4" t="inlineStr">
        <is>
          <t>3.9.4-P7</t>
        </is>
      </c>
      <c r="B29" s="4" t="inlineStr">
        <is>
          <t>3.9.4</t>
        </is>
      </c>
      <c r="C29" s="4" t="inlineStr">
        <is>
          <t>frcs</t>
        </is>
      </c>
      <c r="D29" s="4" t="inlineStr">
        <is>
          <t>Treat the meniscal consequence as the one with the degenerative endpoint.</t>
        </is>
      </c>
      <c r="E29" s="4" t="inlineStr"/>
      <c r="F29" s="4" t="inlineStr"/>
      <c r="G29" s="4" t="inlineStr"/>
    </row>
    <row r="30">
      <c r="A30" s="4" t="inlineStr">
        <is>
          <t>3.9.5-P1</t>
        </is>
      </c>
      <c r="B30" s="4" t="inlineStr">
        <is>
          <t>3.9.5</t>
        </is>
      </c>
      <c r="C30" s="4" t="inlineStr">
        <is>
          <t>mrcs</t>
        </is>
      </c>
      <c r="D30" s="4" t="inlineStr">
        <is>
          <t>Read opening in extension as implicating the posteromedial structures.</t>
        </is>
      </c>
      <c r="E30" s="4" t="inlineStr"/>
      <c r="F30" s="4" t="inlineStr"/>
      <c r="G30" s="4" t="inlineStr"/>
    </row>
    <row r="31">
      <c r="A31" s="4" t="inlineStr">
        <is>
          <t>3.9.5-P2</t>
        </is>
      </c>
      <c r="B31" s="4" t="inlineStr">
        <is>
          <t>3.9.5</t>
        </is>
      </c>
      <c r="C31" s="4" t="inlineStr">
        <is>
          <t>mrcs</t>
        </is>
      </c>
      <c r="D31" s="4" t="inlineStr">
        <is>
          <t>Expect apportionment figures here to be less precise than for a discrete ligament.</t>
        </is>
      </c>
      <c r="E31" s="4" t="inlineStr"/>
      <c r="F31" s="4" t="inlineStr"/>
      <c r="G31" s="4" t="inlineStr"/>
    </row>
    <row r="32">
      <c r="A32" s="4" t="inlineStr">
        <is>
          <t>3.9.5-P3</t>
        </is>
      </c>
      <c r="B32" s="4" t="inlineStr">
        <is>
          <t>3.9.5</t>
        </is>
      </c>
      <c r="C32" s="4" t="inlineStr">
        <is>
          <t>mrcs</t>
        </is>
      </c>
      <c r="D32" s="4" t="inlineStr">
        <is>
          <t>Consider semimembranosus function as part of the dynamic restraint.</t>
        </is>
      </c>
      <c r="E32" s="4" t="inlineStr"/>
      <c r="F32" s="4" t="inlineStr"/>
      <c r="G32" s="4" t="inlineStr"/>
    </row>
    <row r="33">
      <c r="A33" s="4" t="inlineStr">
        <is>
          <t>3.9.5-P4</t>
        </is>
      </c>
      <c r="B33" s="4" t="inlineStr">
        <is>
          <t>3.9.5</t>
        </is>
      </c>
      <c r="C33" s="4" t="inlineStr">
        <is>
          <t>frcs</t>
        </is>
      </c>
      <c r="D33" s="4" t="inlineStr">
        <is>
          <t>Treat the posterior oblique ligament as the structure whose involvement converts a medial injury from non operative to operative, and treat the examination in extension as the way that is established.</t>
        </is>
      </c>
      <c r="E33" s="4" t="inlineStr"/>
      <c r="F33" s="4" t="inlineStr"/>
      <c r="G33" s="4" t="inlineStr"/>
    </row>
    <row r="34">
      <c r="A34" s="4" t="inlineStr">
        <is>
          <t>3.9.5-P5</t>
        </is>
      </c>
      <c r="B34" s="4" t="inlineStr">
        <is>
          <t>3.9.5</t>
        </is>
      </c>
      <c r="C34" s="4" t="inlineStr">
        <is>
          <t>frcs</t>
        </is>
      </c>
      <c r="D34" s="4" t="inlineStr">
        <is>
          <t>Address it in a chronic reconstruction even where the acute injury spared it.</t>
        </is>
      </c>
      <c r="E34" s="4" t="inlineStr"/>
      <c r="F34" s="4" t="inlineStr"/>
      <c r="G34" s="4" t="inlineStr"/>
    </row>
    <row r="35">
      <c r="A35" s="4" t="inlineStr">
        <is>
          <t>3.9.5-P6</t>
        </is>
      </c>
      <c r="B35" s="4" t="inlineStr">
        <is>
          <t>3.9.5</t>
        </is>
      </c>
      <c r="C35" s="4" t="inlineStr">
        <is>
          <t>frcs</t>
        </is>
      </c>
      <c r="D35" s="4" t="inlineStr">
        <is>
          <t>Measure the result with stress radiography in extension as well as at 30 degrees.</t>
        </is>
      </c>
      <c r="E35" s="4" t="inlineStr"/>
      <c r="F35" s="4" t="inlineStr"/>
      <c r="G35" s="4" t="inlineStr"/>
    </row>
    <row r="36">
      <c r="A36" s="4" t="inlineStr">
        <is>
          <t>3.9.6-P1</t>
        </is>
      </c>
      <c r="B36" s="4" t="inlineStr">
        <is>
          <t>3.9.6</t>
        </is>
      </c>
      <c r="C36" s="4" t="inlineStr">
        <is>
          <t>mrcs</t>
        </is>
      </c>
      <c r="D36" s="4" t="inlineStr">
        <is>
          <t>Examine in full extension to detect corner involvement.</t>
        </is>
      </c>
      <c r="E36" s="4" t="inlineStr"/>
      <c r="F36" s="4" t="inlineStr"/>
      <c r="G36" s="4" t="inlineStr"/>
    </row>
    <row r="37">
      <c r="A37" s="4" t="inlineStr">
        <is>
          <t>3.9.6-P2</t>
        </is>
      </c>
      <c r="B37" s="4" t="inlineStr">
        <is>
          <t>3.9.6</t>
        </is>
      </c>
      <c r="C37" s="4" t="inlineStr">
        <is>
          <t>mrcs</t>
        </is>
      </c>
      <c r="D37" s="4" t="inlineStr">
        <is>
          <t>Expect a combined superficial and corner injury to be considerably more lax than either alone.</t>
        </is>
      </c>
      <c r="E37" s="4" t="inlineStr"/>
      <c r="F37" s="4" t="inlineStr"/>
      <c r="G37" s="4" t="inlineStr"/>
    </row>
    <row r="38">
      <c r="A38" s="4" t="inlineStr">
        <is>
          <t>3.9.6-P3</t>
        </is>
      </c>
      <c r="B38" s="4" t="inlineStr">
        <is>
          <t>3.9.6</t>
        </is>
      </c>
      <c r="C38" s="4" t="inlineStr">
        <is>
          <t>mrcs</t>
        </is>
      </c>
      <c r="D38" s="4" t="inlineStr">
        <is>
          <t>Treat the corner as a unit clinically, since no test separates its members.</t>
        </is>
      </c>
      <c r="E38" s="4" t="inlineStr"/>
      <c r="F38" s="4" t="inlineStr"/>
      <c r="G38" s="4" t="inlineStr"/>
    </row>
    <row r="39">
      <c r="A39" s="4" t="inlineStr">
        <is>
          <t>3.9.6-P4</t>
        </is>
      </c>
      <c r="B39" s="4" t="inlineStr">
        <is>
          <t>3.9.6</t>
        </is>
      </c>
      <c r="C39" s="4" t="inlineStr">
        <is>
          <t>mrcs</t>
        </is>
      </c>
      <c r="D39" s="4" t="inlineStr">
        <is>
          <t>Read apportionment figures within the corner as less settled than those between corner and superficial ligament.</t>
        </is>
      </c>
      <c r="E39" s="4" t="inlineStr"/>
      <c r="F39" s="4" t="inlineStr"/>
      <c r="G39" s="4" t="inlineStr"/>
    </row>
    <row r="40">
      <c r="A40" s="4" t="inlineStr">
        <is>
          <t>3.9.6-P5</t>
        </is>
      </c>
      <c r="B40" s="4" t="inlineStr">
        <is>
          <t>3.9.6</t>
        </is>
      </c>
      <c r="C40" s="4" t="inlineStr">
        <is>
          <t>frcs</t>
        </is>
      </c>
      <c r="D40" s="4" t="inlineStr">
        <is>
          <t>Treat the corner as the structure that decides the medial side's management.</t>
        </is>
      </c>
      <c r="E40" s="4" t="inlineStr"/>
      <c r="F40" s="4" t="inlineStr"/>
      <c r="G40" s="4" t="inlineStr"/>
    </row>
    <row r="41">
      <c r="A41" s="4" t="inlineStr">
        <is>
          <t>3.9.7-P1</t>
        </is>
      </c>
      <c r="B41" s="4" t="inlineStr">
        <is>
          <t>3.9.7</t>
        </is>
      </c>
      <c r="C41" s="4" t="inlineStr">
        <is>
          <t>mrcs</t>
        </is>
      </c>
      <c r="D41" s="4" t="inlineStr">
        <is>
          <t>Use the dial test at 30 and 90 degrees to separate medial from lateral rotatory involvement.</t>
        </is>
      </c>
      <c r="E41" s="4" t="inlineStr"/>
      <c r="F41" s="4" t="inlineStr"/>
      <c r="G41" s="4" t="inlineStr"/>
    </row>
    <row r="42">
      <c r="A42" s="4" t="inlineStr">
        <is>
          <t>3.9.7-P2</t>
        </is>
      </c>
      <c r="B42" s="4" t="inlineStr">
        <is>
          <t>3.9.7</t>
        </is>
      </c>
      <c r="C42" s="4" t="inlineStr">
        <is>
          <t>mrcs</t>
        </is>
      </c>
      <c r="D42" s="4" t="inlineStr">
        <is>
          <t>Expect the pattern to be clearest under anaesthetic.</t>
        </is>
      </c>
      <c r="E42" s="4" t="inlineStr"/>
      <c r="F42" s="4" t="inlineStr"/>
      <c r="G42" s="4" t="inlineStr"/>
    </row>
    <row r="43">
      <c r="A43" s="4" t="inlineStr">
        <is>
          <t>3.9.7-P3</t>
        </is>
      </c>
      <c r="B43" s="4" t="inlineStr">
        <is>
          <t>3.9.7</t>
        </is>
      </c>
      <c r="C43" s="4" t="inlineStr">
        <is>
          <t>mrcs</t>
        </is>
      </c>
      <c r="D43" s="4" t="inlineStr">
        <is>
          <t>Treat the pattern as implying corner involvement.</t>
        </is>
      </c>
      <c r="E43" s="4" t="inlineStr"/>
      <c r="F43" s="4" t="inlineStr"/>
      <c r="G43" s="4" t="inlineStr"/>
    </row>
    <row r="44">
      <c r="A44" s="4" t="inlineStr">
        <is>
          <t>3.9.7-P4</t>
        </is>
      </c>
      <c r="B44" s="4" t="inlineStr">
        <is>
          <t>3.9.7</t>
        </is>
      </c>
      <c r="C44" s="4" t="inlineStr">
        <is>
          <t>frcs</t>
        </is>
      </c>
      <c r="D44" s="4" t="inlineStr">
        <is>
          <t>Treat this pattern as the reason a medial injury alongside a cruciate tear sometimes needs surgery.</t>
        </is>
      </c>
      <c r="E44" s="4" t="inlineStr"/>
      <c r="F44" s="4" t="inlineStr"/>
      <c r="G44" s="4" t="inlineStr"/>
    </row>
    <row r="45">
      <c r="A45" s="4" t="inlineStr">
        <is>
          <t>3.9.7-P5</t>
        </is>
      </c>
      <c r="B45" s="4" t="inlineStr">
        <is>
          <t>3.9.7</t>
        </is>
      </c>
      <c r="C45" s="4" t="inlineStr">
        <is>
          <t>frcs</t>
        </is>
      </c>
      <c r="D45" s="4" t="inlineStr">
        <is>
          <t>Assess anteromedial rotation under anaesthetic after cruciate fixation.</t>
        </is>
      </c>
      <c r="E45" s="4" t="inlineStr"/>
      <c r="F45" s="4" t="inlineStr"/>
      <c r="G45" s="4" t="inlineStr"/>
    </row>
    <row r="46">
      <c r="A46" s="4" t="inlineStr">
        <is>
          <t>3.9.7-P6</t>
        </is>
      </c>
      <c r="B46" s="4" t="inlineStr">
        <is>
          <t>3.9.7</t>
        </is>
      </c>
      <c r="C46" s="4" t="inlineStr">
        <is>
          <t>frcs</t>
        </is>
      </c>
      <c r="D46" s="4" t="inlineStr">
        <is>
          <t>Address the medial side at the same sitting where rotatory laxity persists.</t>
        </is>
      </c>
      <c r="E46" s="4" t="inlineStr"/>
      <c r="F46" s="4" t="inlineStr"/>
      <c r="G46" s="4" t="inlineStr"/>
    </row>
    <row r="47">
      <c r="A47" s="4" t="inlineStr">
        <is>
          <t>3.9.7-P7</t>
        </is>
      </c>
      <c r="B47" s="4" t="inlineStr">
        <is>
          <t>3.9.7</t>
        </is>
      </c>
      <c r="C47" s="4" t="inlineStr">
        <is>
          <t>frcs</t>
        </is>
      </c>
      <c r="D47" s="4" t="inlineStr">
        <is>
          <t>Correct valgus alignment where it loads the medial reconstruction.</t>
        </is>
      </c>
      <c r="E47" s="4" t="inlineStr"/>
      <c r="F47" s="4" t="inlineStr"/>
      <c r="G47" s="4" t="inlineStr"/>
    </row>
    <row r="48">
      <c r="A48" s="4" t="inlineStr">
        <is>
          <t>3.9.7-P8</t>
        </is>
      </c>
      <c r="B48" s="4" t="inlineStr">
        <is>
          <t>3.9.7</t>
        </is>
      </c>
      <c r="C48" s="4" t="inlineStr">
        <is>
          <t>frcs</t>
        </is>
      </c>
      <c r="D48" s="4" t="inlineStr">
        <is>
          <t>Accept that the rotatory component cannot be quantified clinically.</t>
        </is>
      </c>
      <c r="E48" s="4" t="inlineStr"/>
      <c r="F48" s="4" t="inlineStr"/>
      <c r="G48" s="4" t="inlineStr"/>
    </row>
    <row r="49">
      <c r="A49" s="4" t="inlineStr">
        <is>
          <t>3.9.8-P1</t>
        </is>
      </c>
      <c r="B49" s="4" t="inlineStr">
        <is>
          <t>3.9.8</t>
        </is>
      </c>
      <c r="C49" s="4" t="inlineStr">
        <is>
          <t>mrcs</t>
        </is>
      </c>
      <c r="D49" s="4" t="inlineStr">
        <is>
          <t>Repair rather than reconstruction is possible acutely, particularly for a displaced distal avulsion.</t>
        </is>
      </c>
      <c r="E49" s="4" t="inlineStr"/>
      <c r="F49" s="4" t="inlineStr"/>
      <c r="G49" s="4" t="inlineStr"/>
    </row>
    <row r="50">
      <c r="A50" s="4" t="inlineStr">
        <is>
          <t>3.9.8-P2</t>
        </is>
      </c>
      <c r="B50" s="4" t="inlineStr">
        <is>
          <t>3.9.8</t>
        </is>
      </c>
      <c r="C50" s="4" t="inlineStr">
        <is>
          <t>mrcs</t>
        </is>
      </c>
      <c r="D50" s="4" t="inlineStr">
        <is>
          <t>Place both limbs anatomically, since position sets the pattern.</t>
        </is>
      </c>
      <c r="E50" s="4" t="inlineStr"/>
      <c r="F50" s="4" t="inlineStr"/>
      <c r="G50" s="4" t="inlineStr"/>
    </row>
    <row r="51">
      <c r="A51" s="4" t="inlineStr">
        <is>
          <t>3.9.8-P3</t>
        </is>
      </c>
      <c r="B51" s="4" t="inlineStr">
        <is>
          <t>3.9.8</t>
        </is>
      </c>
      <c r="C51" s="4" t="inlineStr">
        <is>
          <t>mrcs</t>
        </is>
      </c>
      <c r="D51" s="4" t="inlineStr">
        <is>
          <t>Check flexion after fixation, since over-constraint presents that way.</t>
        </is>
      </c>
      <c r="E51" s="4" t="inlineStr"/>
      <c r="F51" s="4" t="inlineStr"/>
      <c r="G51" s="4" t="inlineStr"/>
    </row>
    <row r="52">
      <c r="A52" s="4" t="inlineStr">
        <is>
          <t>3.9.8-P4</t>
        </is>
      </c>
      <c r="B52" s="4" t="inlineStr">
        <is>
          <t>3.9.8</t>
        </is>
      </c>
      <c r="C52" s="4" t="inlineStr">
        <is>
          <t>mrcs</t>
        </is>
      </c>
      <c r="D52" s="4" t="inlineStr">
        <is>
          <t>Consider acute repair where a displaced distal avulsion is present.</t>
        </is>
      </c>
      <c r="E52" s="4" t="inlineStr"/>
      <c r="F52" s="4" t="inlineStr"/>
      <c r="G52" s="4" t="inlineStr"/>
    </row>
    <row r="53">
      <c r="A53" s="4" t="inlineStr">
        <is>
          <t>3.9.8-P5</t>
        </is>
      </c>
      <c r="B53" s="4" t="inlineStr">
        <is>
          <t>3.9.8</t>
        </is>
      </c>
      <c r="C53" s="4" t="inlineStr">
        <is>
          <t>frcs</t>
        </is>
      </c>
      <c r="D53" s="4" t="inlineStr">
        <is>
          <t>Treat the indication as the harder question than the technique.</t>
        </is>
      </c>
      <c r="E53" s="4" t="inlineStr"/>
      <c r="F53" s="4" t="inlineStr"/>
      <c r="G53" s="4" t="inlineStr"/>
    </row>
    <row r="54">
      <c r="A54" s="4" t="inlineStr">
        <is>
          <t>3.9.8-P6</t>
        </is>
      </c>
      <c r="B54" s="4" t="inlineStr">
        <is>
          <t>3.9.8</t>
        </is>
      </c>
      <c r="C54" s="4" t="inlineStr">
        <is>
          <t>frcs</t>
        </is>
      </c>
      <c r="D54" s="4" t="inlineStr">
        <is>
          <t>Reserve the operation for failed healing, rotatory laxity or a displaced avulsion.</t>
        </is>
      </c>
      <c r="E54" s="4" t="inlineStr"/>
      <c r="F54" s="4" t="inlineStr"/>
      <c r="G54" s="4" t="inlineStr"/>
    </row>
    <row r="55">
      <c r="A55" s="4" t="inlineStr">
        <is>
          <t>3.9.8-P7</t>
        </is>
      </c>
      <c r="B55" s="4" t="inlineStr">
        <is>
          <t>3.9.8</t>
        </is>
      </c>
      <c r="C55" s="4" t="inlineStr">
        <is>
          <t>frcs</t>
        </is>
      </c>
      <c r="D55" s="4" t="inlineStr">
        <is>
          <t>Correct valgus alignment where it would load the reconstruction.</t>
        </is>
      </c>
      <c r="E55" s="4" t="inlineStr"/>
      <c r="F55" s="4" t="inlineStr"/>
      <c r="G55" s="4" t="inlineStr"/>
    </row>
    <row r="56">
      <c r="A56" s="4" t="inlineStr">
        <is>
          <t>3.9.8-P8</t>
        </is>
      </c>
      <c r="B56" s="4" t="inlineStr">
        <is>
          <t>3.9.8</t>
        </is>
      </c>
      <c r="C56" s="4" t="inlineStr">
        <is>
          <t>fellowship</t>
        </is>
      </c>
      <c r="D56" s="4" t="inlineStr">
        <is>
          <t>Correct a valgus deformity before or with a medial reconstruction.</t>
        </is>
      </c>
      <c r="E56" s="4" t="inlineStr"/>
      <c r="F56" s="4" t="inlineStr"/>
      <c r="G56" s="4" t="inlineStr"/>
    </row>
    <row r="57">
      <c r="A57" s="4" t="inlineStr">
        <is>
          <t>3.9.8-P9</t>
        </is>
      </c>
      <c r="B57" s="4" t="inlineStr">
        <is>
          <t>3.9.8</t>
        </is>
      </c>
      <c r="C57" s="4" t="inlineStr">
        <is>
          <t>fellowship</t>
        </is>
      </c>
      <c r="D57" s="4" t="inlineStr">
        <is>
          <t>Localise the deformity to the femur or the tibia before planning.</t>
        </is>
      </c>
      <c r="E57" s="4" t="inlineStr"/>
      <c r="F57" s="4" t="inlineStr"/>
      <c r="G57" s="4" t="inlineStr"/>
    </row>
    <row r="58">
      <c r="A58" s="4" t="inlineStr">
        <is>
          <t>3.9.9-P1</t>
        </is>
      </c>
      <c r="B58" s="4" t="inlineStr">
        <is>
          <t>3.9.9</t>
        </is>
      </c>
      <c r="C58" s="4" t="inlineStr">
        <is>
          <t>mrcs</t>
        </is>
      </c>
      <c r="D58" s="4" t="inlineStr">
        <is>
          <t>Order dependence is the standing limitation, and it is larger where structures are adjacent capsular layers.</t>
        </is>
      </c>
      <c r="E58" s="4" t="inlineStr"/>
      <c r="F58" s="4" t="inlineStr"/>
      <c r="G58" s="4" t="inlineStr"/>
    </row>
    <row r="59">
      <c r="A59" s="4" t="inlineStr">
        <is>
          <t>3.9.9-P2</t>
        </is>
      </c>
      <c r="B59" s="4" t="inlineStr">
        <is>
          <t>3.9.9</t>
        </is>
      </c>
      <c r="C59" s="4" t="inlineStr">
        <is>
          <t>mrcs</t>
        </is>
      </c>
      <c r="D59" s="4" t="inlineStr">
        <is>
          <t>Examine at full extension and at 20 to 30 degrees deliberately, as a sampling strategy.</t>
        </is>
      </c>
      <c r="E59" s="4" t="inlineStr"/>
      <c r="F59" s="4" t="inlineStr"/>
      <c r="G59" s="4" t="inlineStr"/>
    </row>
    <row r="60">
      <c r="A60" s="4" t="inlineStr">
        <is>
          <t>3.9.9-P3</t>
        </is>
      </c>
      <c r="B60" s="4" t="inlineStr">
        <is>
          <t>3.9.9</t>
        </is>
      </c>
      <c r="C60" s="4" t="inlineStr">
        <is>
          <t>mrcs</t>
        </is>
      </c>
      <c r="D60" s="4" t="inlineStr">
        <is>
          <t>Read differences between published figures as protocol differences.</t>
        </is>
      </c>
      <c r="E60" s="4" t="inlineStr"/>
      <c r="F60" s="4" t="inlineStr"/>
      <c r="G60" s="4" t="inlineStr"/>
    </row>
    <row r="61">
      <c r="A61" s="4" t="inlineStr">
        <is>
          <t>3.9.9-P4</t>
        </is>
      </c>
      <c r="B61" s="4" t="inlineStr">
        <is>
          <t>3.9.9</t>
        </is>
      </c>
      <c r="C61" s="4" t="inlineStr">
        <is>
          <t>mrcs</t>
        </is>
      </c>
      <c r="D61" s="4" t="inlineStr">
        <is>
          <t>Expect order dependence to be worse where the structures are adjacent capsular layers.</t>
        </is>
      </c>
      <c r="E61" s="4" t="inlineStr"/>
      <c r="F61" s="4" t="inlineStr"/>
      <c r="G61" s="4" t="inlineStr"/>
    </row>
    <row r="62">
      <c r="A62" s="4" t="inlineStr">
        <is>
          <t>3.9.9-P5</t>
        </is>
      </c>
      <c r="B62" s="4" t="inlineStr">
        <is>
          <t>3.9.9</t>
        </is>
      </c>
      <c r="C62" s="4" t="inlineStr">
        <is>
          <t>frcs</t>
        </is>
      </c>
      <c r="D62" s="4" t="inlineStr">
        <is>
          <t>Treat the angle dependence as the thing that makes a medial reconstruction a two limb operation and the thing that makes tensioning angles matter.</t>
        </is>
      </c>
      <c r="E62" s="4" t="inlineStr"/>
      <c r="F62" s="4" t="inlineStr"/>
      <c r="G62" s="4" t="inlineStr"/>
    </row>
    <row r="63">
      <c r="A63" s="4" t="inlineStr">
        <is>
          <t>3.9.9-P6</t>
        </is>
      </c>
      <c r="B63" s="4" t="inlineStr">
        <is>
          <t>3.9.9</t>
        </is>
      </c>
      <c r="C63" s="4" t="inlineStr">
        <is>
          <t>frcs</t>
        </is>
      </c>
      <c r="D63" s="4" t="inlineStr">
        <is>
          <t>Measure the postoperative result at both angles, not one.</t>
        </is>
      </c>
      <c r="E63" s="4" t="inlineStr"/>
      <c r="F63" s="4" t="inlineStr"/>
      <c r="G63" s="4" t="inlineStr"/>
    </row>
    <row r="64">
      <c r="A64" s="4" t="inlineStr">
        <is>
          <t>3.9.9-P7</t>
        </is>
      </c>
      <c r="B64" s="4" t="inlineStr">
        <is>
          <t>3.9.9</t>
        </is>
      </c>
      <c r="C64" s="4" t="inlineStr">
        <is>
          <t>frcs</t>
        </is>
      </c>
      <c r="D64" s="4" t="inlineStr">
        <is>
          <t>Expect a single limb construct to leave one angle less controlled.</t>
        </is>
      </c>
      <c r="E64" s="4" t="inlineStr"/>
      <c r="F64" s="4" t="inlineStr"/>
      <c r="G64" s="4" t="inlineStr"/>
    </row>
    <row r="65">
      <c r="A65" s="4" t="inlineStr">
        <is>
          <t>3.9.9-P8</t>
        </is>
      </c>
      <c r="B65" s="4" t="inlineStr">
        <is>
          <t>3.9.9</t>
        </is>
      </c>
      <c r="C65" s="4" t="inlineStr">
        <is>
          <t>frcs</t>
        </is>
      </c>
      <c r="D65" s="4" t="inlineStr">
        <is>
          <t>Accept that a residual laxity cannot be attributed to a specific limb.</t>
        </is>
      </c>
      <c r="E65" s="4" t="inlineStr"/>
      <c r="F65" s="4" t="inlineStr"/>
      <c r="G65" s="4" t="inlineStr"/>
    </row>
    <row r="66">
      <c r="A66" s="4" t="inlineStr">
        <is>
          <t>3.9.10-P1</t>
        </is>
      </c>
      <c r="B66" s="4" t="inlineStr">
        <is>
          <t>3.9.10</t>
        </is>
      </c>
      <c r="C66" s="4" t="inlineStr">
        <is>
          <t>mrcs</t>
        </is>
      </c>
      <c r="D66" s="4" t="inlineStr">
        <is>
          <t>Address the medial side where laxity persists, since it loads the graft.</t>
        </is>
      </c>
      <c r="E66" s="4" t="inlineStr"/>
      <c r="F66" s="4" t="inlineStr"/>
      <c r="G66" s="4" t="inlineStr"/>
    </row>
    <row r="67">
      <c r="A67" s="4" t="inlineStr">
        <is>
          <t>3.9.10-P2</t>
        </is>
      </c>
      <c r="B67" s="4" t="inlineStr">
        <is>
          <t>3.9.10</t>
        </is>
      </c>
      <c r="C67" s="4" t="inlineStr">
        <is>
          <t>mrcs</t>
        </is>
      </c>
      <c r="D67" s="4" t="inlineStr">
        <is>
          <t>Weigh the stiffness risk of early combined surgery against the laxity risk of delay.</t>
        </is>
      </c>
      <c r="E67" s="4" t="inlineStr"/>
      <c r="F67" s="4" t="inlineStr"/>
      <c r="G67" s="4" t="inlineStr"/>
    </row>
    <row r="68">
      <c r="A68" s="4" t="inlineStr">
        <is>
          <t>3.9.10-P3</t>
        </is>
      </c>
      <c r="B68" s="4" t="inlineStr">
        <is>
          <t>3.9.10</t>
        </is>
      </c>
      <c r="C68" s="4" t="inlineStr">
        <is>
          <t>frcs</t>
        </is>
      </c>
      <c r="D68" s="4" t="inlineStr">
        <is>
          <t>Treat the sequencing as the decision and the mechanics as what informs it.</t>
        </is>
      </c>
      <c r="E68" s="4" t="inlineStr"/>
      <c r="F68" s="4" t="inlineStr"/>
      <c r="G68" s="4" t="inlineStr"/>
    </row>
    <row r="69">
      <c r="A69" s="4" t="inlineStr">
        <is>
          <t>3.9.10-P4</t>
        </is>
      </c>
      <c r="B69" s="4" t="inlineStr">
        <is>
          <t>3.9.10</t>
        </is>
      </c>
      <c r="C69" s="4" t="inlineStr">
        <is>
          <t>frcs</t>
        </is>
      </c>
      <c r="D69" s="4" t="inlineStr">
        <is>
          <t>Restore motion before reconstructing the cruciate.</t>
        </is>
      </c>
      <c r="E69" s="4" t="inlineStr"/>
      <c r="F69" s="4" t="inlineStr"/>
      <c r="G69" s="4" t="inlineStr"/>
    </row>
    <row r="70">
      <c r="A70" s="4" t="inlineStr">
        <is>
          <t>3.9.10-P5</t>
        </is>
      </c>
      <c r="B70" s="4" t="inlineStr">
        <is>
          <t>3.9.10</t>
        </is>
      </c>
      <c r="C70" s="4" t="inlineStr">
        <is>
          <t>frcs</t>
        </is>
      </c>
      <c r="D70" s="4" t="inlineStr">
        <is>
          <t>Address the medial side at that sitting only if laxity persists.</t>
        </is>
      </c>
      <c r="E70" s="4" t="inlineStr"/>
      <c r="F70" s="4" t="inlineStr"/>
      <c r="G70" s="4" t="inlineStr"/>
    </row>
    <row r="71">
      <c r="A71" s="4" t="inlineStr">
        <is>
          <t>3.9.10-P6</t>
        </is>
      </c>
      <c r="B71" s="4" t="inlineStr">
        <is>
          <t>3.9.10</t>
        </is>
      </c>
      <c r="C71" s="4" t="inlineStr">
        <is>
          <t>frcs</t>
        </is>
      </c>
      <c r="D71" s="4" t="inlineStr">
        <is>
          <t>Repair acutely where there is a displaced medial avulsion or gross instability.</t>
        </is>
      </c>
      <c r="E71" s="4" t="inlineStr"/>
      <c r="F71" s="4" t="inlineStr"/>
      <c r="G71" s="4" t="inlineStr"/>
    </row>
  </sheetData>
  <dataValidations count="1">
    <dataValidation sqref="E3:E71"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3.9.1-F1</t>
        </is>
      </c>
      <c r="B3" s="4" t="inlineStr">
        <is>
          <t>3.9.1</t>
        </is>
      </c>
      <c r="C3" s="4" t="inlineStr">
        <is>
          <t>medical_student</t>
        </is>
      </c>
      <c r="D3" s="4" t="inlineStr">
        <is>
          <t>20 to 30 degrees</t>
        </is>
      </c>
      <c r="E3" s="4" t="inlineStr">
        <is>
          <t>Valgus testing is performed at 20 to 30 degrees of flexion rather than in extension, because extension recruits the other structures and hides the ligament.</t>
        </is>
      </c>
      <c r="F3" s="4" t="inlineStr"/>
      <c r="G3" s="4" t="inlineStr"/>
      <c r="H3" s="4" t="inlineStr"/>
    </row>
    <row r="4">
      <c r="A4" s="4" t="inlineStr">
        <is>
          <t>3.9.1-F2</t>
        </is>
      </c>
      <c r="B4" s="4" t="inlineStr">
        <is>
          <t>3.9.1</t>
        </is>
      </c>
      <c r="C4" s="4" t="inlineStr">
        <is>
          <t>mrcs</t>
        </is>
      </c>
      <c r="D4" s="4" t="inlineStr">
        <is>
          <t>50 to 80 per cent</t>
        </is>
      </c>
      <c r="E4" s="4" t="inlineStr">
        <is>
          <t>Conventional teaching gives the superficial medial collateral ligament roughly 50 to 80 per cent of the valgus restraint at 20 to 30 degrees of flexion, which is where it is the clear primary.</t>
        </is>
      </c>
      <c r="F4" s="4" t="inlineStr"/>
      <c r="G4" s="4" t="inlineStr"/>
      <c r="H4" s="4" t="inlineStr"/>
    </row>
    <row r="5">
      <c r="A5" s="4" t="inlineStr">
        <is>
          <t>3.9.1-F3</t>
        </is>
      </c>
      <c r="B5" s="4" t="inlineStr">
        <is>
          <t>3.9.1</t>
        </is>
      </c>
      <c r="C5" s="4" t="inlineStr">
        <is>
          <t>frcs</t>
        </is>
      </c>
      <c r="D5" s="4" t="inlineStr">
        <is>
          <t>30 degrees</t>
        </is>
      </c>
      <c r="E5" s="4" t="inlineStr">
        <is>
          <t>Test in extension as well as at 30 degrees, since extension findings change the plan.</t>
        </is>
      </c>
      <c r="F5" s="4" t="inlineStr"/>
      <c r="G5" s="4" t="inlineStr"/>
      <c r="H5" s="4" t="inlineStr"/>
    </row>
    <row r="6">
      <c r="A6" s="4" t="inlineStr">
        <is>
          <t>3.9.5-F1</t>
        </is>
      </c>
      <c r="B6" s="4" t="inlineStr">
        <is>
          <t>3.9.5</t>
        </is>
      </c>
      <c r="C6" s="4" t="inlineStr">
        <is>
          <t>medical_student</t>
        </is>
      </c>
      <c r="D6" s="4" t="inlineStr">
        <is>
          <t>20 to 30 degrees</t>
        </is>
      </c>
      <c r="E6" s="4" t="inlineStr">
        <is>
          <t>That is why valgus testing is performed at 20 to 30 degrees: flexing the knee slackens this structure and isolates the superficial ligament.</t>
        </is>
      </c>
      <c r="F6" s="4" t="inlineStr"/>
      <c r="G6" s="4" t="inlineStr"/>
      <c r="H6" s="4" t="inlineStr"/>
    </row>
    <row r="7">
      <c r="A7" s="4" t="inlineStr">
        <is>
          <t>3.9.5-F2</t>
        </is>
      </c>
      <c r="B7" s="4" t="inlineStr">
        <is>
          <t>3.9.5</t>
        </is>
      </c>
      <c r="C7" s="4" t="inlineStr">
        <is>
          <t>mrcs</t>
        </is>
      </c>
      <c r="D7" s="4" t="inlineStr">
        <is>
          <t>30 degrees</t>
        </is>
      </c>
      <c r="E7" s="4" t="inlineStr">
        <is>
          <t>Test valgus in full extension as well as at 30 degrees.</t>
        </is>
      </c>
      <c r="F7" s="4" t="inlineStr"/>
      <c r="G7" s="4" t="inlineStr"/>
      <c r="H7" s="4" t="inlineStr"/>
    </row>
    <row r="8">
      <c r="A8" s="4" t="inlineStr">
        <is>
          <t>3.9.6-F1</t>
        </is>
      </c>
      <c r="B8" s="4" t="inlineStr">
        <is>
          <t>3.9.6</t>
        </is>
      </c>
      <c r="C8" s="4" t="inlineStr">
        <is>
          <t>frcs</t>
        </is>
      </c>
      <c r="D8" s="4" t="inlineStr">
        <is>
          <t>30 degrees</t>
        </is>
      </c>
      <c r="E8" s="4" t="inlineStr">
        <is>
          <t>Examination under anaesthetic at full extension and at 30 degrees is the practical assessment.</t>
        </is>
      </c>
      <c r="F8" s="4" t="inlineStr"/>
      <c r="G8" s="4" t="inlineStr"/>
      <c r="H8" s="4" t="inlineStr"/>
    </row>
    <row r="9">
      <c r="A9" s="4" t="inlineStr">
        <is>
          <t>3.9.7-F1</t>
        </is>
      </c>
      <c r="B9" s="4" t="inlineStr">
        <is>
          <t>3.9.7</t>
        </is>
      </c>
      <c r="C9" s="4" t="inlineStr">
        <is>
          <t>medical_student</t>
        </is>
      </c>
      <c r="D9" s="4" t="inlineStr">
        <is>
          <t>30 degrees</t>
        </is>
      </c>
      <c r="E9" s="4" t="inlineStr">
        <is>
          <t>A valgus test at 30 degrees can be nearly normal in a knee with this pattern, which is why the pattern is missed.</t>
        </is>
      </c>
      <c r="F9" s="4" t="inlineStr"/>
      <c r="G9" s="4" t="inlineStr"/>
      <c r="H9" s="4" t="inlineStr"/>
    </row>
    <row r="10">
      <c r="A10" s="4" t="inlineStr">
        <is>
          <t>3.9.7-F2</t>
        </is>
      </c>
      <c r="B10" s="4" t="inlineStr">
        <is>
          <t>3.9.7</t>
        </is>
      </c>
      <c r="C10" s="4" t="inlineStr">
        <is>
          <t>mrcs</t>
        </is>
      </c>
      <c r="D10" s="4" t="inlineStr">
        <is>
          <t>30 and 90 degrees</t>
        </is>
      </c>
      <c r="E10" s="4" t="inlineStr">
        <is>
          <t>External rotation laxity at 30 degrees distinguishes a medial rotatory injury from an isolated valgus one, and the dial test at 30 and 90 degrees separates medial from lateral involvement.</t>
        </is>
      </c>
      <c r="F10" s="4" t="inlineStr"/>
      <c r="G10" s="4" t="inlineStr"/>
      <c r="H10" s="4" t="inlineStr"/>
    </row>
    <row r="11">
      <c r="A11" s="4" t="inlineStr">
        <is>
          <t>3.9.8-F1</t>
        </is>
      </c>
      <c r="B11" s="4" t="inlineStr">
        <is>
          <t>3.9.8</t>
        </is>
      </c>
      <c r="C11" s="4" t="inlineStr">
        <is>
          <t>mrcs</t>
        </is>
      </c>
      <c r="D11" s="4" t="inlineStr">
        <is>
          <t>20 to 30 degrees</t>
        </is>
      </c>
      <c r="E11" s="4" t="inlineStr">
        <is>
          <t>The superficial limb is conventionally tensioned at around 20 to 30 degrees of flexion and the posteromedial limb nearer full extension, matching the native structures.</t>
        </is>
      </c>
      <c r="F11" s="4" t="inlineStr"/>
      <c r="G11" s="4" t="inlineStr"/>
      <c r="H11" s="4" t="inlineStr"/>
    </row>
    <row r="12">
      <c r="A12" s="4" t="inlineStr">
        <is>
          <t>3.9.9-F1</t>
        </is>
      </c>
      <c r="B12" s="4" t="inlineStr">
        <is>
          <t>3.9.9</t>
        </is>
      </c>
      <c r="C12" s="4" t="inlineStr">
        <is>
          <t>medical_student</t>
        </is>
      </c>
      <c r="D12" s="4" t="inlineStr">
        <is>
          <t>20 to 30 degrees</t>
        </is>
      </c>
      <c r="E12" s="4" t="inlineStr">
        <is>
          <t>At 20 to 30 degrees those structures have slackened and the superficial medial collateral ligament is the clear primary restraint.</t>
        </is>
      </c>
      <c r="F12" s="4" t="inlineStr"/>
      <c r="G12" s="4" t="inlineStr"/>
      <c r="H12" s="4" t="inlineStr"/>
    </row>
    <row r="13">
      <c r="A13" s="4" t="inlineStr">
        <is>
          <t>3.9.9-F2</t>
        </is>
      </c>
      <c r="B13" s="4" t="inlineStr">
        <is>
          <t>3.9.9</t>
        </is>
      </c>
      <c r="C13" s="4" t="inlineStr">
        <is>
          <t>medical_student</t>
        </is>
      </c>
      <c r="D13" s="4" t="inlineStr">
        <is>
          <t>30 degrees</t>
        </is>
      </c>
      <c r="E13" s="4" t="inlineStr">
        <is>
          <t>Opening in extension but not at 30 degrees is a corner pattern.</t>
        </is>
      </c>
      <c r="F13" s="4" t="inlineStr"/>
      <c r="G13" s="4" t="inlineStr"/>
      <c r="H13" s="4" t="inlineStr"/>
    </row>
  </sheetData>
  <dataValidations count="1">
    <dataValidation sqref="F3:F13"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69</f>
        <v/>
      </c>
      <c r="C2" s="3">
        <f>11</f>
        <v/>
      </c>
    </row>
    <row r="3">
      <c r="A3" s="2" t="inlineStr">
        <is>
          <t>Decided</t>
        </is>
      </c>
      <c r="B3" s="3">
        <f>COUNTIF(Recommendations!E3:E71,"&lt;&gt;")</f>
        <v/>
      </c>
      <c r="C3" s="3">
        <f>COUNTIF(Measurements!F3:F13,"&lt;&gt;")</f>
        <v/>
      </c>
    </row>
    <row r="4">
      <c r="A4" s="2" t="inlineStr">
        <is>
          <t>Still blank</t>
        </is>
      </c>
      <c r="B4" s="3">
        <f>B2-B3</f>
        <v/>
      </c>
      <c r="C4" s="3">
        <f>C2-C3</f>
        <v/>
      </c>
    </row>
    <row r="5">
      <c r="A5" s="2" t="inlineStr">
        <is>
          <t>CONFIRMED</t>
        </is>
      </c>
      <c r="B5" s="3">
        <f>COUNTIF(Recommendations!E3:E71,"CONFIRMED")</f>
        <v/>
      </c>
      <c r="C5" s="3" t="inlineStr"/>
    </row>
    <row r="6">
      <c r="A6" s="2" t="inlineStr">
        <is>
          <t>AMENDED</t>
        </is>
      </c>
      <c r="B6" s="3">
        <f>COUNTIF(Recommendations!E3:E71,"AMENDED")</f>
        <v/>
      </c>
      <c r="C6" s="3" t="inlineStr"/>
    </row>
    <row r="7">
      <c r="A7" s="2" t="inlineStr">
        <is>
          <t>WITHDRAWN</t>
        </is>
      </c>
      <c r="B7" s="3">
        <f>COUNTIF(Recommendations!E3:E71,"WITHDRAWN")</f>
        <v/>
      </c>
      <c r="C7" s="3" t="inlineStr"/>
    </row>
    <row r="8">
      <c r="A8" s="2" t="inlineStr">
        <is>
          <t>NOT_CLINICAL</t>
        </is>
      </c>
      <c r="B8" s="3">
        <f>COUNTIF(Recommendations!E3:E71,"NOT_CLINICAL")</f>
        <v/>
      </c>
      <c r="C8" s="3" t="inlineStr"/>
    </row>
    <row r="9">
      <c r="A9" s="2" t="inlineStr">
        <is>
          <t>VERIFIED</t>
        </is>
      </c>
      <c r="B9" s="3" t="inlineStr"/>
      <c r="C9" s="3">
        <f>COUNTIF(Measurements!F3:F13,"VERIFIED")</f>
        <v/>
      </c>
    </row>
    <row r="10">
      <c r="A10" s="2" t="inlineStr">
        <is>
          <t>CORRECTED</t>
        </is>
      </c>
      <c r="B10" s="3" t="inlineStr"/>
      <c r="C10" s="3">
        <f>COUNTIF(Measurements!F3:F13,"CORRECTED")</f>
        <v/>
      </c>
    </row>
    <row r="11">
      <c r="A11" s="2" t="inlineStr">
        <is>
          <t>REMOVED</t>
        </is>
      </c>
      <c r="B11" s="3" t="inlineStr"/>
      <c r="C11" s="3">
        <f>COUNTIF(Measurements!F3:F13,"REMOVED")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2026-10-10T12:20:00Z</dcterms:created>
  <dcterms:modified xmlns:dcterms="http://purl.org/dc/terms/" xmlns:xsi="http://www.w3.org/2001/XMLSchema-instance" xsi:type="dcterms:W3CDTF">2026-10-10T12:20:00Z</dcterms:modified>
</cp:coreProperties>
</file>