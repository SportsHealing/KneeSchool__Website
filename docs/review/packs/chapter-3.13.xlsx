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3.13 Alignment and Biomechanics</t>
        </is>
      </c>
    </row>
    <row r="3">
      <c r="A3" s="2" t="inlineStr">
        <is>
          <t>Section</t>
        </is>
      </c>
      <c r="B3" s="3" t="inlineStr">
        <is>
          <t>3</t>
        </is>
      </c>
    </row>
    <row r="4">
      <c r="A4" s="2" t="inlineStr">
        <is>
          <t>Chapter</t>
        </is>
      </c>
      <c r="B4" s="3" t="inlineStr">
        <is>
          <t>3.13 Alignment and Biomechanics</t>
        </is>
      </c>
    </row>
    <row r="5">
      <c r="A5" s="2" t="inlineStr">
        <is>
          <t>Pages</t>
        </is>
      </c>
      <c r="B5" s="3" t="n">
        <v>10</v>
      </c>
    </row>
    <row r="6">
      <c r="A6" s="2" t="inlineStr">
        <is>
          <t>Page type</t>
        </is>
      </c>
      <c r="B6" s="3" t="inlineStr">
        <is>
          <t>biomechanics</t>
        </is>
      </c>
    </row>
    <row r="7">
      <c r="A7" s="2" t="inlineStr">
        <is>
          <t>Tiers</t>
        </is>
      </c>
      <c r="B7" s="3" t="inlineStr">
        <is>
          <t>medical student, mrcs, frcs, fellowship</t>
        </is>
      </c>
    </row>
    <row r="8">
      <c r="A8" s="2" t="inlineStr">
        <is>
          <t>Words</t>
        </is>
      </c>
      <c r="B8" s="3" t="inlineStr">
        <is>
          <t>14,532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4</v>
      </c>
    </row>
    <row r="12">
      <c r="A12" s="2" t="inlineStr">
        <is>
          <t>Recommendations to sign</t>
        </is>
      </c>
      <c r="B12" s="3" t="n">
        <v>83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3.13.1</t>
        </is>
      </c>
      <c r="B2" s="6" t="inlineStr">
        <is>
          <t>Mechanical Axis</t>
        </is>
      </c>
      <c r="C2" s="6" t="n">
        <v>3</v>
      </c>
      <c r="D2" s="6" t="n">
        <v>1472</v>
      </c>
      <c r="E2" s="6" t="inlineStr">
        <is>
          <t>biomechanics/mechanical-axis.html</t>
        </is>
      </c>
    </row>
    <row r="3">
      <c r="A3" s="6" t="inlineStr">
        <is>
          <t>3.13.2</t>
        </is>
      </c>
      <c r="B3" s="6" t="inlineStr">
        <is>
          <t>Anatomical Axis</t>
        </is>
      </c>
      <c r="C3" s="6" t="n">
        <v>3</v>
      </c>
      <c r="D3" s="6" t="n">
        <v>1369</v>
      </c>
      <c r="E3" s="6" t="inlineStr">
        <is>
          <t>biomechanics/anatomical-axis.html</t>
        </is>
      </c>
    </row>
    <row r="4">
      <c r="A4" s="6" t="inlineStr">
        <is>
          <t>3.13.3</t>
        </is>
      </c>
      <c r="B4" s="6" t="inlineStr">
        <is>
          <t>Varus Alignment</t>
        </is>
      </c>
      <c r="C4" s="6" t="n">
        <v>3</v>
      </c>
      <c r="D4" s="6" t="n">
        <v>1389</v>
      </c>
      <c r="E4" s="6" t="inlineStr">
        <is>
          <t>biomechanics/varus-alignment.html</t>
        </is>
      </c>
    </row>
    <row r="5">
      <c r="A5" s="6" t="inlineStr">
        <is>
          <t>3.13.4</t>
        </is>
      </c>
      <c r="B5" s="6" t="inlineStr">
        <is>
          <t>Valgus Alignment</t>
        </is>
      </c>
      <c r="C5" s="6" t="n">
        <v>3</v>
      </c>
      <c r="D5" s="6" t="n">
        <v>1309</v>
      </c>
      <c r="E5" s="6" t="inlineStr">
        <is>
          <t>biomechanics/valgus-alignment.html</t>
        </is>
      </c>
    </row>
    <row r="6">
      <c r="A6" s="6" t="inlineStr">
        <is>
          <t>3.13.5</t>
        </is>
      </c>
      <c r="B6" s="6" t="inlineStr">
        <is>
          <t>Constitutional Varus</t>
        </is>
      </c>
      <c r="C6" s="6" t="n">
        <v>3</v>
      </c>
      <c r="D6" s="6" t="n">
        <v>1348</v>
      </c>
      <c r="E6" s="6" t="inlineStr">
        <is>
          <t>biomechanics/constitutional-varus.html</t>
        </is>
      </c>
    </row>
    <row r="7">
      <c r="A7" s="6" t="inlineStr">
        <is>
          <t>3.13.6</t>
        </is>
      </c>
      <c r="B7" s="6" t="inlineStr">
        <is>
          <t>Joint Line Obliquity</t>
        </is>
      </c>
      <c r="C7" s="6" t="n">
        <v>3</v>
      </c>
      <c r="D7" s="6" t="n">
        <v>1389</v>
      </c>
      <c r="E7" s="6" t="inlineStr">
        <is>
          <t>biomechanics/joint-line-obliquity.html</t>
        </is>
      </c>
    </row>
    <row r="8">
      <c r="A8" s="6" t="inlineStr">
        <is>
          <t>3.13.7</t>
        </is>
      </c>
      <c r="B8" s="6" t="inlineStr">
        <is>
          <t>Dynamic Alignment</t>
        </is>
      </c>
      <c r="C8" s="6" t="n">
        <v>3</v>
      </c>
      <c r="D8" s="6" t="n">
        <v>1312</v>
      </c>
      <c r="E8" s="6" t="inlineStr">
        <is>
          <t>biomechanics/dynamic-alignment.html</t>
        </is>
      </c>
    </row>
    <row r="9">
      <c r="A9" s="6" t="inlineStr">
        <is>
          <t>3.13.8</t>
        </is>
      </c>
      <c r="B9" s="6" t="inlineStr">
        <is>
          <t>Alignment and OA</t>
        </is>
      </c>
      <c r="C9" s="6" t="n">
        <v>3</v>
      </c>
      <c r="D9" s="6" t="n">
        <v>1380</v>
      </c>
      <c r="E9" s="6" t="inlineStr">
        <is>
          <t>biomechanics/alignment-and-osteoarthritis.html</t>
        </is>
      </c>
    </row>
    <row r="10">
      <c r="A10" s="6" t="inlineStr">
        <is>
          <t>3.13.9</t>
        </is>
      </c>
      <c r="B10" s="6" t="inlineStr">
        <is>
          <t>Osteotomy Biomechanics</t>
        </is>
      </c>
      <c r="C10" s="6" t="n">
        <v>4</v>
      </c>
      <c r="D10" s="6" t="n">
        <v>1789</v>
      </c>
      <c r="E10" s="6" t="inlineStr">
        <is>
          <t>biomechanics/osteotomy-biomechanics.html</t>
        </is>
      </c>
    </row>
    <row r="11">
      <c r="A11" s="6" t="inlineStr">
        <is>
          <t>3.13.10</t>
        </is>
      </c>
      <c r="B11" s="6" t="inlineStr">
        <is>
          <t>Alignment Correction Principles</t>
        </is>
      </c>
      <c r="C11" s="6" t="n">
        <v>4</v>
      </c>
      <c r="D11" s="6" t="n">
        <v>1775</v>
      </c>
      <c r="E11" s="6" t="inlineStr">
        <is>
          <t>biomechanics/alignment-correction-principles.html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3.13.1</t>
        </is>
      </c>
      <c r="B2" s="4" t="inlineStr">
        <is>
          <t>Mechanical Axis</t>
        </is>
      </c>
      <c r="C2" s="4" t="inlineStr">
        <is>
          <t>The mechanical axis is a static surrogate for a dynamic quantity, correlating moderately.</t>
        </is>
      </c>
    </row>
    <row r="3">
      <c r="A3" s="4" t="inlineStr">
        <is>
          <t>3.13.1</t>
        </is>
      </c>
      <c r="B3" s="4" t="inlineStr">
        <is>
          <t>Mechanical Axis</t>
        </is>
      </c>
      <c r="C3" s="4" t="inlineStr">
        <is>
          <t>A standing film records a loading condition that occupies a small part of the gait cycle.</t>
        </is>
      </c>
    </row>
    <row r="4">
      <c r="A4" s="4" t="inlineStr">
        <is>
          <t>3.13.1</t>
        </is>
      </c>
      <c r="B4" s="4" t="inlineStr">
        <is>
          <t>Mechanical Axis</t>
        </is>
      </c>
      <c r="C4" s="4" t="inlineStr">
        <is>
          <t>The measurement mixes bony deformity with intra-articular collapse.</t>
        </is>
      </c>
    </row>
    <row r="5">
      <c r="A5" s="4" t="inlineStr">
        <is>
          <t>3.13.1</t>
        </is>
      </c>
      <c r="B5" s="4" t="inlineStr">
        <is>
          <t>Mechanical Axis</t>
        </is>
      </c>
      <c r="C5" s="4" t="inlineStr">
        <is>
          <t>Projection error with rotation can reach several degrees.</t>
        </is>
      </c>
    </row>
    <row r="6">
      <c r="A6" s="4" t="inlineStr">
        <is>
          <t>3.13.1</t>
        </is>
      </c>
      <c r="B6" s="4" t="inlineStr">
        <is>
          <t>Mechanical Axis</t>
        </is>
      </c>
      <c r="C6" s="4" t="inlineStr">
        <is>
          <t>The adduction moment predicts progression best; the angle is what surgery plans to.</t>
        </is>
      </c>
    </row>
    <row r="7">
      <c r="A7" s="4" t="inlineStr">
        <is>
          <t>3.13.2</t>
        </is>
      </c>
      <c r="B7" s="4" t="inlineStr">
        <is>
          <t>Anatomical Axis</t>
        </is>
      </c>
      <c r="C7" s="4" t="inlineStr">
        <is>
          <t>Load follows the mechanical axis; instruments reference the shaft.</t>
        </is>
      </c>
    </row>
    <row r="8">
      <c r="A8" s="4" t="inlineStr">
        <is>
          <t>3.13.2</t>
        </is>
      </c>
      <c r="B8" s="4" t="inlineStr">
        <is>
          <t>Anatomical Axis</t>
        </is>
      </c>
      <c r="C8" s="4" t="inlineStr">
        <is>
          <t>Canal based techniques work in the anatomical frame and correct by a fixed offset.</t>
        </is>
      </c>
    </row>
    <row r="9">
      <c r="A9" s="4" t="inlineStr">
        <is>
          <t>3.13.2</t>
        </is>
      </c>
      <c r="B9" s="4" t="inlineStr">
        <is>
          <t>Anatomical Axis</t>
        </is>
      </c>
      <c r="C9" s="4" t="inlineStr">
        <is>
          <t>The fixed offset fails in the bowed femur, in the direction of residual deformity.</t>
        </is>
      </c>
    </row>
    <row r="10">
      <c r="A10" s="4" t="inlineStr">
        <is>
          <t>3.13.2</t>
        </is>
      </c>
      <c r="B10" s="4" t="inlineStr">
        <is>
          <t>Anatomical Axis</t>
        </is>
      </c>
      <c r="C10" s="4" t="inlineStr">
        <is>
          <t>Navigated techniques reference the mechanical frame and add registration error.</t>
        </is>
      </c>
    </row>
    <row r="11">
      <c r="A11" s="4" t="inlineStr">
        <is>
          <t>3.13.2</t>
        </is>
      </c>
      <c r="B11" s="4" t="inlineStr">
        <is>
          <t>Anatomical Axis</t>
        </is>
      </c>
      <c r="C11" s="4" t="inlineStr">
        <is>
          <t>Measuring each patient's own offset is the step most often skipped.</t>
        </is>
      </c>
    </row>
    <row r="12">
      <c r="A12" s="4" t="inlineStr">
        <is>
          <t>3.13.3</t>
        </is>
      </c>
      <c r="B12" s="4" t="inlineStr">
        <is>
          <t>Varus Alignment</t>
        </is>
      </c>
      <c r="C12" s="4" t="inlineStr">
        <is>
          <t>Varus increases medial load; the static angle predicts weakly in an individual.</t>
        </is>
      </c>
    </row>
    <row r="13">
      <c r="A13" s="4" t="inlineStr">
        <is>
          <t>3.13.3</t>
        </is>
      </c>
      <c r="B13" s="4" t="inlineStr">
        <is>
          <t>Varus Alignment</t>
        </is>
      </c>
      <c r="C13" s="4" t="inlineStr">
        <is>
          <t>The dynamic adduction moment is the stronger predictor and correlates only moderately.</t>
        </is>
      </c>
    </row>
    <row r="14">
      <c r="A14" s="4" t="inlineStr">
        <is>
          <t>3.13.3</t>
        </is>
      </c>
      <c r="B14" s="4" t="inlineStr">
        <is>
          <t>Varus Alignment</t>
        </is>
      </c>
      <c r="C14" s="4" t="inlineStr">
        <is>
          <t>Varus thrust during gait predicts progression independently and is a clinical observation.</t>
        </is>
      </c>
    </row>
    <row r="15">
      <c r="A15" s="4" t="inlineStr">
        <is>
          <t>3.13.3</t>
        </is>
      </c>
      <c r="B15" s="4" t="inlineStr">
        <is>
          <t>Varus Alignment</t>
        </is>
      </c>
      <c r="C15" s="4" t="inlineStr">
        <is>
          <t>Correcting the angle does not guarantee changing the moment.</t>
        </is>
      </c>
    </row>
    <row r="16">
      <c r="A16" s="4" t="inlineStr">
        <is>
          <t>3.13.3</t>
        </is>
      </c>
      <c r="B16" s="4" t="inlineStr">
        <is>
          <t>Varus Alignment</t>
        </is>
      </c>
      <c r="C16" s="4" t="inlineStr">
        <is>
          <t>The angle is corrected because it is the variable that can be corrected.</t>
        </is>
      </c>
    </row>
    <row r="17">
      <c r="A17" s="4" t="inlineStr">
        <is>
          <t>3.13.4</t>
        </is>
      </c>
      <c r="B17" s="4" t="inlineStr">
        <is>
          <t>Valgus Alignment</t>
        </is>
      </c>
      <c r="C17" s="4" t="inlineStr">
        <is>
          <t>Varus and valgus differ in compartment area, congruence, meniscal contribution and soft tissue.</t>
        </is>
      </c>
    </row>
    <row r="18">
      <c r="A18" s="4" t="inlineStr">
        <is>
          <t>3.13.4</t>
        </is>
      </c>
      <c r="B18" s="4" t="inlineStr">
        <is>
          <t>Valgus Alignment</t>
        </is>
      </c>
      <c r="C18" s="4" t="inlineStr">
        <is>
          <t>Equalising load share does not equalise pressure, because the lateral surface is smaller.</t>
        </is>
      </c>
    </row>
    <row r="19">
      <c r="A19" s="4" t="inlineStr">
        <is>
          <t>3.13.4</t>
        </is>
      </c>
      <c r="B19" s="4" t="inlineStr">
        <is>
          <t>Valgus Alignment</t>
        </is>
      </c>
      <c r="C19" s="4" t="inlineStr">
        <is>
          <t>Chronic valgus can leave a knee that is aligned and unstable.</t>
        </is>
      </c>
    </row>
    <row r="20">
      <c r="A20" s="4" t="inlineStr">
        <is>
          <t>3.13.4</t>
        </is>
      </c>
      <c r="B20" s="4" t="inlineStr">
        <is>
          <t>Valgus Alignment</t>
        </is>
      </c>
      <c r="C20" s="4" t="inlineStr">
        <is>
          <t>Distal femoral osteotomy is the usual correction site.</t>
        </is>
      </c>
    </row>
    <row r="21">
      <c r="A21" s="4" t="inlineStr">
        <is>
          <t>3.13.4</t>
        </is>
      </c>
      <c r="B21" s="4" t="inlineStr">
        <is>
          <t>Valgus Alignment</t>
        </is>
      </c>
      <c r="C21" s="4" t="inlineStr">
        <is>
          <t>Most alignment and load data comes from varus knees.</t>
        </is>
      </c>
    </row>
    <row r="22">
      <c r="A22" s="4" t="inlineStr">
        <is>
          <t>3.13.5</t>
        </is>
      </c>
      <c r="B22" s="4" t="inlineStr">
        <is>
          <t>Constitutional Varus</t>
        </is>
      </c>
      <c r="C22" s="4" t="inlineStr">
        <is>
          <t>If neutral is an average rather than a norm, correcting everyone to it overcorrects a third of men.</t>
        </is>
      </c>
    </row>
    <row r="23">
      <c r="A23" s="4" t="inlineStr">
        <is>
          <t>3.13.5</t>
        </is>
      </c>
      <c r="B23" s="4" t="inlineStr">
        <is>
          <t>Constitutional Varus</t>
        </is>
      </c>
      <c r="C23" s="4" t="inlineStr">
        <is>
          <t>A knee aligned away from where its ligaments grew needs release or accepts imbalance.</t>
        </is>
      </c>
    </row>
    <row r="24">
      <c r="A24" s="4" t="inlineStr">
        <is>
          <t>3.13.5</t>
        </is>
      </c>
      <c r="B24" s="4" t="inlineStr">
        <is>
          <t>Constitutional Varus</t>
        </is>
      </c>
      <c r="C24" s="4" t="inlineStr">
        <is>
          <t>The argument supports kinematic alignment in arthroplasty and cuts the other way in osteotomy.</t>
        </is>
      </c>
    </row>
    <row r="25">
      <c r="A25" s="4" t="inlineStr">
        <is>
          <t>3.13.5</t>
        </is>
      </c>
      <c r="B25" s="4" t="inlineStr">
        <is>
          <t>Constitutional Varus</t>
        </is>
      </c>
      <c r="C25" s="4" t="inlineStr">
        <is>
          <t>Teaching has moved from one target to a range whose boundaries are unsettled.</t>
        </is>
      </c>
    </row>
    <row r="26">
      <c r="A26" s="4" t="inlineStr">
        <is>
          <t>3.13.5</t>
        </is>
      </c>
      <c r="B26" s="4" t="inlineStr">
        <is>
          <t>Constitutional Varus</t>
        </is>
      </c>
      <c r="C26" s="4" t="inlineStr">
        <is>
          <t>There is no per patient measurement of constitutional alignment once disease is present.</t>
        </is>
      </c>
    </row>
    <row r="27">
      <c r="A27" s="4" t="inlineStr">
        <is>
          <t>3.13.6</t>
        </is>
      </c>
      <c r="B27" s="4" t="inlineStr">
        <is>
          <t>Joint Line Obliquity</t>
        </is>
      </c>
      <c r="C27" s="4" t="inlineStr">
        <is>
          <t>Obliquity turns a one variable correction into a two variable one.</t>
        </is>
      </c>
    </row>
    <row r="28">
      <c r="A28" s="4" t="inlineStr">
        <is>
          <t>3.13.6</t>
        </is>
      </c>
      <c r="B28" s="4" t="inlineStr">
        <is>
          <t>Joint Line Obliquity</t>
        </is>
      </c>
      <c r="C28" s="4" t="inlineStr">
        <is>
          <t>A tibial correction for a femoral deformity gives a neutral axis loaded in shear.</t>
        </is>
      </c>
    </row>
    <row r="29">
      <c r="A29" s="4" t="inlineStr">
        <is>
          <t>3.13.6</t>
        </is>
      </c>
      <c r="B29" s="4" t="inlineStr">
        <is>
          <t>Joint Line Obliquity</t>
        </is>
      </c>
      <c r="C29" s="4" t="inlineStr">
        <is>
          <t>The accepted limit of a few degrees is a convention, not a measured threshold.</t>
        </is>
      </c>
    </row>
    <row r="30">
      <c r="A30" s="4" t="inlineStr">
        <is>
          <t>3.13.6</t>
        </is>
      </c>
      <c r="B30" s="4" t="inlineStr">
        <is>
          <t>Joint Line Obliquity</t>
        </is>
      </c>
      <c r="C30" s="4" t="inlineStr">
        <is>
          <t>Double level correction buys joint line preservation at the cost of a second osteotomy.</t>
        </is>
      </c>
    </row>
    <row r="31">
      <c r="A31" s="4" t="inlineStr">
        <is>
          <t>3.13.6</t>
        </is>
      </c>
      <c r="B31" s="4" t="inlineStr">
        <is>
          <t>Joint Line Obliquity</t>
        </is>
      </c>
      <c r="C31" s="4" t="inlineStr">
        <is>
          <t>The intra-articular component sets a floor on achievable obliquity.</t>
        </is>
      </c>
    </row>
    <row r="32">
      <c r="A32" s="4" t="inlineStr">
        <is>
          <t>3.13.7</t>
        </is>
      </c>
      <c r="B32" s="4" t="inlineStr">
        <is>
          <t>Dynamic Alignment</t>
        </is>
      </c>
      <c r="C32" s="4" t="inlineStr">
        <is>
          <t>The variable that predicts is neither the one measured nor the one surgery corrects.</t>
        </is>
      </c>
    </row>
    <row r="33">
      <c r="A33" s="4" t="inlineStr">
        <is>
          <t>3.13.7</t>
        </is>
      </c>
      <c r="B33" s="4" t="inlineStr">
        <is>
          <t>Dynamic Alignment</t>
        </is>
      </c>
      <c r="C33" s="4" t="inlineStr">
        <is>
          <t>Correcting geometry changes the moment arm and leaves force magnitude and timing untouched.</t>
        </is>
      </c>
    </row>
    <row r="34">
      <c r="A34" s="4" t="inlineStr">
        <is>
          <t>3.13.7</t>
        </is>
      </c>
      <c r="B34" s="4" t="inlineStr">
        <is>
          <t>Dynamic Alignment</t>
        </is>
      </c>
      <c r="C34" s="4" t="inlineStr">
        <is>
          <t>The moment changes by less than the radiographic correction suggests.</t>
        </is>
      </c>
    </row>
    <row r="35">
      <c r="A35" s="4" t="inlineStr">
        <is>
          <t>3.13.7</t>
        </is>
      </c>
      <c r="B35" s="4" t="inlineStr">
        <is>
          <t>Dynamic Alignment</t>
        </is>
      </c>
      <c r="C35" s="4" t="inlineStr">
        <is>
          <t>Gait retraining, wedges and weight loss change mechanics without changing a degree on a film.</t>
        </is>
      </c>
    </row>
    <row r="36">
      <c r="A36" s="4" t="inlineStr">
        <is>
          <t>3.13.7</t>
        </is>
      </c>
      <c r="B36" s="4" t="inlineStr">
        <is>
          <t>Dynamic Alignment</t>
        </is>
      </c>
      <c r="C36" s="4" t="inlineStr">
        <is>
          <t>The dynamic quantity is known and simply not measured in practice.</t>
        </is>
      </c>
    </row>
    <row r="37">
      <c r="A37" s="4" t="inlineStr">
        <is>
          <t>3.13.8</t>
        </is>
      </c>
      <c r="B37" s="4" t="inlineStr">
        <is>
          <t>Alignment and OA</t>
        </is>
      </c>
      <c r="C37" s="4" t="inlineStr">
        <is>
          <t>Alignment predicts progression of established disease; its role in incidence is weaker.</t>
        </is>
      </c>
    </row>
    <row r="38">
      <c r="A38" s="4" t="inlineStr">
        <is>
          <t>3.13.8</t>
        </is>
      </c>
      <c r="B38" s="4" t="inlineStr">
        <is>
          <t>Alignment and OA</t>
        </is>
      </c>
      <c r="C38" s="4" t="inlineStr">
        <is>
          <t>Correction has its best rationale with a deformity and a preserved opposite compartment.</t>
        </is>
      </c>
    </row>
    <row r="39">
      <c r="A39" s="4" t="inlineStr">
        <is>
          <t>3.13.8</t>
        </is>
      </c>
      <c r="B39" s="4" t="inlineStr">
        <is>
          <t>Alignment and OA</t>
        </is>
      </c>
      <c r="C39" s="4" t="inlineStr">
        <is>
          <t>A severe varus knee carries most of its deformity inside the joint.</t>
        </is>
      </c>
    </row>
    <row r="40">
      <c r="A40" s="4" t="inlineStr">
        <is>
          <t>3.13.8</t>
        </is>
      </c>
      <c r="B40" s="4" t="inlineStr">
        <is>
          <t>Alignment and OA</t>
        </is>
      </c>
      <c r="C40" s="4" t="inlineStr">
        <is>
          <t>Correcting late moves load onto a compartment that may also be worn.</t>
        </is>
      </c>
    </row>
    <row r="41">
      <c r="A41" s="4" t="inlineStr">
        <is>
          <t>3.13.8</t>
        </is>
      </c>
      <c r="B41" s="4" t="inlineStr">
        <is>
          <t>Alignment and OA</t>
        </is>
      </c>
      <c r="C41" s="4" t="inlineStr">
        <is>
          <t>The mechanical and biological literatures use different endpoints and have not converged.</t>
        </is>
      </c>
    </row>
    <row r="42">
      <c r="A42" s="4" t="inlineStr">
        <is>
          <t>3.13.9</t>
        </is>
      </c>
      <c r="B42" s="4" t="inlineStr">
        <is>
          <t>Osteotomy Biomechanics</t>
        </is>
      </c>
      <c r="C42" s="4" t="inlineStr">
        <is>
          <t>The osteotomy is a three plane operation and the indication decides which plane leads.</t>
        </is>
      </c>
    </row>
    <row r="43">
      <c r="A43" s="4" t="inlineStr">
        <is>
          <t>3.13.9</t>
        </is>
      </c>
      <c r="B43" s="4" t="inlineStr">
        <is>
          <t>Osteotomy Biomechanics</t>
        </is>
      </c>
      <c r="C43" s="4" t="inlineStr">
        <is>
          <t>Coronal leads for compartment disease; sagittal leads for a steep slope in a revision cruciate knee.</t>
        </is>
      </c>
    </row>
    <row r="44">
      <c r="A44" s="4" t="inlineStr">
        <is>
          <t>3.13.9</t>
        </is>
      </c>
      <c r="B44" s="4" t="inlineStr">
        <is>
          <t>Osteotomy Biomechanics</t>
        </is>
      </c>
      <c r="C44" s="4" t="inlineStr">
        <is>
          <t>Combined procedures change sequencing, fixation and rehabilitation.</t>
        </is>
      </c>
    </row>
    <row r="45">
      <c r="A45" s="4" t="inlineStr">
        <is>
          <t>3.13.9</t>
        </is>
      </c>
      <c r="B45" s="4" t="inlineStr">
        <is>
          <t>Osteotomy Biomechanics</t>
        </is>
      </c>
      <c r="C45" s="4" t="inlineStr">
        <is>
          <t>A failed previous correction is a new deformity with a surgical component.</t>
        </is>
      </c>
    </row>
    <row r="46">
      <c r="A46" s="4" t="inlineStr">
        <is>
          <t>3.13.9</t>
        </is>
      </c>
      <c r="B46" s="4" t="inlineStr">
        <is>
          <t>Osteotomy Biomechanics</t>
        </is>
      </c>
      <c r="C46" s="4" t="inlineStr">
        <is>
          <t>No series reports adduction moment, slope and patellar height together before and after.</t>
        </is>
      </c>
    </row>
    <row r="47">
      <c r="A47" s="4" t="inlineStr">
        <is>
          <t>3.13.10</t>
        </is>
      </c>
      <c r="B47" s="4" t="inlineStr">
        <is>
          <t>Alignment Correction Principles</t>
        </is>
      </c>
      <c r="C47" s="4" t="inlineStr">
        <is>
          <t>The fellowship question is which plane's target leads and what the reference should be.</t>
        </is>
      </c>
    </row>
    <row r="48">
      <c r="A48" s="4" t="inlineStr">
        <is>
          <t>3.13.10</t>
        </is>
      </c>
      <c r="B48" s="4" t="inlineStr">
        <is>
          <t>Alignment Correction Principles</t>
        </is>
      </c>
      <c r="C48" s="4" t="inlineStr">
        <is>
          <t>Kinematic alignment takes the patient's own alignment as the target within limits.</t>
        </is>
      </c>
    </row>
    <row r="49">
      <c r="A49" s="4" t="inlineStr">
        <is>
          <t>3.13.10</t>
        </is>
      </c>
      <c r="B49" s="4" t="inlineStr">
        <is>
          <t>Alignment Correction Principles</t>
        </is>
      </c>
      <c r="C49" s="4" t="inlineStr">
        <is>
          <t>The same logic argues for less correction in a constitutionally varus knee, unsupported by data.</t>
        </is>
      </c>
    </row>
    <row r="50">
      <c r="A50" s="4" t="inlineStr">
        <is>
          <t>3.13.10</t>
        </is>
      </c>
      <c r="B50" s="4" t="inlineStr">
        <is>
          <t>Alignment Correction Principles</t>
        </is>
      </c>
      <c r="C50" s="4" t="inlineStr">
        <is>
          <t>A sagittal target has entered practice in the revision cruciate knee with a steep slope.</t>
        </is>
      </c>
    </row>
    <row r="51">
      <c r="A51" s="4" t="inlineStr">
        <is>
          <t>3.13.10</t>
        </is>
      </c>
      <c r="B51" s="4" t="inlineStr">
        <is>
          <t>Alignment Correction Principles</t>
        </is>
      </c>
      <c r="C51" s="4" t="inlineStr">
        <is>
          <t>No study sets a target in one plane and measures the consequences in the other two.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3.13.1-P1</t>
        </is>
      </c>
      <c r="B3" s="4" t="inlineStr">
        <is>
          <t>3.13.1</t>
        </is>
      </c>
      <c r="C3" s="4" t="inlineStr">
        <is>
          <t>mrcs</t>
        </is>
      </c>
      <c r="D3" s="4" t="inlineStr">
        <is>
          <t>Measure alignment on a standing long leg film rather than on a knee radiograph, since the landmarks are off the smaller film.</t>
        </is>
      </c>
      <c r="E3" s="4" t="inlineStr"/>
      <c r="F3" s="4" t="inlineStr"/>
      <c r="G3" s="4" t="inlineStr"/>
    </row>
    <row r="4">
      <c r="A4" s="4" t="inlineStr">
        <is>
          <t>3.13.1-P2</t>
        </is>
      </c>
      <c r="B4" s="4" t="inlineStr">
        <is>
          <t>3.13.1</t>
        </is>
      </c>
      <c r="C4" s="4" t="inlineStr">
        <is>
          <t>mrcs</t>
        </is>
      </c>
      <c r="D4" s="4" t="inlineStr">
        <is>
          <t>Treat the mechanical axis as a predictor of load share rather than as a measurement of load.</t>
        </is>
      </c>
      <c r="E4" s="4" t="inlineStr"/>
      <c r="F4" s="4" t="inlineStr"/>
      <c r="G4" s="4" t="inlineStr"/>
    </row>
    <row r="5">
      <c r="A5" s="4" t="inlineStr">
        <is>
          <t>3.13.1-P3</t>
        </is>
      </c>
      <c r="B5" s="4" t="inlineStr">
        <is>
          <t>3.13.1</t>
        </is>
      </c>
      <c r="C5" s="4" t="inlineStr">
        <is>
          <t>frcs</t>
        </is>
      </c>
      <c r="D5" s="4" t="inlineStr">
        <is>
          <t>Plan from a standardised standing long leg film, and state the rotation control used.</t>
        </is>
      </c>
      <c r="E5" s="4" t="inlineStr"/>
      <c r="F5" s="4" t="inlineStr"/>
      <c r="G5" s="4" t="inlineStr"/>
    </row>
    <row r="6">
      <c r="A6" s="4" t="inlineStr">
        <is>
          <t>3.13.1-P4</t>
        </is>
      </c>
      <c r="B6" s="4" t="inlineStr">
        <is>
          <t>3.13.1</t>
        </is>
      </c>
      <c r="C6" s="4" t="inlineStr">
        <is>
          <t>frcs</t>
        </is>
      </c>
      <c r="D6" s="4" t="inlineStr">
        <is>
          <t>Avoid inferring dynamic load from a static angle in an individual, since the correlation is moderate.</t>
        </is>
      </c>
      <c r="E6" s="4" t="inlineStr"/>
      <c r="F6" s="4" t="inlineStr"/>
      <c r="G6" s="4" t="inlineStr"/>
    </row>
    <row r="7">
      <c r="A7" s="4" t="inlineStr">
        <is>
          <t>3.13.1-P5</t>
        </is>
      </c>
      <c r="B7" s="4" t="inlineStr">
        <is>
          <t>3.13.1</t>
        </is>
      </c>
      <c r="C7" s="4" t="inlineStr">
        <is>
          <t>frcs</t>
        </is>
      </c>
      <c r="D7" s="4" t="inlineStr">
        <is>
          <t>State the convention used when quoting a hip knee ankle angle, since sign conventions differ between publications.</t>
        </is>
      </c>
      <c r="E7" s="4" t="inlineStr"/>
      <c r="F7" s="4" t="inlineStr"/>
      <c r="G7" s="4" t="inlineStr"/>
    </row>
    <row r="8">
      <c r="A8" s="4" t="inlineStr">
        <is>
          <t>3.13.1-P6</t>
        </is>
      </c>
      <c r="B8" s="4" t="inlineStr">
        <is>
          <t>3.13.1</t>
        </is>
      </c>
      <c r="C8" s="4" t="inlineStr">
        <is>
          <t>frcs</t>
        </is>
      </c>
      <c r="D8" s="4" t="inlineStr">
        <is>
          <t>Take the patient's age, physiology, comorbidities, knee demand, psychological state and their own ideas, concerns and expectations into any correction decision, because the angle describes a limb and not a person.</t>
        </is>
      </c>
      <c r="E8" s="4" t="inlineStr"/>
      <c r="F8" s="4" t="inlineStr"/>
      <c r="G8" s="4" t="inlineStr"/>
    </row>
    <row r="9">
      <c r="A9" s="4" t="inlineStr">
        <is>
          <t>3.13.2-P1</t>
        </is>
      </c>
      <c r="B9" s="4" t="inlineStr">
        <is>
          <t>3.13.2</t>
        </is>
      </c>
      <c r="C9" s="4" t="inlineStr">
        <is>
          <t>mrcs</t>
        </is>
      </c>
      <c r="D9" s="4" t="inlineStr">
        <is>
          <t>No single film gives all three frames, so the frame must be stated with the number.</t>
        </is>
      </c>
      <c r="E9" s="4" t="inlineStr"/>
      <c r="F9" s="4" t="inlineStr"/>
      <c r="G9" s="4" t="inlineStr"/>
    </row>
    <row r="10">
      <c r="A10" s="4" t="inlineStr">
        <is>
          <t>3.13.2-P2</t>
        </is>
      </c>
      <c r="B10" s="4" t="inlineStr">
        <is>
          <t>3.13.2</t>
        </is>
      </c>
      <c r="C10" s="4" t="inlineStr">
        <is>
          <t>mrcs</t>
        </is>
      </c>
      <c r="D10" s="4" t="inlineStr">
        <is>
          <t>State which axis a quoted angle refers to, because the two differ by several degrees in the clinically relevant direction.</t>
        </is>
      </c>
      <c r="E10" s="4" t="inlineStr"/>
      <c r="F10" s="4" t="inlineStr"/>
      <c r="G10" s="4" t="inlineStr"/>
    </row>
    <row r="11">
      <c r="A11" s="4" t="inlineStr">
        <is>
          <t>3.13.2-P3</t>
        </is>
      </c>
      <c r="B11" s="4" t="inlineStr">
        <is>
          <t>3.13.2</t>
        </is>
      </c>
      <c r="C11" s="4" t="inlineStr">
        <is>
          <t>mrcs</t>
        </is>
      </c>
      <c r="D11" s="4" t="inlineStr">
        <is>
          <t>Measure the mechanical anatomical angle rather than assuming 5 to 7 degrees in a bowed or previously fractured femur.</t>
        </is>
      </c>
      <c r="E11" s="4" t="inlineStr"/>
      <c r="F11" s="4" t="inlineStr"/>
      <c r="G11" s="4" t="inlineStr"/>
    </row>
    <row r="12">
      <c r="A12" s="4" t="inlineStr">
        <is>
          <t>3.13.2-P4</t>
        </is>
      </c>
      <c r="B12" s="4" t="inlineStr">
        <is>
          <t>3.13.2</t>
        </is>
      </c>
      <c r="C12" s="4" t="inlineStr">
        <is>
          <t>mrcs</t>
        </is>
      </c>
      <c r="D12" s="4" t="inlineStr">
        <is>
          <t>Localise a deformity with joint orientation angles before correcting it, since overall alignment does not say where the problem is.</t>
        </is>
      </c>
      <c r="E12" s="4" t="inlineStr"/>
      <c r="F12" s="4" t="inlineStr"/>
      <c r="G12" s="4" t="inlineStr"/>
    </row>
    <row r="13">
      <c r="A13" s="4" t="inlineStr">
        <is>
          <t>3.13.2-P5</t>
        </is>
      </c>
      <c r="B13" s="4" t="inlineStr">
        <is>
          <t>3.13.2</t>
        </is>
      </c>
      <c r="C13" s="4" t="inlineStr">
        <is>
          <t>mrcs</t>
        </is>
      </c>
      <c r="D13" s="4" t="inlineStr">
        <is>
          <t>Avoid planning a correction from a knee radiograph, since the mechanical landmarks are not on it.</t>
        </is>
      </c>
      <c r="E13" s="4" t="inlineStr"/>
      <c r="F13" s="4" t="inlineStr"/>
      <c r="G13" s="4" t="inlineStr"/>
    </row>
    <row r="14">
      <c r="A14" s="4" t="inlineStr">
        <is>
          <t>3.13.2-P6</t>
        </is>
      </c>
      <c r="B14" s="4" t="inlineStr">
        <is>
          <t>3.13.2</t>
        </is>
      </c>
      <c r="C14" s="4" t="inlineStr">
        <is>
          <t>frcs</t>
        </is>
      </c>
      <c r="D14" s="4" t="inlineStr">
        <is>
          <t>Measure the mechanical anatomical angle in any femur that is bowed, short or previously fractured, rather than applying the standard offset.</t>
        </is>
      </c>
      <c r="E14" s="4" t="inlineStr"/>
      <c r="F14" s="4" t="inlineStr"/>
      <c r="G14" s="4" t="inlineStr"/>
    </row>
    <row r="15">
      <c r="A15" s="4" t="inlineStr">
        <is>
          <t>3.13.2-P7</t>
        </is>
      </c>
      <c r="B15" s="4" t="inlineStr">
        <is>
          <t>3.13.2</t>
        </is>
      </c>
      <c r="C15" s="4" t="inlineStr">
        <is>
          <t>frcs</t>
        </is>
      </c>
      <c r="D15" s="4" t="inlineStr">
        <is>
          <t>Record which frame a planned correction is expressed in, and which frame the instruments will reference.</t>
        </is>
      </c>
      <c r="E15" s="4" t="inlineStr"/>
      <c r="F15" s="4" t="inlineStr"/>
      <c r="G15" s="4" t="inlineStr"/>
    </row>
    <row r="16">
      <c r="A16" s="4" t="inlineStr">
        <is>
          <t>3.13.2-P8</t>
        </is>
      </c>
      <c r="B16" s="4" t="inlineStr">
        <is>
          <t>3.13.2</t>
        </is>
      </c>
      <c r="C16" s="4" t="inlineStr">
        <is>
          <t>frcs</t>
        </is>
      </c>
      <c r="D16" s="4" t="inlineStr">
        <is>
          <t>Expect a canal referenced technique to inherit the offset assumption, and account for it.</t>
        </is>
      </c>
      <c r="E16" s="4" t="inlineStr"/>
      <c r="F16" s="4" t="inlineStr"/>
      <c r="G16" s="4" t="inlineStr"/>
    </row>
    <row r="17">
      <c r="A17" s="4" t="inlineStr">
        <is>
          <t>3.13.2-P9</t>
        </is>
      </c>
      <c r="B17" s="4" t="inlineStr">
        <is>
          <t>3.13.2</t>
        </is>
      </c>
      <c r="C17" s="4" t="inlineStr">
        <is>
          <t>frcs</t>
        </is>
      </c>
      <c r="D17" s="4" t="inlineStr">
        <is>
          <t>Avoid converting between frames in an individual using a population figure, and say when that is what has been done.</t>
        </is>
      </c>
      <c r="E17" s="4" t="inlineStr"/>
      <c r="F17" s="4" t="inlineStr"/>
      <c r="G17" s="4" t="inlineStr"/>
    </row>
    <row r="18">
      <c r="A18" s="4" t="inlineStr">
        <is>
          <t>3.13.2-P10</t>
        </is>
      </c>
      <c r="B18" s="4" t="inlineStr">
        <is>
          <t>3.13.2</t>
        </is>
      </c>
      <c r="C18" s="4" t="inlineStr">
        <is>
          <t>frcs</t>
        </is>
      </c>
      <c r="D18" s="4" t="inlineStr">
        <is>
          <t>State the convention and the frame alongside any alignment number in a letter or an operation note, since the reader cannot infer either.</t>
        </is>
      </c>
      <c r="E18" s="4" t="inlineStr"/>
      <c r="F18" s="4" t="inlineStr"/>
      <c r="G18" s="4" t="inlineStr"/>
    </row>
    <row r="19">
      <c r="A19" s="4" t="inlineStr">
        <is>
          <t>3.13.3-P1</t>
        </is>
      </c>
      <c r="B19" s="4" t="inlineStr">
        <is>
          <t>3.13.3</t>
        </is>
      </c>
      <c r="C19" s="4" t="inlineStr">
        <is>
          <t>mrcs</t>
        </is>
      </c>
      <c r="D19" s="4" t="inlineStr">
        <is>
          <t>Expect the first few degrees of varus to matter more than the next few, since the relationship is not linear.</t>
        </is>
      </c>
      <c r="E19" s="4" t="inlineStr"/>
      <c r="F19" s="4" t="inlineStr"/>
      <c r="G19" s="4" t="inlineStr"/>
    </row>
    <row r="20">
      <c r="A20" s="4" t="inlineStr">
        <is>
          <t>3.13.3-P2</t>
        </is>
      </c>
      <c r="B20" s="4" t="inlineStr">
        <is>
          <t>3.13.3</t>
        </is>
      </c>
      <c r="C20" s="4" t="inlineStr">
        <is>
          <t>mrcs</t>
        </is>
      </c>
      <c r="D20" s="4" t="inlineStr">
        <is>
          <t>Assess lateral soft tissue competence, since lateral opening inflates the measured deformity.</t>
        </is>
      </c>
      <c r="E20" s="4" t="inlineStr"/>
      <c r="F20" s="4" t="inlineStr"/>
      <c r="G20" s="4" t="inlineStr"/>
    </row>
    <row r="21">
      <c r="A21" s="4" t="inlineStr">
        <is>
          <t>3.13.3-P3</t>
        </is>
      </c>
      <c r="B21" s="4" t="inlineStr">
        <is>
          <t>3.13.3</t>
        </is>
      </c>
      <c r="C21" s="4" t="inlineStr">
        <is>
          <t>mrcs</t>
        </is>
      </c>
      <c r="D21" s="4" t="inlineStr">
        <is>
          <t>Avoid treating mild varus as pathological on its own, because it is common in healthy knees.</t>
        </is>
      </c>
      <c r="E21" s="4" t="inlineStr"/>
      <c r="F21" s="4" t="inlineStr"/>
      <c r="G21" s="4" t="inlineStr"/>
    </row>
    <row r="22">
      <c r="A22" s="4" t="inlineStr">
        <is>
          <t>3.13.3-P4</t>
        </is>
      </c>
      <c r="B22" s="4" t="inlineStr">
        <is>
          <t>3.13.3</t>
        </is>
      </c>
      <c r="C22" s="4" t="inlineStr">
        <is>
          <t>frcs</t>
        </is>
      </c>
      <c r="D22" s="4" t="inlineStr">
        <is>
          <t>Treat the static angle as a surrogate and say so when explaining the rationale for correction.</t>
        </is>
      </c>
      <c r="E22" s="4" t="inlineStr"/>
      <c r="F22" s="4" t="inlineStr"/>
      <c r="G22" s="4" t="inlineStr"/>
    </row>
    <row r="23">
      <c r="A23" s="4" t="inlineStr">
        <is>
          <t>3.13.3-P5</t>
        </is>
      </c>
      <c r="B23" s="4" t="inlineStr">
        <is>
          <t>3.13.3</t>
        </is>
      </c>
      <c r="C23" s="4" t="inlineStr">
        <is>
          <t>frcs</t>
        </is>
      </c>
      <c r="D23" s="4" t="inlineStr">
        <is>
          <t>Address body mass alongside geometry, since both terms sit in the same moment.</t>
        </is>
      </c>
      <c r="E23" s="4" t="inlineStr"/>
      <c r="F23" s="4" t="inlineStr"/>
      <c r="G23" s="4" t="inlineStr"/>
    </row>
    <row r="24">
      <c r="A24" s="4" t="inlineStr">
        <is>
          <t>3.13.3-P6</t>
        </is>
      </c>
      <c r="B24" s="4" t="inlineStr">
        <is>
          <t>3.13.3</t>
        </is>
      </c>
      <c r="C24" s="4" t="inlineStr">
        <is>
          <t>frcs</t>
        </is>
      </c>
      <c r="D24" s="4" t="inlineStr">
        <is>
          <t>Weigh the patient's age, physiology, comorbidities, knee demand, psychological state and their own ideas, concerns and expectations, because an osteotomy asks a great deal of a patient for a change in a surrogate.</t>
        </is>
      </c>
      <c r="E24" s="4" t="inlineStr"/>
      <c r="F24" s="4" t="inlineStr"/>
      <c r="G24" s="4" t="inlineStr"/>
    </row>
    <row r="25">
      <c r="A25" s="4" t="inlineStr">
        <is>
          <t>3.13.4-P1</t>
        </is>
      </c>
      <c r="B25" s="4" t="inlineStr">
        <is>
          <t>3.13.4</t>
        </is>
      </c>
      <c r="C25" s="4" t="inlineStr">
        <is>
          <t>mrcs</t>
        </is>
      </c>
      <c r="D25" s="4" t="inlineStr">
        <is>
          <t>Localise a valgus deformity before correcting it, since it is more often femoral.</t>
        </is>
      </c>
      <c r="E25" s="4" t="inlineStr"/>
      <c r="F25" s="4" t="inlineStr"/>
      <c r="G25" s="4" t="inlineStr"/>
    </row>
    <row r="26">
      <c r="A26" s="4" t="inlineStr">
        <is>
          <t>3.13.4-P2</t>
        </is>
      </c>
      <c r="B26" s="4" t="inlineStr">
        <is>
          <t>3.13.4</t>
        </is>
      </c>
      <c r="C26" s="4" t="inlineStr">
        <is>
          <t>mrcs</t>
        </is>
      </c>
      <c r="D26" s="4" t="inlineStr">
        <is>
          <t>Assess medial soft tissue competence, because chronic valgus produces laxity as well as deformity.</t>
        </is>
      </c>
      <c r="E26" s="4" t="inlineStr"/>
      <c r="F26" s="4" t="inlineStr"/>
      <c r="G26" s="4" t="inlineStr"/>
    </row>
    <row r="27">
      <c r="A27" s="4" t="inlineStr">
        <is>
          <t>3.13.4-P3</t>
        </is>
      </c>
      <c r="B27" s="4" t="inlineStr">
        <is>
          <t>3.13.4</t>
        </is>
      </c>
      <c r="C27" s="4" t="inlineStr">
        <is>
          <t>mrcs</t>
        </is>
      </c>
      <c r="D27" s="4" t="inlineStr">
        <is>
          <t>Expect lateral compartment pressure to rise faster than the load share does, because the surface is smaller.</t>
        </is>
      </c>
      <c r="E27" s="4" t="inlineStr"/>
      <c r="F27" s="4" t="inlineStr"/>
      <c r="G27" s="4" t="inlineStr"/>
    </row>
    <row r="28">
      <c r="A28" s="4" t="inlineStr">
        <is>
          <t>3.13.4-P4</t>
        </is>
      </c>
      <c r="B28" s="4" t="inlineStr">
        <is>
          <t>3.13.4</t>
        </is>
      </c>
      <c r="C28" s="4" t="inlineStr">
        <is>
          <t>mrcs</t>
        </is>
      </c>
      <c r="D28" s="4" t="inlineStr">
        <is>
          <t>Consider inflammatory causes in a valgus knee, which is a different pathway from mechanical wear.</t>
        </is>
      </c>
      <c r="E28" s="4" t="inlineStr"/>
      <c r="F28" s="4" t="inlineStr"/>
      <c r="G28" s="4" t="inlineStr"/>
    </row>
    <row r="29">
      <c r="A29" s="4" t="inlineStr">
        <is>
          <t>3.13.4-P5</t>
        </is>
      </c>
      <c r="B29" s="4" t="inlineStr">
        <is>
          <t>3.13.4</t>
        </is>
      </c>
      <c r="C29" s="4" t="inlineStr">
        <is>
          <t>frcs</t>
        </is>
      </c>
      <c r="D29" s="4" t="inlineStr">
        <is>
          <t>Localise the deformity and correct at its site, which in valgus is usually the femur.</t>
        </is>
      </c>
      <c r="E29" s="4" t="inlineStr"/>
      <c r="F29" s="4" t="inlineStr"/>
      <c r="G29" s="4" t="inlineStr"/>
    </row>
    <row r="30">
      <c r="A30" s="4" t="inlineStr">
        <is>
          <t>3.13.4-P6</t>
        </is>
      </c>
      <c r="B30" s="4" t="inlineStr">
        <is>
          <t>3.13.4</t>
        </is>
      </c>
      <c r="C30" s="4" t="inlineStr">
        <is>
          <t>frcs</t>
        </is>
      </c>
      <c r="D30" s="4" t="inlineStr">
        <is>
          <t>Quantify medial laxity before correction, because an aligned unstable knee is a poor result.</t>
        </is>
      </c>
      <c r="E30" s="4" t="inlineStr"/>
      <c r="F30" s="4" t="inlineStr"/>
      <c r="G30" s="4" t="inlineStr"/>
    </row>
    <row r="31">
      <c r="A31" s="4" t="inlineStr">
        <is>
          <t>3.13.4-P7</t>
        </is>
      </c>
      <c r="B31" s="4" t="inlineStr">
        <is>
          <t>3.13.4</t>
        </is>
      </c>
      <c r="C31" s="4" t="inlineStr">
        <is>
          <t>frcs</t>
        </is>
      </c>
      <c r="D31" s="4" t="inlineStr">
        <is>
          <t>Expect lateral pressure to fall less than load share suggests, and counsel accordingly.</t>
        </is>
      </c>
      <c r="E31" s="4" t="inlineStr"/>
      <c r="F31" s="4" t="inlineStr"/>
      <c r="G31" s="4" t="inlineStr"/>
    </row>
    <row r="32">
      <c r="A32" s="4" t="inlineStr">
        <is>
          <t>3.13.4-P8</t>
        </is>
      </c>
      <c r="B32" s="4" t="inlineStr">
        <is>
          <t>3.13.4</t>
        </is>
      </c>
      <c r="C32" s="4" t="inlineStr">
        <is>
          <t>frcs</t>
        </is>
      </c>
      <c r="D32" s="4" t="inlineStr">
        <is>
          <t>State that most alignment and load data comes from varus knees when applying it here.</t>
        </is>
      </c>
      <c r="E32" s="4" t="inlineStr"/>
      <c r="F32" s="4" t="inlineStr"/>
      <c r="G32" s="4" t="inlineStr"/>
    </row>
    <row r="33">
      <c r="A33" s="4" t="inlineStr">
        <is>
          <t>3.13.4-P9</t>
        </is>
      </c>
      <c r="B33" s="4" t="inlineStr">
        <is>
          <t>3.13.4</t>
        </is>
      </c>
      <c r="C33" s="4" t="inlineStr">
        <is>
          <t>frcs</t>
        </is>
      </c>
      <c r="D33" s="4" t="inlineStr">
        <is>
          <t>Weigh the patient's age, physiology, comorbidities, knee demand, psychological state and their own ideas, concerns and expectations, since the indication here is narrower and the evidence thinner than for varus.</t>
        </is>
      </c>
      <c r="E33" s="4" t="inlineStr"/>
      <c r="F33" s="4" t="inlineStr"/>
      <c r="G33" s="4" t="inlineStr"/>
    </row>
    <row r="34">
      <c r="A34" s="4" t="inlineStr">
        <is>
          <t>3.13.5-P1</t>
        </is>
      </c>
      <c r="B34" s="4" t="inlineStr">
        <is>
          <t>3.13.5</t>
        </is>
      </c>
      <c r="C34" s="4" t="inlineStr">
        <is>
          <t>mrcs</t>
        </is>
      </c>
      <c r="D34" s="4" t="inlineStr">
        <is>
          <t>Ask whether the patient has always been bow legged, because the answer changes the interpretation of the angle.</t>
        </is>
      </c>
      <c r="E34" s="4" t="inlineStr"/>
      <c r="F34" s="4" t="inlineStr"/>
      <c r="G34" s="4" t="inlineStr"/>
    </row>
    <row r="35">
      <c r="A35" s="4" t="inlineStr">
        <is>
          <t>3.13.5-P2</t>
        </is>
      </c>
      <c r="B35" s="4" t="inlineStr">
        <is>
          <t>3.13.5</t>
        </is>
      </c>
      <c r="C35" s="4" t="inlineStr">
        <is>
          <t>mrcs</t>
        </is>
      </c>
      <c r="D35" s="4" t="inlineStr">
        <is>
          <t>Use the unaffected contralateral limb as a baseline proxy where one is available.</t>
        </is>
      </c>
      <c r="E35" s="4" t="inlineStr"/>
      <c r="F35" s="4" t="inlineStr"/>
      <c r="G35" s="4" t="inlineStr"/>
    </row>
    <row r="36">
      <c r="A36" s="4" t="inlineStr">
        <is>
          <t>3.13.5-P3</t>
        </is>
      </c>
      <c r="B36" s="4" t="inlineStr">
        <is>
          <t>3.13.5</t>
        </is>
      </c>
      <c r="C36" s="4" t="inlineStr">
        <is>
          <t>mrcs</t>
        </is>
      </c>
      <c r="D36" s="4" t="inlineStr">
        <is>
          <t>Avoid describing a mildly varus asymptomatic knee as malaligned, since it may be that patient's normal.</t>
        </is>
      </c>
      <c r="E36" s="4" t="inlineStr"/>
      <c r="F36" s="4" t="inlineStr"/>
      <c r="G36" s="4" t="inlineStr"/>
    </row>
    <row r="37">
      <c r="A37" s="4" t="inlineStr">
        <is>
          <t>3.13.5-P4</t>
        </is>
      </c>
      <c r="B37" s="4" t="inlineStr">
        <is>
          <t>3.13.5</t>
        </is>
      </c>
      <c r="C37" s="4" t="inlineStr">
        <is>
          <t>frcs</t>
        </is>
      </c>
      <c r="D37" s="4" t="inlineStr">
        <is>
          <t>Expect soft tissue consequences from correcting a knee far from the alignment it developed at.</t>
        </is>
      </c>
      <c r="E37" s="4" t="inlineStr"/>
      <c r="F37" s="4" t="inlineStr"/>
      <c r="G37" s="4" t="inlineStr"/>
    </row>
    <row r="38">
      <c r="A38" s="4" t="inlineStr">
        <is>
          <t>3.13.5-P5</t>
        </is>
      </c>
      <c r="B38" s="4" t="inlineStr">
        <is>
          <t>3.13.5</t>
        </is>
      </c>
      <c r="C38" s="4" t="inlineStr">
        <is>
          <t>frcs</t>
        </is>
      </c>
      <c r="D38" s="4" t="inlineStr">
        <is>
          <t>State the reference range alongside any claim that a patient is malaligned.</t>
        </is>
      </c>
      <c r="E38" s="4" t="inlineStr"/>
      <c r="F38" s="4" t="inlineStr"/>
      <c r="G38" s="4" t="inlineStr"/>
    </row>
    <row r="39">
      <c r="A39" s="4" t="inlineStr">
        <is>
          <t>3.13.5-P6</t>
        </is>
      </c>
      <c r="B39" s="4" t="inlineStr">
        <is>
          <t>3.13.5</t>
        </is>
      </c>
      <c r="C39" s="4" t="inlineStr">
        <is>
          <t>frcs</t>
        </is>
      </c>
      <c r="D39" s="4" t="inlineStr">
        <is>
          <t>Take the patient's age, physiology, comorbidities, knee demand, psychological state and their own ideas, concerns and expectations into the target decision, since what counts as an acceptable alignment depends on what the knee is for.</t>
        </is>
      </c>
      <c r="E39" s="4" t="inlineStr"/>
      <c r="F39" s="4" t="inlineStr"/>
      <c r="G39" s="4" t="inlineStr"/>
    </row>
    <row r="40">
      <c r="A40" s="4" t="inlineStr">
        <is>
          <t>3.13.6-P1</t>
        </is>
      </c>
      <c r="B40" s="4" t="inlineStr">
        <is>
          <t>3.13.6</t>
        </is>
      </c>
      <c r="C40" s="4" t="inlineStr">
        <is>
          <t>mrcs</t>
        </is>
      </c>
      <c r="D40" s="4" t="inlineStr">
        <is>
          <t>Measure both joint orientation angles before planning, since they say where the deformity sits.</t>
        </is>
      </c>
      <c r="E40" s="4" t="inlineStr"/>
      <c r="F40" s="4" t="inlineStr"/>
      <c r="G40" s="4" t="inlineStr"/>
    </row>
    <row r="41">
      <c r="A41" s="4" t="inlineStr">
        <is>
          <t>3.13.6-P2</t>
        </is>
      </c>
      <c r="B41" s="4" t="inlineStr">
        <is>
          <t>3.13.6</t>
        </is>
      </c>
      <c r="C41" s="4" t="inlineStr">
        <is>
          <t>mrcs</t>
        </is>
      </c>
      <c r="D41" s="4" t="inlineStr">
        <is>
          <t>Correct at the site of the deformity rather than at the convenient site, because obliquity is the cost of doing otherwise.</t>
        </is>
      </c>
      <c r="E41" s="4" t="inlineStr"/>
      <c r="F41" s="4" t="inlineStr"/>
      <c r="G41" s="4" t="inlineStr"/>
    </row>
    <row r="42">
      <c r="A42" s="4" t="inlineStr">
        <is>
          <t>3.13.6-P3</t>
        </is>
      </c>
      <c r="B42" s="4" t="inlineStr">
        <is>
          <t>3.13.6</t>
        </is>
      </c>
      <c r="C42" s="4" t="inlineStr">
        <is>
          <t>mrcs</t>
        </is>
      </c>
      <c r="D42" s="4" t="inlineStr">
        <is>
          <t>Expect obliquity to matter more as the size of the correction rises.</t>
        </is>
      </c>
      <c r="E42" s="4" t="inlineStr"/>
      <c r="F42" s="4" t="inlineStr"/>
      <c r="G42" s="4" t="inlineStr"/>
    </row>
    <row r="43">
      <c r="A43" s="4" t="inlineStr">
        <is>
          <t>3.13.6-P4</t>
        </is>
      </c>
      <c r="B43" s="4" t="inlineStr">
        <is>
          <t>3.13.6</t>
        </is>
      </c>
      <c r="C43" s="4" t="inlineStr">
        <is>
          <t>frcs</t>
        </is>
      </c>
      <c r="D43" s="4" t="inlineStr">
        <is>
          <t>Plan the correction level from the joint orientation angles rather than from the overall angle alone.</t>
        </is>
      </c>
      <c r="E43" s="4" t="inlineStr"/>
      <c r="F43" s="4" t="inlineStr"/>
      <c r="G43" s="4" t="inlineStr"/>
    </row>
    <row r="44">
      <c r="A44" s="4" t="inlineStr">
        <is>
          <t>3.13.6-P5</t>
        </is>
      </c>
      <c r="B44" s="4" t="inlineStr">
        <is>
          <t>3.13.6</t>
        </is>
      </c>
      <c r="C44" s="4" t="inlineStr">
        <is>
          <t>frcs</t>
        </is>
      </c>
      <c r="D44" s="4" t="inlineStr">
        <is>
          <t>Consider a double level correction where a single level would leave obliquity beyond the accepted few degrees.</t>
        </is>
      </c>
      <c r="E44" s="4" t="inlineStr"/>
      <c r="F44" s="4" t="inlineStr"/>
      <c r="G44" s="4" t="inlineStr"/>
    </row>
    <row r="45">
      <c r="A45" s="4" t="inlineStr">
        <is>
          <t>3.13.6-P6</t>
        </is>
      </c>
      <c r="B45" s="4" t="inlineStr">
        <is>
          <t>3.13.6</t>
        </is>
      </c>
      <c r="C45" s="4" t="inlineStr">
        <is>
          <t>frcs</t>
        </is>
      </c>
      <c r="D45" s="4" t="inlineStr">
        <is>
          <t>State that the accepted obliquity limit is a convention rather than a measured threshold.</t>
        </is>
      </c>
      <c r="E45" s="4" t="inlineStr"/>
      <c r="F45" s="4" t="inlineStr"/>
      <c r="G45" s="4" t="inlineStr"/>
    </row>
    <row r="46">
      <c r="A46" s="4" t="inlineStr">
        <is>
          <t>3.13.6-P7</t>
        </is>
      </c>
      <c r="B46" s="4" t="inlineStr">
        <is>
          <t>3.13.6</t>
        </is>
      </c>
      <c r="C46" s="4" t="inlineStr">
        <is>
          <t>frcs</t>
        </is>
      </c>
      <c r="D46" s="4" t="inlineStr">
        <is>
          <t>Expect the intra-articular component to limit what any osteotomy achieves, and quantify it beforehand.</t>
        </is>
      </c>
      <c r="E46" s="4" t="inlineStr"/>
      <c r="F46" s="4" t="inlineStr"/>
      <c r="G46" s="4" t="inlineStr"/>
    </row>
    <row r="47">
      <c r="A47" s="4" t="inlineStr">
        <is>
          <t>3.13.6-P8</t>
        </is>
      </c>
      <c r="B47" s="4" t="inlineStr">
        <is>
          <t>3.13.6</t>
        </is>
      </c>
      <c r="C47" s="4" t="inlineStr">
        <is>
          <t>frcs</t>
        </is>
      </c>
      <c r="D47" s="4" t="inlineStr">
        <is>
          <t>Weigh the patient's age, physiology, comorbidities, knee demand, psychological state and their own ideas, concerns and expectations before proposing a second osteotomy to preserve a joint line.</t>
        </is>
      </c>
      <c r="E47" s="4" t="inlineStr"/>
      <c r="F47" s="4" t="inlineStr"/>
      <c r="G47" s="4" t="inlineStr"/>
    </row>
    <row r="48">
      <c r="A48" s="4" t="inlineStr">
        <is>
          <t>3.13.7-P1</t>
        </is>
      </c>
      <c r="B48" s="4" t="inlineStr">
        <is>
          <t>3.13.7</t>
        </is>
      </c>
      <c r="C48" s="4" t="inlineStr">
        <is>
          <t>mrcs</t>
        </is>
      </c>
      <c r="D48" s="4" t="inlineStr">
        <is>
          <t>Expect walking speed and body mass to change the moment without changing the angle.</t>
        </is>
      </c>
      <c r="E48" s="4" t="inlineStr"/>
      <c r="F48" s="4" t="inlineStr"/>
      <c r="G48" s="4" t="inlineStr"/>
    </row>
    <row r="49">
      <c r="A49" s="4" t="inlineStr">
        <is>
          <t>3.13.7-P2</t>
        </is>
      </c>
      <c r="B49" s="4" t="inlineStr">
        <is>
          <t>3.13.7</t>
        </is>
      </c>
      <c r="C49" s="4" t="inlineStr">
        <is>
          <t>mrcs</t>
        </is>
      </c>
      <c r="D49" s="4" t="inlineStr">
        <is>
          <t>State that the predictive quantity is not the one being measured when quoting an alignment angle.</t>
        </is>
      </c>
      <c r="E49" s="4" t="inlineStr"/>
      <c r="F49" s="4" t="inlineStr"/>
      <c r="G49" s="4" t="inlineStr"/>
    </row>
    <row r="50">
      <c r="A50" s="4" t="inlineStr">
        <is>
          <t>3.13.7-P3</t>
        </is>
      </c>
      <c r="B50" s="4" t="inlineStr">
        <is>
          <t>3.13.7</t>
        </is>
      </c>
      <c r="C50" s="4" t="inlineStr">
        <is>
          <t>frcs</t>
        </is>
      </c>
      <c r="D50" s="4" t="inlineStr">
        <is>
          <t>Assess thrust clinically in every alignment decision, since it is the only dynamic information routinely obtainable.</t>
        </is>
      </c>
      <c r="E50" s="4" t="inlineStr"/>
      <c r="F50" s="4" t="inlineStr"/>
      <c r="G50" s="4" t="inlineStr"/>
    </row>
    <row r="51">
      <c r="A51" s="4" t="inlineStr">
        <is>
          <t>3.13.7-P4</t>
        </is>
      </c>
      <c r="B51" s="4" t="inlineStr">
        <is>
          <t>3.13.7</t>
        </is>
      </c>
      <c r="C51" s="4" t="inlineStr">
        <is>
          <t>frcs</t>
        </is>
      </c>
      <c r="D51" s="4" t="inlineStr">
        <is>
          <t>Expect a radiographic correction to change the moment by less than the geometry implies, and counsel on that basis.</t>
        </is>
      </c>
      <c r="E51" s="4" t="inlineStr"/>
      <c r="F51" s="4" t="inlineStr"/>
      <c r="G51" s="4" t="inlineStr"/>
    </row>
    <row r="52">
      <c r="A52" s="4" t="inlineStr">
        <is>
          <t>3.13.7-P5</t>
        </is>
      </c>
      <c r="B52" s="4" t="inlineStr">
        <is>
          <t>3.13.7</t>
        </is>
      </c>
      <c r="C52" s="4" t="inlineStr">
        <is>
          <t>frcs</t>
        </is>
      </c>
      <c r="D52" s="4" t="inlineStr">
        <is>
          <t>Offer gait retraining and weight reduction as mechanical interventions in their own right rather than as adjuncts.</t>
        </is>
      </c>
      <c r="E52" s="4" t="inlineStr"/>
      <c r="F52" s="4" t="inlineStr"/>
      <c r="G52" s="4" t="inlineStr"/>
    </row>
    <row r="53">
      <c r="A53" s="4" t="inlineStr">
        <is>
          <t>3.13.7-P6</t>
        </is>
      </c>
      <c r="B53" s="4" t="inlineStr">
        <is>
          <t>3.13.7</t>
        </is>
      </c>
      <c r="C53" s="4" t="inlineStr">
        <is>
          <t>frcs</t>
        </is>
      </c>
      <c r="D53" s="4" t="inlineStr">
        <is>
          <t>State clearly that the static angle is a surrogate for the adduction moment when explaining the rationale for surgery.</t>
        </is>
      </c>
      <c r="E53" s="4" t="inlineStr"/>
      <c r="F53" s="4" t="inlineStr"/>
      <c r="G53" s="4" t="inlineStr"/>
    </row>
    <row r="54">
      <c r="A54" s="4" t="inlineStr">
        <is>
          <t>3.13.7-P7</t>
        </is>
      </c>
      <c r="B54" s="4" t="inlineStr">
        <is>
          <t>3.13.7</t>
        </is>
      </c>
      <c r="C54" s="4" t="inlineStr">
        <is>
          <t>frcs</t>
        </is>
      </c>
      <c r="D54" s="4" t="inlineStr">
        <is>
          <t>Weigh the patient's age, physiology, comorbidities, knee demand, psychological state and their own ideas, concerns and expectations, since the non operative levers here depend entirely on what the patient will do.</t>
        </is>
      </c>
      <c r="E54" s="4" t="inlineStr"/>
      <c r="F54" s="4" t="inlineStr"/>
      <c r="G54" s="4" t="inlineStr"/>
    </row>
    <row r="55">
      <c r="A55" s="4" t="inlineStr">
        <is>
          <t>3.13.8-P1</t>
        </is>
      </c>
      <c r="B55" s="4" t="inlineStr">
        <is>
          <t>3.13.8</t>
        </is>
      </c>
      <c r="C55" s="4" t="inlineStr">
        <is>
          <t>mrcs</t>
        </is>
      </c>
      <c r="D55" s="4" t="inlineStr">
        <is>
          <t>Address body mass alongside alignment, since it is the stronger modifiable factor.</t>
        </is>
      </c>
      <c r="E55" s="4" t="inlineStr"/>
      <c r="F55" s="4" t="inlineStr"/>
      <c r="G55" s="4" t="inlineStr"/>
    </row>
    <row r="56">
      <c r="A56" s="4" t="inlineStr">
        <is>
          <t>3.13.8-P2</t>
        </is>
      </c>
      <c r="B56" s="4" t="inlineStr">
        <is>
          <t>3.13.8</t>
        </is>
      </c>
      <c r="C56" s="4" t="inlineStr">
        <is>
          <t>mrcs</t>
        </is>
      </c>
      <c r="D56" s="4" t="inlineStr">
        <is>
          <t>Avoid reading a cross sectional association as a causal direction.</t>
        </is>
      </c>
      <c r="E56" s="4" t="inlineStr"/>
      <c r="F56" s="4" t="inlineStr"/>
      <c r="G56" s="4" t="inlineStr"/>
    </row>
    <row r="57">
      <c r="A57" s="4" t="inlineStr">
        <is>
          <t>3.13.8-P3</t>
        </is>
      </c>
      <c r="B57" s="4" t="inlineStr">
        <is>
          <t>3.13.8</t>
        </is>
      </c>
      <c r="C57" s="4" t="inlineStr">
        <is>
          <t>frcs</t>
        </is>
      </c>
      <c r="D57" s="4" t="inlineStr">
        <is>
          <t>Assess the opposite compartment before correcting alignment, because the correction moves load onto it.</t>
        </is>
      </c>
      <c r="E57" s="4" t="inlineStr"/>
      <c r="F57" s="4" t="inlineStr"/>
      <c r="G57" s="4" t="inlineStr"/>
    </row>
    <row r="58">
      <c r="A58" s="4" t="inlineStr">
        <is>
          <t>3.13.8-P4</t>
        </is>
      </c>
      <c r="B58" s="4" t="inlineStr">
        <is>
          <t>3.13.8</t>
        </is>
      </c>
      <c r="C58" s="4" t="inlineStr">
        <is>
          <t>frcs</t>
        </is>
      </c>
      <c r="D58" s="4" t="inlineStr">
        <is>
          <t>Offer weight reduction and gait modification as part of the mechanical plan rather than instead of it.</t>
        </is>
      </c>
      <c r="E58" s="4" t="inlineStr"/>
      <c r="F58" s="4" t="inlineStr"/>
      <c r="G58" s="4" t="inlineStr"/>
    </row>
    <row r="59">
      <c r="A59" s="4" t="inlineStr">
        <is>
          <t>3.13.8-P5</t>
        </is>
      </c>
      <c r="B59" s="4" t="inlineStr">
        <is>
          <t>3.13.8</t>
        </is>
      </c>
      <c r="C59" s="4" t="inlineStr">
        <is>
          <t>frcs</t>
        </is>
      </c>
      <c r="D59" s="4" t="inlineStr">
        <is>
          <t>Take the patient's age, physiology, comorbidities, knee demand, psychological state and their own ideas, concerns and expectations into the decision, because the window in which correction is rational is narrow and the operation is large.</t>
        </is>
      </c>
      <c r="E59" s="4" t="inlineStr"/>
      <c r="F59" s="4" t="inlineStr"/>
      <c r="G59" s="4" t="inlineStr"/>
    </row>
    <row r="60">
      <c r="A60" s="4" t="inlineStr">
        <is>
          <t>3.13.9-P1</t>
        </is>
      </c>
      <c r="B60" s="4" t="inlineStr">
        <is>
          <t>3.13.9</t>
        </is>
      </c>
      <c r="C60" s="4" t="inlineStr">
        <is>
          <t>mrcs</t>
        </is>
      </c>
      <c r="D60" s="4" t="inlineStr">
        <is>
          <t>Plan the hinge and the wedge on a standardised film rather than improvising the correction in theatre.</t>
        </is>
      </c>
      <c r="E60" s="4" t="inlineStr"/>
      <c r="F60" s="4" t="inlineStr"/>
      <c r="G60" s="4" t="inlineStr"/>
    </row>
    <row r="61">
      <c r="A61" s="4" t="inlineStr">
        <is>
          <t>3.13.9-P2</t>
        </is>
      </c>
      <c r="B61" s="4" t="inlineStr">
        <is>
          <t>3.13.9</t>
        </is>
      </c>
      <c r="C61" s="4" t="inlineStr">
        <is>
          <t>mrcs</t>
        </is>
      </c>
      <c r="D61" s="4" t="inlineStr">
        <is>
          <t>Measure slope and patellar height before and after, because both change and both matter.</t>
        </is>
      </c>
      <c r="E61" s="4" t="inlineStr"/>
      <c r="F61" s="4" t="inlineStr"/>
      <c r="G61" s="4" t="inlineStr"/>
    </row>
    <row r="62">
      <c r="A62" s="4" t="inlineStr">
        <is>
          <t>3.13.9-P3</t>
        </is>
      </c>
      <c r="B62" s="4" t="inlineStr">
        <is>
          <t>3.13.9</t>
        </is>
      </c>
      <c r="C62" s="4" t="inlineStr">
        <is>
          <t>mrcs</t>
        </is>
      </c>
      <c r="D62" s="4" t="inlineStr">
        <is>
          <t>Protect the hinge, since a hinge fracture converts a planned correction into an unplanned one.</t>
        </is>
      </c>
      <c r="E62" s="4" t="inlineStr"/>
      <c r="F62" s="4" t="inlineStr"/>
      <c r="G62" s="4" t="inlineStr"/>
    </row>
    <row r="63">
      <c r="A63" s="4" t="inlineStr">
        <is>
          <t>3.13.9-P4</t>
        </is>
      </c>
      <c r="B63" s="4" t="inlineStr">
        <is>
          <t>3.13.9</t>
        </is>
      </c>
      <c r="C63" s="4" t="inlineStr">
        <is>
          <t>mrcs</t>
        </is>
      </c>
      <c r="D63" s="4" t="inlineStr">
        <is>
          <t>Expect an opening wedge to demand more of bone healing than a closing wedge does.</t>
        </is>
      </c>
      <c r="E63" s="4" t="inlineStr"/>
      <c r="F63" s="4" t="inlineStr"/>
      <c r="G63" s="4" t="inlineStr"/>
    </row>
    <row r="64">
      <c r="A64" s="4" t="inlineStr">
        <is>
          <t>3.13.9-P5</t>
        </is>
      </c>
      <c r="B64" s="4" t="inlineStr">
        <is>
          <t>3.13.9</t>
        </is>
      </c>
      <c r="C64" s="4" t="inlineStr">
        <is>
          <t>frcs</t>
        </is>
      </c>
      <c r="D64" s="4" t="inlineStr">
        <is>
          <t>Plan the sagittal consequence as deliberately as the coronal correction, because slope changes cruciate load.</t>
        </is>
      </c>
      <c r="E64" s="4" t="inlineStr"/>
      <c r="F64" s="4" t="inlineStr"/>
      <c r="G64" s="4" t="inlineStr"/>
    </row>
    <row r="65">
      <c r="A65" s="4" t="inlineStr">
        <is>
          <t>3.13.9-P6</t>
        </is>
      </c>
      <c r="B65" s="4" t="inlineStr">
        <is>
          <t>3.13.9</t>
        </is>
      </c>
      <c r="C65" s="4" t="inlineStr">
        <is>
          <t>frcs</t>
        </is>
      </c>
      <c r="D65" s="4" t="inlineStr">
        <is>
          <t>Measure patellar height with a named ratio before and after an opening wedge.</t>
        </is>
      </c>
      <c r="E65" s="4" t="inlineStr"/>
      <c r="F65" s="4" t="inlineStr"/>
      <c r="G65" s="4" t="inlineStr"/>
    </row>
    <row r="66">
      <c r="A66" s="4" t="inlineStr">
        <is>
          <t>3.13.9-P7</t>
        </is>
      </c>
      <c r="B66" s="4" t="inlineStr">
        <is>
          <t>3.13.9</t>
        </is>
      </c>
      <c r="C66" s="4" t="inlineStr">
        <is>
          <t>frcs</t>
        </is>
      </c>
      <c r="D66" s="4" t="inlineStr">
        <is>
          <t>Assess the receiving compartment, since the benefit is limited by its cartilage.</t>
        </is>
      </c>
      <c r="E66" s="4" t="inlineStr"/>
      <c r="F66" s="4" t="inlineStr"/>
      <c r="G66" s="4" t="inlineStr"/>
    </row>
    <row r="67">
      <c r="A67" s="4" t="inlineStr">
        <is>
          <t>3.13.9-P8</t>
        </is>
      </c>
      <c r="B67" s="4" t="inlineStr">
        <is>
          <t>3.13.9</t>
        </is>
      </c>
      <c r="C67" s="4" t="inlineStr">
        <is>
          <t>frcs</t>
        </is>
      </c>
      <c r="D67" s="4" t="inlineStr">
        <is>
          <t>Expect the medial load reduction to be smaller than the degrees suggest, and say so when counselling.</t>
        </is>
      </c>
      <c r="E67" s="4" t="inlineStr"/>
      <c r="F67" s="4" t="inlineStr"/>
      <c r="G67" s="4" t="inlineStr"/>
    </row>
    <row r="68">
      <c r="A68" s="4" t="inlineStr">
        <is>
          <t>3.13.9-P9</t>
        </is>
      </c>
      <c r="B68" s="4" t="inlineStr">
        <is>
          <t>3.13.9</t>
        </is>
      </c>
      <c r="C68" s="4" t="inlineStr">
        <is>
          <t>frcs</t>
        </is>
      </c>
      <c r="D68" s="4" t="inlineStr">
        <is>
          <t>Report radiographic correction while stating that the targeted mechanical quantity was not measured.</t>
        </is>
      </c>
      <c r="E68" s="4" t="inlineStr"/>
      <c r="F68" s="4" t="inlineStr"/>
      <c r="G68" s="4" t="inlineStr"/>
    </row>
    <row r="69">
      <c r="A69" s="4" t="inlineStr">
        <is>
          <t>3.13.9-P10</t>
        </is>
      </c>
      <c r="B69" s="4" t="inlineStr">
        <is>
          <t>3.13.9</t>
        </is>
      </c>
      <c r="C69" s="4" t="inlineStr">
        <is>
          <t>fellowship</t>
        </is>
      </c>
      <c r="D69" s="4" t="inlineStr">
        <is>
          <t>State which plane leads for the indication, and treat the others as constraints to be planned rather than accepted.</t>
        </is>
      </c>
      <c r="E69" s="4" t="inlineStr"/>
      <c r="F69" s="4" t="inlineStr"/>
      <c r="G69" s="4" t="inlineStr"/>
    </row>
    <row r="70">
      <c r="A70" s="4" t="inlineStr">
        <is>
          <t>3.13.9-P11</t>
        </is>
      </c>
      <c r="B70" s="4" t="inlineStr">
        <is>
          <t>3.13.9</t>
        </is>
      </c>
      <c r="C70" s="4" t="inlineStr">
        <is>
          <t>fellowship</t>
        </is>
      </c>
      <c r="D70" s="4" t="inlineStr">
        <is>
          <t>Plan multiplanar corrections in three dimensions, since a radiograph cannot express them.</t>
        </is>
      </c>
      <c r="E70" s="4" t="inlineStr"/>
      <c r="F70" s="4" t="inlineStr"/>
      <c r="G70" s="4" t="inlineStr"/>
    </row>
    <row r="71">
      <c r="A71" s="4" t="inlineStr">
        <is>
          <t>3.13.9-P12</t>
        </is>
      </c>
      <c r="B71" s="4" t="inlineStr">
        <is>
          <t>3.13.9</t>
        </is>
      </c>
      <c r="C71" s="4" t="inlineStr">
        <is>
          <t>fellowship</t>
        </is>
      </c>
      <c r="D71" s="4" t="inlineStr">
        <is>
          <t>Treat a failed previous correction as a new deformity with a surgical component rather than as the original one.</t>
        </is>
      </c>
      <c r="E71" s="4" t="inlineStr"/>
      <c r="F71" s="4" t="inlineStr"/>
      <c r="G71" s="4" t="inlineStr"/>
    </row>
    <row r="72">
      <c r="A72" s="4" t="inlineStr">
        <is>
          <t>3.13.9-P13</t>
        </is>
      </c>
      <c r="B72" s="4" t="inlineStr">
        <is>
          <t>3.13.9</t>
        </is>
      </c>
      <c r="C72" s="4" t="inlineStr">
        <is>
          <t>fellowship</t>
        </is>
      </c>
      <c r="D72" s="4" t="inlineStr">
        <is>
          <t>Weigh the patient's age, physiology, comorbidities, knee demand, psychological state and their own ideas, concerns and expectations, because this is a long recovery for a change in a surrogate.</t>
        </is>
      </c>
      <c r="E72" s="4" t="inlineStr"/>
      <c r="F72" s="4" t="inlineStr"/>
      <c r="G72" s="4" t="inlineStr"/>
    </row>
    <row r="73">
      <c r="A73" s="4" t="inlineStr">
        <is>
          <t>3.13.10-P1</t>
        </is>
      </c>
      <c r="B73" s="4" t="inlineStr">
        <is>
          <t>3.13.10</t>
        </is>
      </c>
      <c r="C73" s="4" t="inlineStr">
        <is>
          <t>medical_student</t>
        </is>
      </c>
      <c r="D73" s="4" t="inlineStr">
        <is>
          <t>A target that comes from practice rather than from a trial should be described that way.</t>
        </is>
      </c>
      <c r="E73" s="4" t="inlineStr"/>
      <c r="F73" s="4" t="inlineStr"/>
      <c r="G73" s="4" t="inlineStr"/>
    </row>
    <row r="74">
      <c r="A74" s="4" t="inlineStr">
        <is>
          <t>3.13.10-P2</t>
        </is>
      </c>
      <c r="B74" s="4" t="inlineStr">
        <is>
          <t>3.13.10</t>
        </is>
      </c>
      <c r="C74" s="4" t="inlineStr">
        <is>
          <t>medical_student</t>
        </is>
      </c>
      <c r="D74" s="4" t="inlineStr">
        <is>
          <t>- A target from practice rather than from a trial should be described that way.</t>
        </is>
      </c>
      <c r="E74" s="4" t="inlineStr"/>
      <c r="F74" s="4" t="inlineStr"/>
      <c r="G74" s="4" t="inlineStr"/>
    </row>
    <row r="75">
      <c r="A75" s="4" t="inlineStr">
        <is>
          <t>3.13.10-P3</t>
        </is>
      </c>
      <c r="B75" s="4" t="inlineStr">
        <is>
          <t>3.13.10</t>
        </is>
      </c>
      <c r="C75" s="4" t="inlineStr">
        <is>
          <t>mrcs</t>
        </is>
      </c>
      <c r="D75" s="4" t="inlineStr">
        <is>
          <t>That changes how firmly it should be stated.</t>
        </is>
      </c>
      <c r="E75" s="4" t="inlineStr"/>
      <c r="F75" s="4" t="inlineStr"/>
      <c r="G75" s="4" t="inlineStr"/>
    </row>
    <row r="76">
      <c r="A76" s="4" t="inlineStr">
        <is>
          <t>3.13.10-P4</t>
        </is>
      </c>
      <c r="B76" s="4" t="inlineStr">
        <is>
          <t>3.13.10</t>
        </is>
      </c>
      <c r="C76" s="4" t="inlineStr">
        <is>
          <t>mrcs</t>
        </is>
      </c>
      <c r="D76" s="4" t="inlineStr">
        <is>
          <t>State the target as a convention supported by survivorship rather than as a measured optimum.</t>
        </is>
      </c>
      <c r="E76" s="4" t="inlineStr"/>
      <c r="F76" s="4" t="inlineStr"/>
      <c r="G76" s="4" t="inlineStr"/>
    </row>
    <row r="77">
      <c r="A77" s="4" t="inlineStr">
        <is>
          <t>3.13.10-P5</t>
        </is>
      </c>
      <c r="B77" s="4" t="inlineStr">
        <is>
          <t>3.13.10</t>
        </is>
      </c>
      <c r="C77" s="4" t="inlineStr">
        <is>
          <t>mrcs</t>
        </is>
      </c>
      <c r="D77" s="4" t="inlineStr">
        <is>
          <t>Assess the receiving compartment before choosing how far to correct.</t>
        </is>
      </c>
      <c r="E77" s="4" t="inlineStr"/>
      <c r="F77" s="4" t="inlineStr"/>
      <c r="G77" s="4" t="inlineStr"/>
    </row>
    <row r="78">
      <c r="A78" s="4" t="inlineStr">
        <is>
          <t>3.13.10-P6</t>
        </is>
      </c>
      <c r="B78" s="4" t="inlineStr">
        <is>
          <t>3.13.10</t>
        </is>
      </c>
      <c r="C78" s="4" t="inlineStr">
        <is>
          <t>mrcs</t>
        </is>
      </c>
      <c r="D78" s="4" t="inlineStr">
        <is>
          <t>Expect joint line obliquity to limit the correction before the target does in a large deformity.</t>
        </is>
      </c>
      <c r="E78" s="4" t="inlineStr"/>
      <c r="F78" s="4" t="inlineStr"/>
      <c r="G78" s="4" t="inlineStr"/>
    </row>
    <row r="79">
      <c r="A79" s="4" t="inlineStr">
        <is>
          <t>3.13.10-P7</t>
        </is>
      </c>
      <c r="B79" s="4" t="inlineStr">
        <is>
          <t>3.13.10</t>
        </is>
      </c>
      <c r="C79" s="4" t="inlineStr">
        <is>
          <t>mrcs</t>
        </is>
      </c>
      <c r="D79" s="4" t="inlineStr">
        <is>
          <t>Aim nearer neutral for valgus correction than for varus, because the compartments differ.</t>
        </is>
      </c>
      <c r="E79" s="4" t="inlineStr"/>
      <c r="F79" s="4" t="inlineStr"/>
      <c r="G79" s="4" t="inlineStr"/>
    </row>
    <row r="80">
      <c r="A80" s="4" t="inlineStr">
        <is>
          <t>3.13.10-P8</t>
        </is>
      </c>
      <c r="B80" s="4" t="inlineStr">
        <is>
          <t>3.13.10</t>
        </is>
      </c>
      <c r="C80" s="4" t="inlineStr">
        <is>
          <t>frcs</t>
        </is>
      </c>
      <c r="D80" s="4" t="inlineStr">
        <is>
          <t>Expect the achieved correction to change the adduction moment by less than the geometry implies.</t>
        </is>
      </c>
      <c r="E80" s="4" t="inlineStr"/>
      <c r="F80" s="4" t="inlineStr"/>
      <c r="G80" s="4" t="inlineStr"/>
    </row>
    <row r="81">
      <c r="A81" s="4" t="inlineStr">
        <is>
          <t>3.13.10-P9</t>
        </is>
      </c>
      <c r="B81" s="4" t="inlineStr">
        <is>
          <t>3.13.10</t>
        </is>
      </c>
      <c r="C81" s="4" t="inlineStr">
        <is>
          <t>frcs</t>
        </is>
      </c>
      <c r="D81" s="4" t="inlineStr">
        <is>
          <t>Take the patient's age, physiology, comorbidities, knee demand, psychological state and their own ideas, concerns and expectations into the target decision, because the cost of overcorrection falls on a compartment the patient will use for decades.</t>
        </is>
      </c>
      <c r="E81" s="4" t="inlineStr"/>
      <c r="F81" s="4" t="inlineStr"/>
      <c r="G81" s="4" t="inlineStr"/>
    </row>
    <row r="82">
      <c r="A82" s="4" t="inlineStr">
        <is>
          <t>3.13.10-P10</t>
        </is>
      </c>
      <c r="B82" s="4" t="inlineStr">
        <is>
          <t>3.13.10</t>
        </is>
      </c>
      <c r="C82" s="4" t="inlineStr">
        <is>
          <t>fellowship</t>
        </is>
      </c>
      <c r="D82" s="4" t="inlineStr">
        <is>
          <t>Set a target in each plane and state which leads, rather than planning one angle.</t>
        </is>
      </c>
      <c r="E82" s="4" t="inlineStr"/>
      <c r="F82" s="4" t="inlineStr"/>
      <c r="G82" s="4" t="inlineStr"/>
    </row>
    <row r="83">
      <c r="A83" s="4" t="inlineStr">
        <is>
          <t>3.13.10-P11</t>
        </is>
      </c>
      <c r="B83" s="4" t="inlineStr">
        <is>
          <t>3.13.10</t>
        </is>
      </c>
      <c r="C83" s="4" t="inlineStr">
        <is>
          <t>fellowship</t>
        </is>
      </c>
      <c r="D83" s="4" t="inlineStr">
        <is>
          <t>Use the contralateral limb as the constitutional reference where it is available.</t>
        </is>
      </c>
      <c r="E83" s="4" t="inlineStr"/>
      <c r="F83" s="4" t="inlineStr"/>
      <c r="G83" s="4" t="inlineStr"/>
    </row>
    <row r="84">
      <c r="A84" s="4" t="inlineStr">
        <is>
          <t>3.13.10-P12</t>
        </is>
      </c>
      <c r="B84" s="4" t="inlineStr">
        <is>
          <t>3.13.10</t>
        </is>
      </c>
      <c r="C84" s="4" t="inlineStr">
        <is>
          <t>fellowship</t>
        </is>
      </c>
      <c r="D84" s="4" t="inlineStr">
        <is>
          <t>Record achieved correction in all three planes, since that is the data the field lacks.</t>
        </is>
      </c>
      <c r="E84" s="4" t="inlineStr"/>
      <c r="F84" s="4" t="inlineStr"/>
      <c r="G84" s="4" t="inlineStr"/>
    </row>
    <row r="85">
      <c r="A85" s="4" t="inlineStr">
        <is>
          <t>3.13.10-P13</t>
        </is>
      </c>
      <c r="B85" s="4" t="inlineStr">
        <is>
          <t>3.13.10</t>
        </is>
      </c>
      <c r="C85" s="4" t="inlineStr">
        <is>
          <t>fellowship</t>
        </is>
      </c>
      <c r="D85" s="4" t="inlineStr">
        <is>
          <t>Weigh the patient's age, physiology, comorbidities, knee demand, psychological state and their own ideas, concerns and expectations, because a target chosen from a population figure is a decision about a person.</t>
        </is>
      </c>
      <c r="E85" s="4" t="inlineStr"/>
      <c r="F85" s="4" t="inlineStr"/>
      <c r="G85" s="4" t="inlineStr"/>
    </row>
  </sheetData>
  <dataValidations count="1">
    <dataValidation sqref="E3:E8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3.13.1-F1</t>
        </is>
      </c>
      <c r="B3" s="4" t="inlineStr">
        <is>
          <t>3.13.1</t>
        </is>
      </c>
      <c r="C3" s="4" t="inlineStr">
        <is>
          <t>mrcs</t>
        </is>
      </c>
      <c r="D3" s="4" t="inlineStr">
        <is>
          <t>180 degrees</t>
        </is>
      </c>
      <c r="E3" s="4" t="inlineStr">
        <is>
          <t>Neutral is conventionally taken as a hip knee ankle angle of 180 degrees, with varus below and valgus above by the usual convention.</t>
        </is>
      </c>
      <c r="F3" s="4" t="inlineStr"/>
      <c r="G3" s="4" t="inlineStr"/>
      <c r="H3" s="4" t="inlineStr"/>
    </row>
    <row r="4">
      <c r="A4" s="4" t="inlineStr">
        <is>
          <t>3.13.2-F1</t>
        </is>
      </c>
      <c r="B4" s="4" t="inlineStr">
        <is>
          <t>3.13.2</t>
        </is>
      </c>
      <c r="C4" s="4" t="inlineStr">
        <is>
          <t>medical_student</t>
        </is>
      </c>
      <c r="D4" s="4" t="inlineStr">
        <is>
          <t>5 to 7 degrees</t>
        </is>
      </c>
      <c r="E4" s="4" t="inlineStr">
        <is>
          <t>The two therefore cross at an angle of around 5 to 7 degrees at the knee.</t>
        </is>
      </c>
      <c r="F4" s="4" t="inlineStr"/>
      <c r="G4" s="4" t="inlineStr"/>
      <c r="H4" s="4" t="inlineStr"/>
    </row>
    <row r="5">
      <c r="A5" s="4" t="inlineStr">
        <is>
          <t>3.13.6-F1</t>
        </is>
      </c>
      <c r="B5" s="4" t="inlineStr">
        <is>
          <t>3.13.6</t>
        </is>
      </c>
      <c r="C5" s="4" t="inlineStr">
        <is>
          <t>mrcs</t>
        </is>
      </c>
      <c r="D5" s="4" t="inlineStr">
        <is>
          <t>87 to 90 degrees</t>
        </is>
      </c>
      <c r="E5" s="4" t="inlineStr">
        <is>
          <t>The mechanical lateral distal femoral angle and the medial proximal tibial angle describe the two joint orientations, each with a narrow normal range near 87 to 90 degrees.</t>
        </is>
      </c>
      <c r="F5" s="4" t="inlineStr"/>
      <c r="G5" s="4" t="inlineStr"/>
      <c r="H5" s="4" t="inlineStr"/>
    </row>
    <row r="6">
      <c r="A6" s="4" t="inlineStr">
        <is>
          <t>3.13.10-F1</t>
        </is>
      </c>
      <c r="B6" s="4" t="inlineStr">
        <is>
          <t>3.13.10</t>
        </is>
      </c>
      <c r="C6" s="4" t="inlineStr">
        <is>
          <t>mrcs</t>
        </is>
      </c>
      <c r="D6" s="4" t="inlineStr">
        <is>
          <t>62 per cent</t>
        </is>
      </c>
      <c r="E6" s="4" t="inlineStr">
        <is>
          <t>For medial compartment disease the classical target is slight valgus overcorrection, usually quoted as a mechanical axis passing through the lateral compartment at around 62 per cent of the plateau width.</t>
        </is>
      </c>
      <c r="F6" s="4" t="inlineStr"/>
      <c r="G6" s="4" t="inlineStr"/>
      <c r="H6" s="4" t="inlineStr"/>
    </row>
  </sheetData>
  <dataValidations count="1">
    <dataValidation sqref="F3:F6"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83</f>
        <v/>
      </c>
      <c r="C2" s="3">
        <f>4</f>
        <v/>
      </c>
    </row>
    <row r="3">
      <c r="A3" s="2" t="inlineStr">
        <is>
          <t>Decided</t>
        </is>
      </c>
      <c r="B3" s="3">
        <f>COUNTIF(Recommendations!E3:E85,"&lt;&gt;")</f>
        <v/>
      </c>
      <c r="C3" s="3">
        <f>COUNTIF(Measurements!F3:F6,"&lt;&gt;")</f>
        <v/>
      </c>
    </row>
    <row r="4">
      <c r="A4" s="2" t="inlineStr">
        <is>
          <t>Still blank</t>
        </is>
      </c>
      <c r="B4" s="3">
        <f>B2-B3</f>
        <v/>
      </c>
      <c r="C4" s="3">
        <f>C2-C3</f>
        <v/>
      </c>
    </row>
    <row r="5">
      <c r="A5" s="2" t="inlineStr">
        <is>
          <t>CONFIRMED</t>
        </is>
      </c>
      <c r="B5" s="3">
        <f>COUNTIF(Recommendations!E3:E85,"CONFIRMED")</f>
        <v/>
      </c>
      <c r="C5" s="3" t="inlineStr"/>
    </row>
    <row r="6">
      <c r="A6" s="2" t="inlineStr">
        <is>
          <t>AMENDED</t>
        </is>
      </c>
      <c r="B6" s="3">
        <f>COUNTIF(Recommendations!E3:E85,"AMENDED")</f>
        <v/>
      </c>
      <c r="C6" s="3" t="inlineStr"/>
    </row>
    <row r="7">
      <c r="A7" s="2" t="inlineStr">
        <is>
          <t>WITHDRAWN</t>
        </is>
      </c>
      <c r="B7" s="3">
        <f>COUNTIF(Recommendations!E3:E85,"WITHDRAWN")</f>
        <v/>
      </c>
      <c r="C7" s="3" t="inlineStr"/>
    </row>
    <row r="8">
      <c r="A8" s="2" t="inlineStr">
        <is>
          <t>NOT_CLINICAL</t>
        </is>
      </c>
      <c r="B8" s="3">
        <f>COUNTIF(Recommendations!E3:E85,"NOT_CLINICAL")</f>
        <v/>
      </c>
      <c r="C8" s="3" t="inlineStr"/>
    </row>
    <row r="9">
      <c r="A9" s="2" t="inlineStr">
        <is>
          <t>VERIFIED</t>
        </is>
      </c>
      <c r="B9" s="3" t="inlineStr"/>
      <c r="C9" s="3">
        <f>COUNTIF(Measurements!F3:F6,"VERIFIED")</f>
        <v/>
      </c>
    </row>
    <row r="10">
      <c r="A10" s="2" t="inlineStr">
        <is>
          <t>CORRECTED</t>
        </is>
      </c>
      <c r="B10" s="3" t="inlineStr"/>
      <c r="C10" s="3">
        <f>COUNTIF(Measurements!F3:F6,"CORRECTED")</f>
        <v/>
      </c>
    </row>
    <row r="11">
      <c r="A11" s="2" t="inlineStr">
        <is>
          <t>REMOVED</t>
        </is>
      </c>
      <c r="B11" s="3" t="inlineStr"/>
      <c r="C11" s="3">
        <f>COUNTIF(Measurements!F3:F6,"REMOVED")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2026-10-10T15:34:28Z</dcterms:created>
  <dcterms:modified xmlns:dcterms="http://purl.org/dc/terms/" xmlns:xsi="http://www.w3.org/2001/XMLSchema-instance" xsi:type="dcterms:W3CDTF">2026-10-10T15:34:28Z</dcterms:modified>
</cp:coreProperties>
</file>