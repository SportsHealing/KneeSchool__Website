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5.1 Introduction to Knee Imaging</t>
        </is>
      </c>
    </row>
    <row r="3">
      <c r="A3" s="2" t="inlineStr">
        <is>
          <t>Section</t>
        </is>
      </c>
      <c r="B3" s="3" t="inlineStr">
        <is>
          <t>5</t>
        </is>
      </c>
    </row>
    <row r="4">
      <c r="A4" s="2" t="inlineStr">
        <is>
          <t>Chapter</t>
        </is>
      </c>
      <c r="B4" s="3" t="inlineStr">
        <is>
          <t>5.1 Introduction to Knee Imaging</t>
        </is>
      </c>
    </row>
    <row r="5">
      <c r="A5" s="2" t="inlineStr">
        <is>
          <t>Pages</t>
        </is>
      </c>
      <c r="B5" s="3" t="n">
        <v>8</v>
      </c>
    </row>
    <row r="6">
      <c r="A6" s="2" t="inlineStr">
        <is>
          <t>Page type</t>
        </is>
      </c>
      <c r="B6" s="3" t="inlineStr">
        <is>
          <t>imaging</t>
        </is>
      </c>
    </row>
    <row r="7">
      <c r="A7" s="2" t="inlineStr">
        <is>
          <t>Tiers</t>
        </is>
      </c>
      <c r="B7" s="3" t="inlineStr">
        <is>
          <t>medical student, mrcs, frcs, fellowship</t>
        </is>
      </c>
    </row>
    <row r="8">
      <c r="A8" s="2" t="inlineStr">
        <is>
          <t>Words</t>
        </is>
      </c>
      <c r="B8" s="3" t="inlineStr">
        <is>
          <t>8,536</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0</v>
      </c>
    </row>
    <row r="12">
      <c r="A12" s="2" t="inlineStr">
        <is>
          <t>Recommendations to sign</t>
        </is>
      </c>
      <c r="B12" s="3" t="n">
        <v>5</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5.1.1</t>
        </is>
      </c>
      <c r="B2" s="6" t="inlineStr">
        <is>
          <t>Why Imaging Matters</t>
        </is>
      </c>
      <c r="C2" s="6" t="n">
        <v>4</v>
      </c>
      <c r="D2" s="6" t="n">
        <v>1070</v>
      </c>
      <c r="E2" s="6" t="inlineStr">
        <is>
          <t>imaging/why-imaging-matters.html</t>
        </is>
      </c>
    </row>
    <row r="3">
      <c r="A3" s="6" t="inlineStr">
        <is>
          <t>5.1.2</t>
        </is>
      </c>
      <c r="B3" s="6" t="inlineStr">
        <is>
          <t>Clinical Examination Versus Imaging</t>
        </is>
      </c>
      <c r="C3" s="6" t="n">
        <v>4</v>
      </c>
      <c r="D3" s="6" t="n">
        <v>960</v>
      </c>
      <c r="E3" s="6" t="inlineStr">
        <is>
          <t>imaging/clinical-examination-versus-imaging.html</t>
        </is>
      </c>
    </row>
    <row r="4">
      <c r="A4" s="6" t="inlineStr">
        <is>
          <t>5.1.3</t>
        </is>
      </c>
      <c r="B4" s="6" t="inlineStr">
        <is>
          <t>Choosing the Correct Investigation</t>
        </is>
      </c>
      <c r="C4" s="6" t="n">
        <v>4</v>
      </c>
      <c r="D4" s="6" t="n">
        <v>1189</v>
      </c>
      <c r="E4" s="6" t="inlineStr">
        <is>
          <t>imaging/choosing-the-correct-investigation.html</t>
        </is>
      </c>
    </row>
    <row r="5">
      <c r="A5" s="6" t="inlineStr">
        <is>
          <t>5.1.4</t>
        </is>
      </c>
      <c r="B5" s="6" t="inlineStr">
        <is>
          <t>Imaging Pathways</t>
        </is>
      </c>
      <c r="C5" s="6" t="n">
        <v>4</v>
      </c>
      <c r="D5" s="6" t="n">
        <v>1134</v>
      </c>
      <c r="E5" s="6" t="inlineStr">
        <is>
          <t>imaging/imaging-pathways.html</t>
        </is>
      </c>
    </row>
    <row r="6">
      <c r="A6" s="6" t="inlineStr">
        <is>
          <t>5.1.5</t>
        </is>
      </c>
      <c r="B6" s="6" t="inlineStr">
        <is>
          <t>Cost-effectiveness of Imaging</t>
        </is>
      </c>
      <c r="C6" s="6" t="n">
        <v>4</v>
      </c>
      <c r="D6" s="6" t="n">
        <v>989</v>
      </c>
      <c r="E6" s="6" t="inlineStr">
        <is>
          <t>imaging/cost-effectiveness-of-imaging.html</t>
        </is>
      </c>
    </row>
    <row r="7">
      <c r="A7" s="6" t="inlineStr">
        <is>
          <t>5.1.6</t>
        </is>
      </c>
      <c r="B7" s="6" t="inlineStr">
        <is>
          <t>Imaging Pitfalls</t>
        </is>
      </c>
      <c r="C7" s="6" t="n">
        <v>4</v>
      </c>
      <c r="D7" s="6" t="n">
        <v>1125</v>
      </c>
      <c r="E7" s="6" t="inlineStr">
        <is>
          <t>imaging/imaging-pitfalls.html</t>
        </is>
      </c>
    </row>
    <row r="8">
      <c r="A8" s="6" t="inlineStr">
        <is>
          <t>5.1.7</t>
        </is>
      </c>
      <c r="B8" s="6" t="inlineStr">
        <is>
          <t>Evidence-Based Imaging</t>
        </is>
      </c>
      <c r="C8" s="6" t="n">
        <v>4</v>
      </c>
      <c r="D8" s="6" t="n">
        <v>977</v>
      </c>
      <c r="E8" s="6" t="inlineStr">
        <is>
          <t>imaging/evidence-based-imaging.html</t>
        </is>
      </c>
    </row>
    <row r="9">
      <c r="A9" s="6" t="inlineStr">
        <is>
          <t>5.1.8</t>
        </is>
      </c>
      <c r="B9" s="6" t="inlineStr">
        <is>
          <t>Future of Knee Imaging</t>
        </is>
      </c>
      <c r="C9" s="6" t="n">
        <v>4</v>
      </c>
      <c r="D9" s="6" t="n">
        <v>1092</v>
      </c>
      <c r="E9" s="6" t="inlineStr">
        <is>
          <t>imaging/future-of-knee-imaging.html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5.1.1</t>
        </is>
      </c>
      <c r="B2" s="4" t="inlineStr">
        <is>
          <t>Why Imaging Matters</t>
        </is>
      </c>
      <c r="C2" s="4" t="inlineStr">
        <is>
          <t>The imaging is usually already done, and often on an unknown protocol.</t>
        </is>
      </c>
    </row>
    <row r="3">
      <c r="A3" s="4" t="inlineStr">
        <is>
          <t>5.1.1</t>
        </is>
      </c>
      <c r="B3" s="4" t="inlineStr">
        <is>
          <t>Why Imaging Matters</t>
        </is>
      </c>
      <c r="C3" s="4" t="inlineStr">
        <is>
          <t>Two scans on different protocols are not a series.</t>
        </is>
      </c>
    </row>
    <row r="4">
      <c r="A4" s="4" t="inlineStr">
        <is>
          <t>5.1.1</t>
        </is>
      </c>
      <c r="B4" s="4" t="inlineStr">
        <is>
          <t>Why Imaging Matters</t>
        </is>
      </c>
      <c r="C4" s="4" t="inlineStr">
        <is>
          <t>A report written without the clinical question answers a different one.</t>
        </is>
      </c>
    </row>
    <row r="5">
      <c r="A5" s="4" t="inlineStr">
        <is>
          <t>5.1.1</t>
        </is>
      </c>
      <c r="B5" s="4" t="inlineStr">
        <is>
          <t>Why Imaging Matters</t>
        </is>
      </c>
      <c r="C5" s="4" t="inlineStr">
        <is>
          <t>Prevalent findings accumulate with age.</t>
        </is>
      </c>
    </row>
    <row r="6">
      <c r="A6" s="4" t="inlineStr">
        <is>
          <t>5.1.1</t>
        </is>
      </c>
      <c r="B6" s="4" t="inlineStr">
        <is>
          <t>Why Imaging Matters</t>
        </is>
      </c>
      <c r="C6" s="4" t="inlineStr">
        <is>
          <t>Re-imaging is decided against what the last study could not answer.</t>
        </is>
      </c>
    </row>
    <row r="7">
      <c r="A7" s="4" t="inlineStr">
        <is>
          <t>5.1.2</t>
        </is>
      </c>
      <c r="B7" s="4" t="inlineStr">
        <is>
          <t>Clinical Examination Versus Imaging</t>
        </is>
      </c>
      <c r="C7" s="4" t="inlineStr">
        <is>
          <t>The imaging usually arrives first, so the examination is not independent.</t>
        </is>
      </c>
    </row>
    <row r="8">
      <c r="A8" s="4" t="inlineStr">
        <is>
          <t>5.1.2</t>
        </is>
      </c>
      <c r="B8" s="4" t="inlineStr">
        <is>
          <t>Clinical Examination Versus Imaging</t>
        </is>
      </c>
      <c r="C8" s="4" t="inlineStr">
        <is>
          <t>A reported finding biases the examination towards it.</t>
        </is>
      </c>
    </row>
    <row r="9">
      <c r="A9" s="4" t="inlineStr">
        <is>
          <t>5.1.2</t>
        </is>
      </c>
      <c r="B9" s="4" t="inlineStr">
        <is>
          <t>Clinical Examination Versus Imaging</t>
        </is>
      </c>
      <c r="C9" s="4" t="inlineStr">
        <is>
          <t>The bias is strongest for the findings that most need a check.</t>
        </is>
      </c>
    </row>
    <row r="10">
      <c r="A10" s="4" t="inlineStr">
        <is>
          <t>5.1.2</t>
        </is>
      </c>
      <c r="B10" s="4" t="inlineStr">
        <is>
          <t>Clinical Examination Versus Imaging</t>
        </is>
      </c>
      <c r="C10" s="4" t="inlineStr">
        <is>
          <t>Neither instrument establishes causation.</t>
        </is>
      </c>
    </row>
    <row r="11">
      <c r="A11" s="4" t="inlineStr">
        <is>
          <t>5.1.2</t>
        </is>
      </c>
      <c r="B11" s="4" t="inlineStr">
        <is>
          <t>Clinical Examination Versus Imaging</t>
        </is>
      </c>
      <c r="C11" s="4" t="inlineStr">
        <is>
          <t>The cases where both are wrong together are invisible.</t>
        </is>
      </c>
    </row>
    <row r="12">
      <c r="A12" s="4" t="inlineStr">
        <is>
          <t>5.1.3</t>
        </is>
      </c>
      <c r="B12" s="4" t="inlineStr">
        <is>
          <t>Choosing the Correct Investigation</t>
        </is>
      </c>
      <c r="C12" s="4" t="inlineStr">
        <is>
          <t>The real choice is usually whether to repeat an existing study.</t>
        </is>
      </c>
    </row>
    <row r="13">
      <c r="A13" s="4" t="inlineStr">
        <is>
          <t>5.1.3</t>
        </is>
      </c>
      <c r="B13" s="4" t="inlineStr">
        <is>
          <t>Choosing the Correct Investigation</t>
        </is>
      </c>
      <c r="C13" s="4" t="inlineStr">
        <is>
          <t>Protocol differences between departments are invisible on the report.</t>
        </is>
      </c>
    </row>
    <row r="14">
      <c r="A14" s="4" t="inlineStr">
        <is>
          <t>5.1.3</t>
        </is>
      </c>
      <c r="B14" s="4" t="inlineStr">
        <is>
          <t>Choosing the Correct Investigation</t>
        </is>
      </c>
      <c r="C14" s="4" t="inlineStr">
        <is>
          <t>Substituting an available modality silently changes the plan's basis.</t>
        </is>
      </c>
    </row>
    <row r="15">
      <c r="A15" s="4" t="inlineStr">
        <is>
          <t>5.1.3</t>
        </is>
      </c>
      <c r="B15" s="4" t="inlineStr">
        <is>
          <t>Choosing the Correct Investigation</t>
        </is>
      </c>
      <c r="C15" s="4" t="inlineStr">
        <is>
          <t>Advanced techniques answer questions that are unreachable in most places.</t>
        </is>
      </c>
    </row>
    <row r="16">
      <c r="A16" s="4" t="inlineStr">
        <is>
          <t>5.1.3</t>
        </is>
      </c>
      <c r="B16" s="4" t="inlineStr">
        <is>
          <t>Choosing the Correct Investigation</t>
        </is>
      </c>
      <c r="C16" s="4" t="inlineStr">
        <is>
          <t>Responsibility for the answer is split between requester and department.</t>
        </is>
      </c>
    </row>
    <row r="17">
      <c r="A17" s="4" t="inlineStr">
        <is>
          <t>5.1.4</t>
        </is>
      </c>
      <c r="B17" s="4" t="inlineStr">
        <is>
          <t>Imaging Pathways</t>
        </is>
      </c>
      <c r="C17" s="4" t="inlineStr">
        <is>
          <t>Most patients arrive through somebody else's pathway.</t>
        </is>
      </c>
    </row>
    <row r="18">
      <c r="A18" s="4" t="inlineStr">
        <is>
          <t>5.1.4</t>
        </is>
      </c>
      <c r="B18" s="4" t="inlineStr">
        <is>
          <t>Imaging Pathways</t>
        </is>
      </c>
      <c r="C18" s="4" t="inlineStr">
        <is>
          <t>The existing imaging answered a question you did not ask.</t>
        </is>
      </c>
    </row>
    <row r="19">
      <c r="A19" s="4" t="inlineStr">
        <is>
          <t>5.1.4</t>
        </is>
      </c>
      <c r="B19" s="4" t="inlineStr">
        <is>
          <t>Imaging Pathways</t>
        </is>
      </c>
      <c r="C19" s="4" t="inlineStr">
        <is>
          <t>Repeating is decided against what the last study could not answer.</t>
        </is>
      </c>
    </row>
    <row r="20">
      <c r="A20" s="4" t="inlineStr">
        <is>
          <t>5.1.4</t>
        </is>
      </c>
      <c r="B20" s="4" t="inlineStr">
        <is>
          <t>Imaging Pathways</t>
        </is>
      </c>
      <c r="C20" s="4" t="inlineStr">
        <is>
          <t>A tertiary clinic sees the cases local pathways failed, which biases the view.</t>
        </is>
      </c>
    </row>
    <row r="21">
      <c r="A21" s="4" t="inlineStr">
        <is>
          <t>5.1.4</t>
        </is>
      </c>
      <c r="B21" s="4" t="inlineStr">
        <is>
          <t>Imaging Pathways</t>
        </is>
      </c>
      <c r="C21" s="4" t="inlineStr">
        <is>
          <t>The reporting template is hardest to change and shapes the most.</t>
        </is>
      </c>
    </row>
    <row r="22">
      <c r="A22" s="4" t="inlineStr">
        <is>
          <t>5.1.5</t>
        </is>
      </c>
      <c r="B22" s="4" t="inlineStr">
        <is>
          <t>Cost-effectiveness of Imaging</t>
        </is>
      </c>
      <c r="C22" s="4" t="inlineStr">
        <is>
          <t>The marginal scan is usually a repeat, valued by what the first could not answer.</t>
        </is>
      </c>
    </row>
    <row r="23">
      <c r="A23" s="4" t="inlineStr">
        <is>
          <t>5.1.5</t>
        </is>
      </c>
      <c r="B23" s="4" t="inlineStr">
        <is>
          <t>Cost-effectiveness of Imaging</t>
        </is>
      </c>
      <c r="C23" s="4" t="inlineStr">
        <is>
          <t>Advanced techniques carry benefits established in research populations.</t>
        </is>
      </c>
    </row>
    <row r="24">
      <c r="A24" s="4" t="inlineStr">
        <is>
          <t>5.1.5</t>
        </is>
      </c>
      <c r="B24" s="4" t="inlineStr">
        <is>
          <t>Cost-effectiveness of Imaging</t>
        </is>
      </c>
      <c r="C24" s="4" t="inlineStr">
        <is>
          <t>An incidental finding transfers cost to the patient and the system.</t>
        </is>
      </c>
    </row>
    <row r="25">
      <c r="A25" s="4" t="inlineStr">
        <is>
          <t>5.1.5</t>
        </is>
      </c>
      <c r="B25" s="4" t="inlineStr">
        <is>
          <t>Cost-effectiveness of Imaging</t>
        </is>
      </c>
      <c r="C25" s="4" t="inlineStr">
        <is>
          <t>Published work is bound to a health system and a price list.</t>
        </is>
      </c>
    </row>
    <row r="26">
      <c r="A26" s="4" t="inlineStr">
        <is>
          <t>5.1.5</t>
        </is>
      </c>
      <c r="B26" s="4" t="inlineStr">
        <is>
          <t>Cost-effectiveness of Imaging</t>
        </is>
      </c>
      <c r="C26" s="4" t="inlineStr">
        <is>
          <t>Not requesting saves the most and is the hardest to defend afterwards.</t>
        </is>
      </c>
    </row>
    <row r="27">
      <c r="A27" s="4" t="inlineStr">
        <is>
          <t>5.1.6</t>
        </is>
      </c>
      <c r="B27" s="4" t="inlineStr">
        <is>
          <t>Imaging Pitfalls</t>
        </is>
      </c>
      <c r="C27" s="4" t="inlineStr">
        <is>
          <t>The prevalence problem has no clinical solution, only a judgement each time.</t>
        </is>
      </c>
    </row>
    <row r="28">
      <c r="A28" s="4" t="inlineStr">
        <is>
          <t>5.1.6</t>
        </is>
      </c>
      <c r="B28" s="4" t="inlineStr">
        <is>
          <t>Imaging Pitfalls</t>
        </is>
      </c>
      <c r="C28" s="4" t="inlineStr">
        <is>
          <t>Protocol variation between centres is invisible on reports.</t>
        </is>
      </c>
    </row>
    <row r="29">
      <c r="A29" s="4" t="inlineStr">
        <is>
          <t>5.1.6</t>
        </is>
      </c>
      <c r="B29" s="4" t="inlineStr">
        <is>
          <t>Imaging Pitfalls</t>
        </is>
      </c>
      <c r="C29" s="4" t="inlineStr">
        <is>
          <t>Advanced sequences bring new artefacts rather than fewer.</t>
        </is>
      </c>
    </row>
    <row r="30">
      <c r="A30" s="4" t="inlineStr">
        <is>
          <t>5.1.6</t>
        </is>
      </c>
      <c r="B30" s="4" t="inlineStr">
        <is>
          <t>Imaging Pitfalls</t>
        </is>
      </c>
      <c r="C30" s="4" t="inlineStr">
        <is>
          <t>Assisted reading changes the error pattern rather than removing it.</t>
        </is>
      </c>
    </row>
    <row r="31">
      <c r="A31" s="4" t="inlineStr">
        <is>
          <t>5.1.6</t>
        </is>
      </c>
      <c r="B31" s="4" t="inlineStr">
        <is>
          <t>Imaging Pitfalls</t>
        </is>
      </c>
      <c r="C31" s="4" t="inlineStr">
        <is>
          <t>The pitfalls recur across the section, which is why they have a chapter.</t>
        </is>
      </c>
    </row>
    <row r="32">
      <c r="A32" s="4" t="inlineStr">
        <is>
          <t>5.1.7</t>
        </is>
      </c>
      <c r="B32" s="4" t="inlineStr">
        <is>
          <t>Evidence-Based Imaging</t>
        </is>
      </c>
      <c r="C32" s="4" t="inlineStr">
        <is>
          <t>This section states comparisons and refuses figures, which illustrates its own subject.</t>
        </is>
      </c>
    </row>
    <row r="33">
      <c r="A33" s="4" t="inlineStr">
        <is>
          <t>5.1.7</t>
        </is>
      </c>
      <c r="B33" s="4" t="inlineStr">
        <is>
          <t>Evidence-Based Imaging</t>
        </is>
      </c>
      <c r="C33" s="4" t="inlineStr">
        <is>
          <t>A reader wanting numbers is told where to go rather than given an approximation.</t>
        </is>
      </c>
    </row>
    <row r="34">
      <c r="A34" s="4" t="inlineStr">
        <is>
          <t>5.1.7</t>
        </is>
      </c>
      <c r="B34" s="4" t="inlineStr">
        <is>
          <t>Evidence-Based Imaging</t>
        </is>
      </c>
      <c r="C34" s="4" t="inlineStr">
        <is>
          <t>Shifting reference standards make old and new accuracy work hard to compare.</t>
        </is>
      </c>
    </row>
    <row r="35">
      <c r="A35" s="4" t="inlineStr">
        <is>
          <t>5.1.7</t>
        </is>
      </c>
      <c r="B35" s="4" t="inlineStr">
        <is>
          <t>Evidence-Based Imaging</t>
        </is>
      </c>
      <c r="C35" s="4" t="inlineStr">
        <is>
          <t>Automated reading is evaluated against readers rather than outcomes.</t>
        </is>
      </c>
    </row>
    <row r="36">
      <c r="A36" s="4" t="inlineStr">
        <is>
          <t>5.1.7</t>
        </is>
      </c>
      <c r="B36" s="4" t="inlineStr">
        <is>
          <t>Evidence-Based Imaging</t>
        </is>
      </c>
      <c r="C36" s="4" t="inlineStr">
        <is>
          <t>The strongest claim available is about which question to ask.</t>
        </is>
      </c>
    </row>
    <row r="37">
      <c r="A37" s="4" t="inlineStr">
        <is>
          <t>5.1.8</t>
        </is>
      </c>
      <c r="B37" s="4" t="inlineStr">
        <is>
          <t>Future of Knee Imaging</t>
        </is>
      </c>
      <c r="C37" s="4" t="inlineStr">
        <is>
          <t>Whether a quantitative measure predicts progression in an individual is open.</t>
        </is>
      </c>
    </row>
    <row r="38">
      <c r="A38" s="4" t="inlineStr">
        <is>
          <t>5.1.8</t>
        </is>
      </c>
      <c r="B38" s="4" t="inlineStr">
        <is>
          <t>Future of Knee Imaging</t>
        </is>
      </c>
      <c r="C38" s="4" t="inlineStr">
        <is>
          <t>Whether loaded imaging adds to a weightbearing radiograph is open.</t>
        </is>
      </c>
    </row>
    <row r="39">
      <c r="A39" s="4" t="inlineStr">
        <is>
          <t>5.1.8</t>
        </is>
      </c>
      <c r="B39" s="4" t="inlineStr">
        <is>
          <t>Future of Knee Imaging</t>
        </is>
      </c>
      <c r="C39" s="4" t="inlineStr">
        <is>
          <t>Whether automated reading reduces or relocates error is open.</t>
        </is>
      </c>
    </row>
    <row r="40">
      <c r="A40" s="4" t="inlineStr">
        <is>
          <t>5.1.8</t>
        </is>
      </c>
      <c r="B40" s="4" t="inlineStr">
        <is>
          <t>Future of Knee Imaging</t>
        </is>
      </c>
      <c r="C40" s="4" t="inlineStr">
        <is>
          <t>Whether the magic angle effect can be exploited is this site's own question.</t>
        </is>
      </c>
    </row>
    <row r="41">
      <c r="A41" s="4" t="inlineStr">
        <is>
          <t>5.1.8</t>
        </is>
      </c>
      <c r="B41" s="4" t="inlineStr">
        <is>
          <t>Future of Knee Imaging</t>
        </is>
      </c>
      <c r="C41" s="4" t="inlineStr">
        <is>
          <t>Whether any of it reaches general practice is not a clinical question.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5.1.3-P1</t>
        </is>
      </c>
      <c r="B3" s="4" t="inlineStr">
        <is>
          <t>5.1.3</t>
        </is>
      </c>
      <c r="C3" s="4" t="inlineStr">
        <is>
          <t>medical_student</t>
        </is>
      </c>
      <c r="D3" s="4" t="inlineStr">
        <is>
          <t>Start with the clinical question in one sentence, naming the structure and what the answer would change.</t>
        </is>
      </c>
      <c r="E3" s="4" t="inlineStr"/>
      <c r="F3" s="4" t="inlineStr"/>
      <c r="G3" s="4" t="inlineStr"/>
    </row>
    <row r="4">
      <c r="A4" s="4" t="inlineStr">
        <is>
          <t>5.1.3-P2</t>
        </is>
      </c>
      <c r="B4" s="4" t="inlineStr">
        <is>
          <t>5.1.3</t>
        </is>
      </c>
      <c r="C4" s="4" t="inlineStr">
        <is>
          <t>medical_student</t>
        </is>
      </c>
      <c r="D4" s="4" t="inlineStr">
        <is>
          <t>Record what you would do if the result were normal, because that answer decides whether to request at all.</t>
        </is>
      </c>
      <c r="E4" s="4" t="inlineStr"/>
      <c r="F4" s="4" t="inlineStr"/>
      <c r="G4" s="4" t="inlineStr"/>
    </row>
    <row r="5">
      <c r="A5" s="4" t="inlineStr">
        <is>
          <t>5.1.4-P1</t>
        </is>
      </c>
      <c r="B5" s="4" t="inlineStr">
        <is>
          <t>5.1.4</t>
        </is>
      </c>
      <c r="C5" s="4" t="inlineStr">
        <is>
          <t>medical_student</t>
        </is>
      </c>
      <c r="D5" s="4" t="inlineStr">
        <is>
          <t>Follow the usual order: radiographs first in almost every knee, then cross sectional imaging where the question needs it.</t>
        </is>
      </c>
      <c r="E5" s="4" t="inlineStr"/>
      <c r="F5" s="4" t="inlineStr"/>
      <c r="G5" s="4" t="inlineStr"/>
    </row>
    <row r="6">
      <c r="A6" s="4" t="inlineStr">
        <is>
          <t>5.1.4-P2</t>
        </is>
      </c>
      <c r="B6" s="4" t="inlineStr">
        <is>
          <t>5.1.4</t>
        </is>
      </c>
      <c r="C6" s="4" t="inlineStr">
        <is>
          <t>medical_student</t>
        </is>
      </c>
      <c r="D6" s="4" t="inlineStr">
        <is>
          <t>Record the clinical question so the pathway's default protocol can be changed where it needs to be.</t>
        </is>
      </c>
      <c r="E6" s="4" t="inlineStr"/>
      <c r="F6" s="4" t="inlineStr"/>
      <c r="G6" s="4" t="inlineStr"/>
    </row>
    <row r="7">
      <c r="A7" s="4" t="inlineStr">
        <is>
          <t>5.1.5-P1</t>
        </is>
      </c>
      <c r="B7" s="4" t="inlineStr">
        <is>
          <t>5.1.5</t>
        </is>
      </c>
      <c r="C7" s="4" t="inlineStr">
        <is>
          <t>mrcs</t>
        </is>
      </c>
      <c r="D7" s="4" t="inlineStr">
        <is>
          <t>Delay has a cost that is easy to ignore because nobody is billed for it, and in an acute knee it is the dominant cost.</t>
        </is>
      </c>
      <c r="E7" s="4" t="inlineStr"/>
      <c r="F7" s="4" t="inlineStr"/>
      <c r="G7" s="4" t="inlineStr"/>
    </row>
  </sheetData>
  <dataValidations count="1">
    <dataValidation sqref="E3:E7"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5</f>
        <v/>
      </c>
      <c r="C2" s="3">
        <f>0</f>
        <v/>
      </c>
    </row>
    <row r="3">
      <c r="A3" s="2" t="inlineStr">
        <is>
          <t>Decided</t>
        </is>
      </c>
      <c r="B3" s="3">
        <f>COUNTIF(Recommendations!E3:E7,"&lt;&gt;")</f>
        <v/>
      </c>
      <c r="C3" s="3">
        <f>COUNTIF(Measurements!F3:F2,"&lt;&gt;")</f>
        <v/>
      </c>
    </row>
    <row r="4">
      <c r="A4" s="2" t="inlineStr">
        <is>
          <t>Still blank</t>
        </is>
      </c>
      <c r="B4" s="3">
        <f>B2-B3</f>
        <v/>
      </c>
      <c r="C4" s="3">
        <f>C2-C3</f>
        <v/>
      </c>
    </row>
    <row r="5">
      <c r="A5" s="2" t="inlineStr">
        <is>
          <t>CONFIRMED</t>
        </is>
      </c>
      <c r="B5" s="3">
        <f>COUNTIF(Recommendations!E3:E7,"CONFIRMED")</f>
        <v/>
      </c>
      <c r="C5" s="3" t="inlineStr"/>
    </row>
    <row r="6">
      <c r="A6" s="2" t="inlineStr">
        <is>
          <t>AMENDED</t>
        </is>
      </c>
      <c r="B6" s="3">
        <f>COUNTIF(Recommendations!E3:E7,"AMENDED")</f>
        <v/>
      </c>
      <c r="C6" s="3" t="inlineStr"/>
    </row>
    <row r="7">
      <c r="A7" s="2" t="inlineStr">
        <is>
          <t>WITHDRAWN</t>
        </is>
      </c>
      <c r="B7" s="3">
        <f>COUNTIF(Recommendations!E3:E7,"WITHDRAWN")</f>
        <v/>
      </c>
      <c r="C7" s="3" t="inlineStr"/>
    </row>
    <row r="8">
      <c r="A8" s="2" t="inlineStr">
        <is>
          <t>NOT_CLINICAL</t>
        </is>
      </c>
      <c r="B8" s="3">
        <f>COUNTIF(Recommendations!E3:E7,"NOT_CLINICAL")</f>
        <v/>
      </c>
      <c r="C8" s="3" t="inlineStr"/>
    </row>
    <row r="9">
      <c r="A9" s="2" t="inlineStr">
        <is>
          <t>VERIFIED</t>
        </is>
      </c>
      <c r="B9" s="3" t="inlineStr"/>
      <c r="C9" s="3">
        <f>COUNTIF(Measurements!F3:F2,"VERIFIED")</f>
        <v/>
      </c>
    </row>
    <row r="10">
      <c r="A10" s="2" t="inlineStr">
        <is>
          <t>CORRECTED</t>
        </is>
      </c>
      <c r="B10" s="3" t="inlineStr"/>
      <c r="C10" s="3">
        <f>COUNTIF(Measurements!F3:F2,"CORRECTED")</f>
        <v/>
      </c>
    </row>
    <row r="11">
      <c r="A11" s="2" t="inlineStr">
        <is>
          <t>REMOVED</t>
        </is>
      </c>
      <c r="B11" s="3" t="inlineStr"/>
      <c r="C11" s="3">
        <f>COUNTIF(Measurements!F3:F2,"REMOVED")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2026-10-15T19:35:47Z</dcterms:created>
  <dcterms:modified xmlns:dcterms="http://purl.org/dc/terms/" xmlns:xsi="http://www.w3.org/2001/XMLSchema-instance" xsi:type="dcterms:W3CDTF">2026-10-15T19:35:47Z</dcterms:modified>
</cp:coreProperties>
</file>