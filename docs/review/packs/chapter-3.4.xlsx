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3.4 Knee Kinetics</t>
        </is>
      </c>
    </row>
    <row r="3">
      <c r="A3" s="2" t="inlineStr">
        <is>
          <t>Section</t>
        </is>
      </c>
      <c r="B3" s="3" t="inlineStr">
        <is>
          <t>3</t>
        </is>
      </c>
    </row>
    <row r="4">
      <c r="A4" s="2" t="inlineStr">
        <is>
          <t>Chapter</t>
        </is>
      </c>
      <c r="B4" s="3" t="inlineStr">
        <is>
          <t>3.4 Knee Kinetics</t>
        </is>
      </c>
    </row>
    <row r="5">
      <c r="A5" s="2" t="inlineStr">
        <is>
          <t>Pages</t>
        </is>
      </c>
      <c r="B5" s="3" t="n">
        <v>10</v>
      </c>
    </row>
    <row r="6">
      <c r="A6" s="2" t="inlineStr">
        <is>
          <t>Page type</t>
        </is>
      </c>
      <c r="B6" s="3" t="inlineStr">
        <is>
          <t>biomechanics</t>
        </is>
      </c>
    </row>
    <row r="7">
      <c r="A7" s="2" t="inlineStr">
        <is>
          <t>Tiers</t>
        </is>
      </c>
      <c r="B7" s="3" t="inlineStr">
        <is>
          <t>medical student, mrcs, frcs</t>
        </is>
      </c>
    </row>
    <row r="8">
      <c r="A8" s="2" t="inlineStr">
        <is>
          <t>Words</t>
        </is>
      </c>
      <c r="B8" s="3" t="inlineStr">
        <is>
          <t>12,196</t>
        </is>
      </c>
    </row>
    <row r="9">
      <c r="A9" s="2" t="inlineStr">
        <is>
          <t>Style gate</t>
        </is>
      </c>
      <c r="B9" s="3" t="inlineStr">
        <is>
          <t>all pages pass, 0 warnings</t>
        </is>
      </c>
    </row>
    <row r="10">
      <c r="A10" s="2" t="inlineStr">
        <is>
          <t>Evidence verification</t>
        </is>
      </c>
      <c r="B10" s="3" t="inlineStr">
        <is>
          <t>did not run on any page</t>
        </is>
      </c>
    </row>
    <row r="11">
      <c r="A11" s="2" t="inlineStr">
        <is>
          <t>Measurements to check</t>
        </is>
      </c>
      <c r="B11" s="3" t="n">
        <v>5</v>
      </c>
    </row>
    <row r="12">
      <c r="A12" s="2" t="inlineStr">
        <is>
          <t>Recommendations to sign</t>
        </is>
      </c>
      <c r="B12" s="3" t="n">
        <v>74</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3.4.1</t>
        </is>
      </c>
      <c r="B2" s="6" t="inlineStr">
        <is>
          <t>Introduction to Kinetics</t>
        </is>
      </c>
      <c r="C2" s="6" t="n">
        <v>3</v>
      </c>
      <c r="D2" s="6" t="n">
        <v>1338</v>
      </c>
      <c r="E2" s="6" t="inlineStr">
        <is>
          <t>biomechanics/introduction-to-kinetics.html</t>
        </is>
      </c>
    </row>
    <row r="3">
      <c r="A3" s="6" t="inlineStr">
        <is>
          <t>3.4.2</t>
        </is>
      </c>
      <c r="B3" s="6" t="inlineStr">
        <is>
          <t>Ground Reaction Forces</t>
        </is>
      </c>
      <c r="C3" s="6" t="n">
        <v>3</v>
      </c>
      <c r="D3" s="6" t="n">
        <v>1302</v>
      </c>
      <c r="E3" s="6" t="inlineStr">
        <is>
          <t>biomechanics/ground-reaction-forces.html</t>
        </is>
      </c>
    </row>
    <row r="4">
      <c r="A4" s="6" t="inlineStr">
        <is>
          <t>3.4.3</t>
        </is>
      </c>
      <c r="B4" s="6" t="inlineStr">
        <is>
          <t>Joint Reaction Forces</t>
        </is>
      </c>
      <c r="C4" s="6" t="n">
        <v>3</v>
      </c>
      <c r="D4" s="6" t="n">
        <v>1237</v>
      </c>
      <c r="E4" s="6" t="inlineStr">
        <is>
          <t>biomechanics/joint-reaction-forces.html</t>
        </is>
      </c>
    </row>
    <row r="5">
      <c r="A5" s="6" t="inlineStr">
        <is>
          <t>3.4.4</t>
        </is>
      </c>
      <c r="B5" s="6" t="inlineStr">
        <is>
          <t>Lever Arms</t>
        </is>
      </c>
      <c r="C5" s="6" t="n">
        <v>3</v>
      </c>
      <c r="D5" s="6" t="n">
        <v>1245</v>
      </c>
      <c r="E5" s="6" t="inlineStr">
        <is>
          <t>biomechanics/lever-arms.html</t>
        </is>
      </c>
    </row>
    <row r="6">
      <c r="A6" s="6" t="inlineStr">
        <is>
          <t>3.4.5</t>
        </is>
      </c>
      <c r="B6" s="6" t="inlineStr">
        <is>
          <t>Moments About the Knee</t>
        </is>
      </c>
      <c r="C6" s="6" t="n">
        <v>3</v>
      </c>
      <c r="D6" s="6" t="n">
        <v>1220</v>
      </c>
      <c r="E6" s="6" t="inlineStr">
        <is>
          <t>biomechanics/moments-about-the-knee.html</t>
        </is>
      </c>
    </row>
    <row r="7">
      <c r="A7" s="6" t="inlineStr">
        <is>
          <t>3.4.6</t>
        </is>
      </c>
      <c r="B7" s="6" t="inlineStr">
        <is>
          <t>External Moments</t>
        </is>
      </c>
      <c r="C7" s="6" t="n">
        <v>3</v>
      </c>
      <c r="D7" s="6" t="n">
        <v>1231</v>
      </c>
      <c r="E7" s="6" t="inlineStr">
        <is>
          <t>biomechanics/external-moments.html</t>
        </is>
      </c>
    </row>
    <row r="8">
      <c r="A8" s="6" t="inlineStr">
        <is>
          <t>3.4.7</t>
        </is>
      </c>
      <c r="B8" s="6" t="inlineStr">
        <is>
          <t>Internal Moments</t>
        </is>
      </c>
      <c r="C8" s="6" t="n">
        <v>3</v>
      </c>
      <c r="D8" s="6" t="n">
        <v>1193</v>
      </c>
      <c r="E8" s="6" t="inlineStr">
        <is>
          <t>biomechanics/internal-moments.html</t>
        </is>
      </c>
    </row>
    <row r="9">
      <c r="A9" s="6" t="inlineStr">
        <is>
          <t>3.4.8</t>
        </is>
      </c>
      <c r="B9" s="6" t="inlineStr">
        <is>
          <t>Energy Absorption</t>
        </is>
      </c>
      <c r="C9" s="6" t="n">
        <v>3</v>
      </c>
      <c r="D9" s="6" t="n">
        <v>1157</v>
      </c>
      <c r="E9" s="6" t="inlineStr">
        <is>
          <t>biomechanics/energy-absorption.html</t>
        </is>
      </c>
    </row>
    <row r="10">
      <c r="A10" s="6" t="inlineStr">
        <is>
          <t>3.4.9</t>
        </is>
      </c>
      <c r="B10" s="6" t="inlineStr">
        <is>
          <t>Force Transmission</t>
        </is>
      </c>
      <c r="C10" s="6" t="n">
        <v>3</v>
      </c>
      <c r="D10" s="6" t="n">
        <v>1131</v>
      </c>
      <c r="E10" s="6" t="inlineStr">
        <is>
          <t>biomechanics/force-transmission.html</t>
        </is>
      </c>
    </row>
    <row r="11">
      <c r="A11" s="6" t="inlineStr">
        <is>
          <t>3.4.10</t>
        </is>
      </c>
      <c r="B11" s="6" t="inlineStr">
        <is>
          <t>Shock Absorption</t>
        </is>
      </c>
      <c r="C11" s="6" t="n">
        <v>3</v>
      </c>
      <c r="D11" s="6" t="n">
        <v>1142</v>
      </c>
      <c r="E11" s="6" t="inlineStr">
        <is>
          <t>biomechanics/shock-absorption.html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1"/>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3.4.1</t>
        </is>
      </c>
      <c r="B2" s="4" t="inlineStr">
        <is>
          <t>Introduction to Kinetics</t>
        </is>
      </c>
      <c r="C2" s="4" t="inlineStr">
        <is>
          <t>Cartilage responds to load, so the kinetic account explains progression.</t>
        </is>
      </c>
    </row>
    <row r="3">
      <c r="A3" s="4" t="inlineStr">
        <is>
          <t>3.4.1</t>
        </is>
      </c>
      <c r="B3" s="4" t="inlineStr">
        <is>
          <t>Introduction to Kinetics</t>
        </is>
      </c>
      <c r="C3" s="4" t="inlineStr">
        <is>
          <t>The knee adduction moment is the actionable kinetic quantity because it is modifiable.</t>
        </is>
      </c>
    </row>
    <row r="4">
      <c r="A4" s="4" t="inlineStr">
        <is>
          <t>3.4.1</t>
        </is>
      </c>
      <c r="B4" s="4" t="inlineStr">
        <is>
          <t>Introduction to Kinetics</t>
        </is>
      </c>
      <c r="C4" s="4" t="inlineStr">
        <is>
          <t>Most knee operations are kinetic interventions described anatomically.</t>
        </is>
      </c>
    </row>
    <row r="5">
      <c r="A5" s="4" t="inlineStr">
        <is>
          <t>3.4.1</t>
        </is>
      </c>
      <c r="B5" s="4" t="inlineStr">
        <is>
          <t>Introduction to Kinetics</t>
        </is>
      </c>
      <c r="C5" s="4" t="inlineStr">
        <is>
          <t>Musculoskeletal models resolve the redundancy inverse dynamics leaves, by assumption.</t>
        </is>
      </c>
    </row>
    <row r="6">
      <c r="A6" s="4" t="inlineStr">
        <is>
          <t>3.4.1</t>
        </is>
      </c>
      <c r="B6" s="4" t="inlineStr">
        <is>
          <t>Introduction to Kinetics</t>
        </is>
      </c>
      <c r="C6" s="4" t="inlineStr">
        <is>
          <t>No routine clinical measurement of joint load exists.</t>
        </is>
      </c>
    </row>
    <row r="7">
      <c r="A7" s="4" t="inlineStr">
        <is>
          <t>3.4.2</t>
        </is>
      </c>
      <c r="B7" s="4" t="inlineStr">
        <is>
          <t>Ground Reaction Forces</t>
        </is>
      </c>
      <c r="C7" s="4" t="inlineStr">
        <is>
          <t>Alignment surgery changes where the force line falls, not the force.</t>
        </is>
      </c>
    </row>
    <row r="8">
      <c r="A8" s="4" t="inlineStr">
        <is>
          <t>3.4.2</t>
        </is>
      </c>
      <c r="B8" s="4" t="inlineStr">
        <is>
          <t>Ground Reaction Forces</t>
        </is>
      </c>
      <c r="C8" s="4" t="inlineStr">
        <is>
          <t>Gait retraining and a lateral wedge move the line; their effect sizes are small.</t>
        </is>
      </c>
    </row>
    <row r="9">
      <c r="A9" s="4" t="inlineStr">
        <is>
          <t>3.4.2</t>
        </is>
      </c>
      <c r="B9" s="4" t="inlineStr">
        <is>
          <t>Ground Reaction Forces</t>
        </is>
      </c>
      <c r="C9" s="4" t="inlineStr">
        <is>
          <t>The external knee adduction moment is the derived quantity that matters.</t>
        </is>
      </c>
    </row>
    <row r="10">
      <c r="A10" s="4" t="inlineStr">
        <is>
          <t>3.4.2</t>
        </is>
      </c>
      <c r="B10" s="4" t="inlineStr">
        <is>
          <t>Ground Reaction Forces</t>
        </is>
      </c>
      <c r="C10" s="4" t="inlineStr">
        <is>
          <t>Static alignment and the dynamic moment correlate imperfectly.</t>
        </is>
      </c>
    </row>
    <row r="11">
      <c r="A11" s="4" t="inlineStr">
        <is>
          <t>3.4.2</t>
        </is>
      </c>
      <c r="B11" s="4" t="inlineStr">
        <is>
          <t>Ground Reaction Forces</t>
        </is>
      </c>
      <c r="C11" s="4" t="inlineStr">
        <is>
          <t>No clinic measurement gives the adduction moment, so alignment stands in for it.</t>
        </is>
      </c>
    </row>
    <row r="12">
      <c r="A12" s="4" t="inlineStr">
        <is>
          <t>3.4.3</t>
        </is>
      </c>
      <c r="B12" s="4" t="inlineStr">
        <is>
          <t>Joint Reaction Forces</t>
        </is>
      </c>
      <c r="C12" s="4" t="inlineStr">
        <is>
          <t>Compartment load division is what osteotomy and unicompartmental surgery manipulate.</t>
        </is>
      </c>
    </row>
    <row r="13">
      <c r="A13" s="4" t="inlineStr">
        <is>
          <t>3.4.3</t>
        </is>
      </c>
      <c r="B13" s="4" t="inlineStr">
        <is>
          <t>Joint Reaction Forces</t>
        </is>
      </c>
      <c r="C13" s="4" t="inlineStr">
        <is>
          <t>Lateral overload after overcorrection is the kinetic account of a technical error.</t>
        </is>
      </c>
    </row>
    <row r="14">
      <c r="A14" s="4" t="inlineStr">
        <is>
          <t>3.4.3</t>
        </is>
      </c>
      <c r="B14" s="4" t="inlineStr">
        <is>
          <t>Joint Reaction Forces</t>
        </is>
      </c>
      <c r="C14" s="4" t="inlineStr">
        <is>
          <t>The 60 to 40 division is an average over a cycle, not an instantaneous truth.</t>
        </is>
      </c>
    </row>
    <row r="15">
      <c r="A15" s="4" t="inlineStr">
        <is>
          <t>3.4.3</t>
        </is>
      </c>
      <c r="B15" s="4" t="inlineStr">
        <is>
          <t>Joint Reaction Forces</t>
        </is>
      </c>
      <c r="C15" s="4" t="inlineStr">
        <is>
          <t>Instrumented telemetry validates the models that estimate intact knee loads.</t>
        </is>
      </c>
    </row>
    <row r="16">
      <c r="A16" s="4" t="inlineStr">
        <is>
          <t>3.4.3</t>
        </is>
      </c>
      <c r="B16" s="4" t="inlineStr">
        <is>
          <t>Joint Reaction Forces</t>
        </is>
      </c>
      <c r="C16" s="4" t="inlineStr">
        <is>
          <t>Intraoperative pressure sensing describes an anaesthetised knee.</t>
        </is>
      </c>
    </row>
    <row r="17">
      <c r="A17" s="4" t="inlineStr">
        <is>
          <t>3.4.4</t>
        </is>
      </c>
      <c r="B17" s="4" t="inlineStr">
        <is>
          <t>Lever Arms</t>
        </is>
      </c>
      <c r="C17" s="4" t="inlineStr">
        <is>
          <t>The extensor lever arm is a surgical variable in joint line, patella and tubercle surgery.</t>
        </is>
      </c>
    </row>
    <row r="18">
      <c r="A18" s="4" t="inlineStr">
        <is>
          <t>3.4.4</t>
        </is>
      </c>
      <c r="B18" s="4" t="inlineStr">
        <is>
          <t>Lever Arms</t>
        </is>
      </c>
      <c r="C18" s="4" t="inlineStr">
        <is>
          <t>Joint line elevation shortens the extensor arm and raises patellofemoral load.</t>
        </is>
      </c>
    </row>
    <row r="19">
      <c r="A19" s="4" t="inlineStr">
        <is>
          <t>3.4.4</t>
        </is>
      </c>
      <c r="B19" s="4" t="inlineStr">
        <is>
          <t>Lever Arms</t>
        </is>
      </c>
      <c r="C19" s="4" t="inlineStr">
        <is>
          <t>Anteromedialisation is an explicit lever arm and load distribution operation.</t>
        </is>
      </c>
    </row>
    <row r="20">
      <c r="A20" s="4" t="inlineStr">
        <is>
          <t>3.4.4</t>
        </is>
      </c>
      <c r="B20" s="4" t="inlineStr">
        <is>
          <t>Lever Arms</t>
        </is>
      </c>
      <c r="C20" s="4" t="inlineStr">
        <is>
          <t>The arm is managed through proxies, since no intraoperative measurement exists.</t>
        </is>
      </c>
    </row>
    <row r="21">
      <c r="A21" s="4" t="inlineStr">
        <is>
          <t>3.4.4</t>
        </is>
      </c>
      <c r="B21" s="4" t="inlineStr">
        <is>
          <t>Lever Arms</t>
        </is>
      </c>
      <c r="C21" s="4" t="inlineStr">
        <is>
          <t>Patellar height should be measured before and after extensor mechanism surgery.</t>
        </is>
      </c>
    </row>
    <row r="22">
      <c r="A22" s="4" t="inlineStr">
        <is>
          <t>3.4.5</t>
        </is>
      </c>
      <c r="B22" s="4" t="inlineStr">
        <is>
          <t>Moments About the Knee</t>
        </is>
      </c>
      <c r="C22" s="4" t="inlineStr">
        <is>
          <t>The adduction moment is modifiable by osteotomy, gait modification and bracing.</t>
        </is>
      </c>
    </row>
    <row r="23">
      <c r="A23" s="4" t="inlineStr">
        <is>
          <t>3.4.5</t>
        </is>
      </c>
      <c r="B23" s="4" t="inlineStr">
        <is>
          <t>Moments About the Knee</t>
        </is>
      </c>
      <c r="C23" s="4" t="inlineStr">
        <is>
          <t>The sagittal moment sets the extensor demand and the rehabilitation target.</t>
        </is>
      </c>
    </row>
    <row r="24">
      <c r="A24" s="4" t="inlineStr">
        <is>
          <t>3.4.5</t>
        </is>
      </c>
      <c r="B24" s="4" t="inlineStr">
        <is>
          <t>Moments About the Knee</t>
        </is>
      </c>
      <c r="C24" s="4" t="inlineStr">
        <is>
          <t>A moment is the quantity in which unlike treatments can be compared.</t>
        </is>
      </c>
    </row>
    <row r="25">
      <c r="A25" s="4" t="inlineStr">
        <is>
          <t>3.4.5</t>
        </is>
      </c>
      <c r="B25" s="4" t="inlineStr">
        <is>
          <t>Moments About the Knee</t>
        </is>
      </c>
      <c r="C25" s="4" t="inlineStr">
        <is>
          <t>The link between the moment and progression is association, not a causal threshold.</t>
        </is>
      </c>
    </row>
    <row r="26">
      <c r="A26" s="4" t="inlineStr">
        <is>
          <t>3.4.5</t>
        </is>
      </c>
      <c r="B26" s="4" t="inlineStr">
        <is>
          <t>Moments About the Knee</t>
        </is>
      </c>
      <c r="C26" s="4" t="inlineStr">
        <is>
          <t>No moment threshold defines the osteotomy indication.</t>
        </is>
      </c>
    </row>
    <row r="27">
      <c r="A27" s="4" t="inlineStr">
        <is>
          <t>3.4.6</t>
        </is>
      </c>
      <c r="B27" s="4" t="inlineStr">
        <is>
          <t>External Moments</t>
        </is>
      </c>
      <c r="C27" s="4" t="inlineStr">
        <is>
          <t>Alignment is the lever that moves the adduction moment furthest.</t>
        </is>
      </c>
    </row>
    <row r="28">
      <c r="A28" s="4" t="inlineStr">
        <is>
          <t>3.4.6</t>
        </is>
      </c>
      <c r="B28" s="4" t="inlineStr">
        <is>
          <t>External Moments</t>
        </is>
      </c>
      <c r="C28" s="4" t="inlineStr">
        <is>
          <t>Dose response: osteotomy large, bracing moderate, gait modification small.</t>
        </is>
      </c>
    </row>
    <row r="29">
      <c r="A29" s="4" t="inlineStr">
        <is>
          <t>3.4.6</t>
        </is>
      </c>
      <c r="B29" s="4" t="inlineStr">
        <is>
          <t>External Moments</t>
        </is>
      </c>
      <c r="C29" s="4" t="inlineStr">
        <is>
          <t>The association with progression is observational, with no randomised threshold.</t>
        </is>
      </c>
    </row>
    <row r="30">
      <c r="A30" s="4" t="inlineStr">
        <is>
          <t>3.4.6</t>
        </is>
      </c>
      <c r="B30" s="4" t="inlineStr">
        <is>
          <t>External Moments</t>
        </is>
      </c>
      <c r="C30" s="4" t="inlineStr">
        <is>
          <t>Body mass can exceed the surgical effect in magnitude.</t>
        </is>
      </c>
    </row>
    <row r="31">
      <c r="A31" s="4" t="inlineStr">
        <is>
          <t>3.4.6</t>
        </is>
      </c>
      <c r="B31" s="4" t="inlineStr">
        <is>
          <t>External Moments</t>
        </is>
      </c>
      <c r="C31" s="4" t="inlineStr">
        <is>
          <t>No agreed moment threshold defines the indication.</t>
        </is>
      </c>
    </row>
    <row r="32">
      <c r="A32" s="4" t="inlineStr">
        <is>
          <t>3.4.7</t>
        </is>
      </c>
      <c r="B32" s="4" t="inlineStr">
        <is>
          <t>Internal Moments</t>
        </is>
      </c>
      <c r="C32" s="4" t="inlineStr">
        <is>
          <t>Surgery changes geometry and restraint; it does not supply a quadriceps.</t>
        </is>
      </c>
    </row>
    <row r="33">
      <c r="A33" s="4" t="inlineStr">
        <is>
          <t>3.4.7</t>
        </is>
      </c>
      <c r="B33" s="4" t="inlineStr">
        <is>
          <t>Internal Moments</t>
        </is>
      </c>
      <c r="C33" s="4" t="inlineStr">
        <is>
          <t>A graft restores a passive moment that acts at the end of range only.</t>
        </is>
      </c>
    </row>
    <row r="34">
      <c r="A34" s="4" t="inlineStr">
        <is>
          <t>3.4.7</t>
        </is>
      </c>
      <c r="B34" s="4" t="inlineStr">
        <is>
          <t>Internal Moments</t>
        </is>
      </c>
      <c r="C34" s="4" t="inlineStr">
        <is>
          <t>Functional instability with a tight graft is absent mid range muscular control.</t>
        </is>
      </c>
    </row>
    <row r="35">
      <c r="A35" s="4" t="inlineStr">
        <is>
          <t>3.4.7</t>
        </is>
      </c>
      <c r="B35" s="4" t="inlineStr">
        <is>
          <t>Internal Moments</t>
        </is>
      </c>
      <c r="C35" s="4" t="inlineStr">
        <is>
          <t>A hamstring graft removes part of the internal flexion moment.</t>
        </is>
      </c>
    </row>
    <row r="36">
      <c r="A36" s="4" t="inlineStr">
        <is>
          <t>3.4.7</t>
        </is>
      </c>
      <c r="B36" s="4" t="inlineStr">
        <is>
          <t>Internal Moments</t>
        </is>
      </c>
      <c r="C36" s="4" t="inlineStr">
        <is>
          <t>No clinical measurement separates the construct's contribution from the muscle's.</t>
        </is>
      </c>
    </row>
    <row r="37">
      <c r="A37" s="4" t="inlineStr">
        <is>
          <t>3.4.8</t>
        </is>
      </c>
      <c r="B37" s="4" t="inlineStr">
        <is>
          <t>Energy Absorption</t>
        </is>
      </c>
      <c r="C37" s="4" t="inlineStr">
        <is>
          <t>A limb that cannot absorb avoids the task or passes energy to the joint surface.</t>
        </is>
      </c>
    </row>
    <row r="38">
      <c r="A38" s="4" t="inlineStr">
        <is>
          <t>3.4.8</t>
        </is>
      </c>
      <c r="B38" s="4" t="inlineStr">
        <is>
          <t>Energy Absorption</t>
        </is>
      </c>
      <c r="C38" s="4" t="inlineStr">
        <is>
          <t>Absorption asymmetry persists after reconstruction behind a normal examination.</t>
        </is>
      </c>
    </row>
    <row r="39">
      <c r="A39" s="4" t="inlineStr">
        <is>
          <t>3.4.8</t>
        </is>
      </c>
      <c r="B39" s="4" t="inlineStr">
        <is>
          <t>Energy Absorption</t>
        </is>
      </c>
      <c r="C39" s="4" t="inlineStr">
        <is>
          <t>Loading rate and cumulative cycles drive the cartilage consequence, not a single peak.</t>
        </is>
      </c>
    </row>
    <row r="40">
      <c r="A40" s="4" t="inlineStr">
        <is>
          <t>3.4.8</t>
        </is>
      </c>
      <c r="B40" s="4" t="inlineStr">
        <is>
          <t>Energy Absorption</t>
        </is>
      </c>
      <c r="C40" s="4" t="inlineStr">
        <is>
          <t>Hop tests measure performance and have a ceiling effect.</t>
        </is>
      </c>
    </row>
    <row r="41">
      <c r="A41" s="4" t="inlineStr">
        <is>
          <t>3.4.8</t>
        </is>
      </c>
      <c r="B41" s="4" t="inlineStr">
        <is>
          <t>Energy Absorption</t>
        </is>
      </c>
      <c r="C41" s="4" t="inlineStr">
        <is>
          <t>No measurement predicts an individual's tolerance of repeated absorption.</t>
        </is>
      </c>
    </row>
    <row r="42">
      <c r="A42" s="4" t="inlineStr">
        <is>
          <t>3.4.9</t>
        </is>
      </c>
      <c r="B42" s="4" t="inlineStr">
        <is>
          <t>Force Transmission</t>
        </is>
      </c>
      <c r="C42" s="4" t="inlineStr">
        <is>
          <t>Every reconstructive decision is a load path decision.</t>
        </is>
      </c>
    </row>
    <row r="43">
      <c r="A43" s="4" t="inlineStr">
        <is>
          <t>3.4.9</t>
        </is>
      </c>
      <c r="B43" s="4" t="inlineStr">
        <is>
          <t>Force Transmission</t>
        </is>
      </c>
      <c r="C43" s="4" t="inlineStr">
        <is>
          <t>Correct alignment before or with a cartilage or meniscal procedure.</t>
        </is>
      </c>
    </row>
    <row r="44">
      <c r="A44" s="4" t="inlineStr">
        <is>
          <t>3.4.9</t>
        </is>
      </c>
      <c r="B44" s="4" t="inlineStr">
        <is>
          <t>Force Transmission</t>
        </is>
      </c>
      <c r="C44" s="4" t="inlineStr">
        <is>
          <t>Meniscal substitution restores area rather than tissue.</t>
        </is>
      </c>
    </row>
    <row r="45">
      <c r="A45" s="4" t="inlineStr">
        <is>
          <t>3.4.9</t>
        </is>
      </c>
      <c r="B45" s="4" t="inlineStr">
        <is>
          <t>Force Transmission</t>
        </is>
      </c>
      <c r="C45" s="4" t="inlineStr">
        <is>
          <t>Subchondral bone is the most often ignored part of the path.</t>
        </is>
      </c>
    </row>
    <row r="46">
      <c r="A46" s="4" t="inlineStr">
        <is>
          <t>3.4.9</t>
        </is>
      </c>
      <c r="B46" s="4" t="inlineStr">
        <is>
          <t>Force Transmission</t>
        </is>
      </c>
      <c r="C46" s="4" t="inlineStr">
        <is>
          <t>A cartilage procedure restores a surface of differing stiffness from the original.</t>
        </is>
      </c>
    </row>
    <row r="47">
      <c r="A47" s="4" t="inlineStr">
        <is>
          <t>3.4.10</t>
        </is>
      </c>
      <c r="B47" s="4" t="inlineStr">
        <is>
          <t>Shock Absorption</t>
        </is>
      </c>
      <c r="C47" s="4" t="inlineStr">
        <is>
          <t>Activity advice follows from which absorbing structure has been lost.</t>
        </is>
      </c>
    </row>
    <row r="48">
      <c r="A48" s="4" t="inlineStr">
        <is>
          <t>3.4.10</t>
        </is>
      </c>
      <c r="B48" s="4" t="inlineStr">
        <is>
          <t>Shock Absorption</t>
        </is>
      </c>
      <c r="C48" s="4" t="inlineStr">
        <is>
          <t>Impact sport is a rate problem; occupational kneeling is a cumulative one.</t>
        </is>
      </c>
    </row>
    <row r="49">
      <c r="A49" s="4" t="inlineStr">
        <is>
          <t>3.4.10</t>
        </is>
      </c>
      <c r="B49" s="4" t="inlineStr">
        <is>
          <t>Shock Absorption</t>
        </is>
      </c>
      <c r="C49" s="4" t="inlineStr">
        <is>
          <t>Subchondral marrow lesions mark where absorption has failed.</t>
        </is>
      </c>
    </row>
    <row r="50">
      <c r="A50" s="4" t="inlineStr">
        <is>
          <t>3.4.10</t>
        </is>
      </c>
      <c r="B50" s="4" t="inlineStr">
        <is>
          <t>Shock Absorption</t>
        </is>
      </c>
      <c r="C50" s="4" t="inlineStr">
        <is>
          <t>Muscle capacity is the absorbing contributor treatment can change.</t>
        </is>
      </c>
    </row>
    <row r="51">
      <c r="A51" s="4" t="inlineStr">
        <is>
          <t>3.4.10</t>
        </is>
      </c>
      <c r="B51" s="4" t="inlineStr">
        <is>
          <t>Shock Absorption</t>
        </is>
      </c>
      <c r="C51" s="4" t="inlineStr">
        <is>
          <t>No measurement predicts which patient tolerates a given activity.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row r="3">
      <c r="A3" s="4" t="inlineStr">
        <is>
          <t>3.4.1-P1</t>
        </is>
      </c>
      <c r="B3" s="4" t="inlineStr">
        <is>
          <t>3.4.1</t>
        </is>
      </c>
      <c r="C3" s="4" t="inlineStr">
        <is>
          <t>mrcs</t>
        </is>
      </c>
      <c r="D3" s="4" t="inlineStr">
        <is>
          <t>Read a joint moment as a net quantity rather than as a muscle force.</t>
        </is>
      </c>
      <c r="E3" s="4" t="inlineStr"/>
      <c r="F3" s="4" t="inlineStr"/>
      <c r="G3" s="4" t="inlineStr"/>
    </row>
    <row r="4">
      <c r="A4" s="4" t="inlineStr">
        <is>
          <t>3.4.1-P2</t>
        </is>
      </c>
      <c r="B4" s="4" t="inlineStr">
        <is>
          <t>3.4.1</t>
        </is>
      </c>
      <c r="C4" s="4" t="inlineStr">
        <is>
          <t>mrcs</t>
        </is>
      </c>
      <c r="D4" s="4" t="inlineStr">
        <is>
          <t>Expect inverse dynamics to underestimate joint load where co-contraction is likely, which includes most symptomatic knees.</t>
        </is>
      </c>
      <c r="E4" s="4" t="inlineStr"/>
      <c r="F4" s="4" t="inlineStr"/>
      <c r="G4" s="4" t="inlineStr"/>
    </row>
    <row r="5">
      <c r="A5" s="4" t="inlineStr">
        <is>
          <t>3.4.1-P3</t>
        </is>
      </c>
      <c r="B5" s="4" t="inlineStr">
        <is>
          <t>3.4.1</t>
        </is>
      </c>
      <c r="C5" s="4" t="inlineStr">
        <is>
          <t>mrcs</t>
        </is>
      </c>
      <c r="D5" s="4" t="inlineStr">
        <is>
          <t>Treat instrumented implant data as the direct measurement and the rest as computed.</t>
        </is>
      </c>
      <c r="E5" s="4" t="inlineStr"/>
      <c r="F5" s="4" t="inlineStr"/>
      <c r="G5" s="4" t="inlineStr"/>
    </row>
    <row r="6">
      <c r="A6" s="4" t="inlineStr">
        <is>
          <t>3.4.1-P4</t>
        </is>
      </c>
      <c r="B6" s="4" t="inlineStr">
        <is>
          <t>3.4.1</t>
        </is>
      </c>
      <c r="C6" s="4" t="inlineStr">
        <is>
          <t>mrcs</t>
        </is>
      </c>
      <c r="D6" s="4" t="inlineStr">
        <is>
          <t>State the activity and the method with any kinetic figure, since both change it by more than most clinical variables do.</t>
        </is>
      </c>
      <c r="E6" s="4" t="inlineStr"/>
      <c r="F6" s="4" t="inlineStr"/>
      <c r="G6" s="4" t="inlineStr"/>
    </row>
    <row r="7">
      <c r="A7" s="4" t="inlineStr">
        <is>
          <t>3.4.1-P5</t>
        </is>
      </c>
      <c r="B7" s="4" t="inlineStr">
        <is>
          <t>3.4.1</t>
        </is>
      </c>
      <c r="C7" s="4" t="inlineStr">
        <is>
          <t>frcs</t>
        </is>
      </c>
      <c r="D7" s="4" t="inlineStr">
        <is>
          <t>Treat the kinetic account as the one that explains disease progression, since cartilage responds to load rather than to motion.</t>
        </is>
      </c>
      <c r="E7" s="4" t="inlineStr"/>
      <c r="F7" s="4" t="inlineStr"/>
      <c r="G7" s="4" t="inlineStr"/>
    </row>
    <row r="8">
      <c r="A8" s="4" t="inlineStr">
        <is>
          <t>3.4.1-P6</t>
        </is>
      </c>
      <c r="B8" s="4" t="inlineStr">
        <is>
          <t>3.4.1</t>
        </is>
      </c>
      <c r="C8" s="4" t="inlineStr">
        <is>
          <t>frcs</t>
        </is>
      </c>
      <c r="D8" s="4" t="inlineStr">
        <is>
          <t>Correct alignment where compartment load is the problem, because it is the largest modifiable term.</t>
        </is>
      </c>
      <c r="E8" s="4" t="inlineStr"/>
      <c r="F8" s="4" t="inlineStr"/>
      <c r="G8" s="4" t="inlineStr"/>
    </row>
    <row r="9">
      <c r="A9" s="4" t="inlineStr">
        <is>
          <t>3.4.1-P7</t>
        </is>
      </c>
      <c r="B9" s="4" t="inlineStr">
        <is>
          <t>3.4.1</t>
        </is>
      </c>
      <c r="C9" s="4" t="inlineStr">
        <is>
          <t>frcs</t>
        </is>
      </c>
      <c r="D9" s="4" t="inlineStr">
        <is>
          <t>Address muscle capacity alongside any mechanical correction, since co-contraction and weakness both raise load.</t>
        </is>
      </c>
      <c r="E9" s="4" t="inlineStr"/>
      <c r="F9" s="4" t="inlineStr"/>
      <c r="G9" s="4" t="inlineStr"/>
    </row>
    <row r="10">
      <c r="A10" s="4" t="inlineStr">
        <is>
          <t>3.4.1-P8</t>
        </is>
      </c>
      <c r="B10" s="4" t="inlineStr">
        <is>
          <t>3.4.1</t>
        </is>
      </c>
      <c r="C10" s="4" t="inlineStr">
        <is>
          <t>frcs</t>
        </is>
      </c>
      <c r="D10" s="4" t="inlineStr">
        <is>
          <t>Read a modelled muscle force with the model's assumptions in mind rather than as a measurement.</t>
        </is>
      </c>
      <c r="E10" s="4" t="inlineStr"/>
      <c r="F10" s="4" t="inlineStr"/>
      <c r="G10" s="4" t="inlineStr"/>
    </row>
    <row r="11">
      <c r="A11" s="4" t="inlineStr">
        <is>
          <t>3.4.2-P1</t>
        </is>
      </c>
      <c r="B11" s="4" t="inlineStr">
        <is>
          <t>3.4.2</t>
        </is>
      </c>
      <c r="C11" s="4" t="inlineStr">
        <is>
          <t>mrcs</t>
        </is>
      </c>
      <c r="D11" s="4" t="inlineStr">
        <is>
          <t>Treat the ground reaction force as a vector with a point of application, not as a number.</t>
        </is>
      </c>
      <c r="E11" s="4" t="inlineStr"/>
      <c r="F11" s="4" t="inlineStr"/>
      <c r="G11" s="4" t="inlineStr"/>
    </row>
    <row r="12">
      <c r="A12" s="4" t="inlineStr">
        <is>
          <t>3.4.2-P2</t>
        </is>
      </c>
      <c r="B12" s="4" t="inlineStr">
        <is>
          <t>3.4.2</t>
        </is>
      </c>
      <c r="C12" s="4" t="inlineStr">
        <is>
          <t>mrcs</t>
        </is>
      </c>
      <c r="D12" s="4" t="inlineStr">
        <is>
          <t>Use a walking aid to reduce limb load when the aim is mechanical rather than only balance.</t>
        </is>
      </c>
      <c r="E12" s="4" t="inlineStr"/>
      <c r="F12" s="4" t="inlineStr"/>
      <c r="G12" s="4" t="inlineStr"/>
    </row>
    <row r="13">
      <c r="A13" s="4" t="inlineStr">
        <is>
          <t>3.4.2-P3</t>
        </is>
      </c>
      <c r="B13" s="4" t="inlineStr">
        <is>
          <t>3.4.2</t>
        </is>
      </c>
      <c r="C13" s="4" t="inlineStr">
        <is>
          <t>mrcs</t>
        </is>
      </c>
      <c r="D13" s="4" t="inlineStr">
        <is>
          <t>Consider foot progression angle and stance width, since they change the knee moment without changing the force.</t>
        </is>
      </c>
      <c r="E13" s="4" t="inlineStr"/>
      <c r="F13" s="4" t="inlineStr"/>
      <c r="G13" s="4" t="inlineStr"/>
    </row>
    <row r="14">
      <c r="A14" s="4" t="inlineStr">
        <is>
          <t>3.4.2-P4</t>
        </is>
      </c>
      <c r="B14" s="4" t="inlineStr">
        <is>
          <t>3.4.2</t>
        </is>
      </c>
      <c r="C14" s="4" t="inlineStr">
        <is>
          <t>mrcs</t>
        </is>
      </c>
      <c r="D14" s="4" t="inlineStr">
        <is>
          <t>Read an insole or accelerometer figure as a proxy rather than as a ground reaction force.</t>
        </is>
      </c>
      <c r="E14" s="4" t="inlineStr"/>
      <c r="F14" s="4" t="inlineStr"/>
      <c r="G14" s="4" t="inlineStr"/>
    </row>
    <row r="15">
      <c r="A15" s="4" t="inlineStr">
        <is>
          <t>3.4.2-P5</t>
        </is>
      </c>
      <c r="B15" s="4" t="inlineStr">
        <is>
          <t>3.4.2</t>
        </is>
      </c>
      <c r="C15" s="4" t="inlineStr">
        <is>
          <t>frcs</t>
        </is>
      </c>
      <c r="D15" s="4" t="inlineStr">
        <is>
          <t>Treat the ground reaction force as the input that alignment surgery works on.</t>
        </is>
      </c>
      <c r="E15" s="4" t="inlineStr"/>
      <c r="F15" s="4" t="inlineStr"/>
      <c r="G15" s="4" t="inlineStr"/>
    </row>
    <row r="16">
      <c r="A16" s="4" t="inlineStr">
        <is>
          <t>3.4.2-P6</t>
        </is>
      </c>
      <c r="B16" s="4" t="inlineStr">
        <is>
          <t>3.4.2</t>
        </is>
      </c>
      <c r="C16" s="4" t="inlineStr">
        <is>
          <t>frcs</t>
        </is>
      </c>
      <c r="D16" s="4" t="inlineStr">
        <is>
          <t>Plan an osteotomy by where the force line should fall rather than by a target angle alone.</t>
        </is>
      </c>
      <c r="E16" s="4" t="inlineStr"/>
      <c r="F16" s="4" t="inlineStr"/>
      <c r="G16" s="4" t="inlineStr"/>
    </row>
    <row r="17">
      <c r="A17" s="4" t="inlineStr">
        <is>
          <t>3.4.2-P7</t>
        </is>
      </c>
      <c r="B17" s="4" t="inlineStr">
        <is>
          <t>3.4.2</t>
        </is>
      </c>
      <c r="C17" s="4" t="inlineStr">
        <is>
          <t>frcs</t>
        </is>
      </c>
      <c r="D17" s="4" t="inlineStr">
        <is>
          <t>Expect a lateral wedge or a gait modification to produce a small mechanical change, and describe it as such.</t>
        </is>
      </c>
      <c r="E17" s="4" t="inlineStr"/>
      <c r="F17" s="4" t="inlineStr"/>
      <c r="G17" s="4" t="inlineStr"/>
    </row>
    <row r="18">
      <c r="A18" s="4" t="inlineStr">
        <is>
          <t>3.4.2-P8</t>
        </is>
      </c>
      <c r="B18" s="4" t="inlineStr">
        <is>
          <t>3.4.2</t>
        </is>
      </c>
      <c r="C18" s="4" t="inlineStr">
        <is>
          <t>frcs</t>
        </is>
      </c>
      <c r="D18" s="4" t="inlineStr">
        <is>
          <t>Treat static alignment as a proxy for the dynamic moment, since they correlate imperfectly.</t>
        </is>
      </c>
      <c r="E18" s="4" t="inlineStr"/>
      <c r="F18" s="4" t="inlineStr"/>
      <c r="G18" s="4" t="inlineStr"/>
    </row>
    <row r="19">
      <c r="A19" s="4" t="inlineStr">
        <is>
          <t>3.4.3-P1</t>
        </is>
      </c>
      <c r="B19" s="4" t="inlineStr">
        <is>
          <t>3.4.3</t>
        </is>
      </c>
      <c r="C19" s="4" t="inlineStr">
        <is>
          <t>mrcs</t>
        </is>
      </c>
      <c r="D19" s="4" t="inlineStr">
        <is>
          <t>Expect the medial compartment to carry more load in a normally aligned knee, and much more in a varus one.</t>
        </is>
      </c>
      <c r="E19" s="4" t="inlineStr"/>
      <c r="F19" s="4" t="inlineStr"/>
      <c r="G19" s="4" t="inlineStr"/>
    </row>
    <row r="20">
      <c r="A20" s="4" t="inlineStr">
        <is>
          <t>3.4.3-P2</t>
        </is>
      </c>
      <c r="B20" s="4" t="inlineStr">
        <is>
          <t>3.4.3</t>
        </is>
      </c>
      <c r="C20" s="4" t="inlineStr">
        <is>
          <t>mrcs</t>
        </is>
      </c>
      <c r="D20" s="4" t="inlineStr">
        <is>
          <t>Preserve meniscal tissue to preserve contact area, since the force will not fall.</t>
        </is>
      </c>
      <c r="E20" s="4" t="inlineStr"/>
      <c r="F20" s="4" t="inlineStr"/>
      <c r="G20" s="4" t="inlineStr"/>
    </row>
    <row r="21">
      <c r="A21" s="4" t="inlineStr">
        <is>
          <t>3.4.3-P3</t>
        </is>
      </c>
      <c r="B21" s="4" t="inlineStr">
        <is>
          <t>3.4.3</t>
        </is>
      </c>
      <c r="C21" s="4" t="inlineStr">
        <is>
          <t>frcs</t>
        </is>
      </c>
      <c r="D21" s="4" t="inlineStr">
        <is>
          <t>Treat compartment load division as the quantity unicompartmental and osteotomy surgery manipulate, and treat the published division as a population statement rather than a patient's.</t>
        </is>
      </c>
      <c r="E21" s="4" t="inlineStr"/>
      <c r="F21" s="4" t="inlineStr"/>
      <c r="G21" s="4" t="inlineStr"/>
    </row>
    <row r="22">
      <c r="A22" s="4" t="inlineStr">
        <is>
          <t>3.4.3-P4</t>
        </is>
      </c>
      <c r="B22" s="4" t="inlineStr">
        <is>
          <t>3.4.3</t>
        </is>
      </c>
      <c r="C22" s="4" t="inlineStr">
        <is>
          <t>frcs</t>
        </is>
      </c>
      <c r="D22" s="4" t="inlineStr">
        <is>
          <t>Plan osteotomy correction to a target that avoids lateral overload rather than to the largest achievable correction.</t>
        </is>
      </c>
      <c r="E22" s="4" t="inlineStr"/>
      <c r="F22" s="4" t="inlineStr"/>
      <c r="G22" s="4" t="inlineStr"/>
    </row>
    <row r="23">
      <c r="A23" s="4" t="inlineStr">
        <is>
          <t>3.4.3-P5</t>
        </is>
      </c>
      <c r="B23" s="4" t="inlineStr">
        <is>
          <t>3.4.3</t>
        </is>
      </c>
      <c r="C23" s="4" t="inlineStr">
        <is>
          <t>frcs</t>
        </is>
      </c>
      <c r="D23" s="4" t="inlineStr">
        <is>
          <t>Read the compartment load division as an average over a cycle, not a constant.</t>
        </is>
      </c>
      <c r="E23" s="4" t="inlineStr"/>
      <c r="F23" s="4" t="inlineStr"/>
      <c r="G23" s="4" t="inlineStr"/>
    </row>
    <row r="24">
      <c r="A24" s="4" t="inlineStr">
        <is>
          <t>3.4.3-P6</t>
        </is>
      </c>
      <c r="B24" s="4" t="inlineStr">
        <is>
          <t>3.4.3</t>
        </is>
      </c>
      <c r="C24" s="4" t="inlineStr">
        <is>
          <t>frcs</t>
        </is>
      </c>
      <c r="D24" s="4" t="inlineStr">
        <is>
          <t>Treat intraoperative balance measurement as informative about an anaesthetised knee.</t>
        </is>
      </c>
      <c r="E24" s="4" t="inlineStr"/>
      <c r="F24" s="4" t="inlineStr"/>
      <c r="G24" s="4" t="inlineStr"/>
    </row>
    <row r="25">
      <c r="A25" s="4" t="inlineStr">
        <is>
          <t>3.4.3-P7</t>
        </is>
      </c>
      <c r="B25" s="4" t="inlineStr">
        <is>
          <t>3.4.3</t>
        </is>
      </c>
      <c r="C25" s="4" t="inlineStr">
        <is>
          <t>frcs</t>
        </is>
      </c>
      <c r="D25" s="4" t="inlineStr">
        <is>
          <t>Expect activity and mass to multiply the loading cycles a construct must survive.</t>
        </is>
      </c>
      <c r="E25" s="4" t="inlineStr"/>
      <c r="F25" s="4" t="inlineStr"/>
      <c r="G25" s="4" t="inlineStr"/>
    </row>
    <row r="26">
      <c r="A26" s="4" t="inlineStr">
        <is>
          <t>3.4.4-P1</t>
        </is>
      </c>
      <c r="B26" s="4" t="inlineStr">
        <is>
          <t>3.4.4</t>
        </is>
      </c>
      <c r="C26" s="4" t="inlineStr">
        <is>
          <t>mrcs</t>
        </is>
      </c>
      <c r="D26" s="4" t="inlineStr">
        <is>
          <t>Expect extension weakness after patellectomy to be mechanical and permanent rather than a rehabilitation failure.</t>
        </is>
      </c>
      <c r="E26" s="4" t="inlineStr"/>
      <c r="F26" s="4" t="inlineStr"/>
      <c r="G26" s="4" t="inlineStr"/>
    </row>
    <row r="27">
      <c r="A27" s="4" t="inlineStr">
        <is>
          <t>3.4.4-P2</t>
        </is>
      </c>
      <c r="B27" s="4" t="inlineStr">
        <is>
          <t>3.4.4</t>
        </is>
      </c>
      <c r="C27" s="4" t="inlineStr">
        <is>
          <t>mrcs</t>
        </is>
      </c>
      <c r="D27" s="4" t="inlineStr">
        <is>
          <t>Treat tubercle transfer as a load changing operation and plan it as such.</t>
        </is>
      </c>
      <c r="E27" s="4" t="inlineStr"/>
      <c r="F27" s="4" t="inlineStr"/>
      <c r="G27" s="4" t="inlineStr"/>
    </row>
    <row r="28">
      <c r="A28" s="4" t="inlineStr">
        <is>
          <t>3.4.4-P3</t>
        </is>
      </c>
      <c r="B28" s="4" t="inlineStr">
        <is>
          <t>3.4.4</t>
        </is>
      </c>
      <c r="C28" s="4" t="inlineStr">
        <is>
          <t>mrcs</t>
        </is>
      </c>
      <c r="D28" s="4" t="inlineStr">
        <is>
          <t>Read the shape of a moment arm curve rather than a single published value.</t>
        </is>
      </c>
      <c r="E28" s="4" t="inlineStr"/>
      <c r="F28" s="4" t="inlineStr"/>
      <c r="G28" s="4" t="inlineStr"/>
    </row>
    <row r="29">
      <c r="A29" s="4" t="inlineStr">
        <is>
          <t>3.4.4-P4</t>
        </is>
      </c>
      <c r="B29" s="4" t="inlineStr">
        <is>
          <t>3.4.4</t>
        </is>
      </c>
      <c r="C29" s="4" t="inlineStr">
        <is>
          <t>frcs</t>
        </is>
      </c>
      <c r="D29" s="4" t="inlineStr">
        <is>
          <t>Treat the extensor lever arm as a surgical variable in every operation that touches the extensor mechanism, the joint line or the tubercle.</t>
        </is>
      </c>
      <c r="E29" s="4" t="inlineStr"/>
      <c r="F29" s="4" t="inlineStr"/>
      <c r="G29" s="4" t="inlineStr"/>
    </row>
    <row r="30">
      <c r="A30" s="4" t="inlineStr">
        <is>
          <t>3.4.4-P5</t>
        </is>
      </c>
      <c r="B30" s="4" t="inlineStr">
        <is>
          <t>3.4.4</t>
        </is>
      </c>
      <c r="C30" s="4" t="inlineStr">
        <is>
          <t>frcs</t>
        </is>
      </c>
      <c r="D30" s="4" t="inlineStr">
        <is>
          <t>Restore the joint line in arthroplasty, since raising it shortens the extensor arm and raises patellofemoral load.</t>
        </is>
      </c>
      <c r="E30" s="4" t="inlineStr"/>
      <c r="F30" s="4" t="inlineStr"/>
      <c r="G30" s="4" t="inlineStr"/>
    </row>
    <row r="31">
      <c r="A31" s="4" t="inlineStr">
        <is>
          <t>3.4.4-P6</t>
        </is>
      </c>
      <c r="B31" s="4" t="inlineStr">
        <is>
          <t>3.4.4</t>
        </is>
      </c>
      <c r="C31" s="4" t="inlineStr">
        <is>
          <t>frcs</t>
        </is>
      </c>
      <c r="D31" s="4" t="inlineStr">
        <is>
          <t>Measure patellar height before and after any procedure that alters the extensor mechanism.</t>
        </is>
      </c>
      <c r="E31" s="4" t="inlineStr"/>
      <c r="F31" s="4" t="inlineStr"/>
      <c r="G31" s="4" t="inlineStr"/>
    </row>
    <row r="32">
      <c r="A32" s="4" t="inlineStr">
        <is>
          <t>3.4.4-P7</t>
        </is>
      </c>
      <c r="B32" s="4" t="inlineStr">
        <is>
          <t>3.4.4</t>
        </is>
      </c>
      <c r="C32" s="4" t="inlineStr">
        <is>
          <t>frcs</t>
        </is>
      </c>
      <c r="D32" s="4" t="inlineStr">
        <is>
          <t>Plan tubercle transfer by the load change intended rather than by tracking alone.</t>
        </is>
      </c>
      <c r="E32" s="4" t="inlineStr"/>
      <c r="F32" s="4" t="inlineStr"/>
      <c r="G32" s="4" t="inlineStr"/>
    </row>
    <row r="33">
      <c r="A33" s="4" t="inlineStr">
        <is>
          <t>3.4.4-P8</t>
        </is>
      </c>
      <c r="B33" s="4" t="inlineStr">
        <is>
          <t>3.4.4</t>
        </is>
      </c>
      <c r="C33" s="4" t="inlineStr">
        <is>
          <t>frcs</t>
        </is>
      </c>
      <c r="D33" s="4" t="inlineStr">
        <is>
          <t>- Patellar height should be measured before and after extensor mechanism surgery.</t>
        </is>
      </c>
      <c r="E33" s="4" t="inlineStr"/>
      <c r="F33" s="4" t="inlineStr"/>
      <c r="G33" s="4" t="inlineStr"/>
    </row>
    <row r="34">
      <c r="A34" s="4" t="inlineStr">
        <is>
          <t>3.4.5-P1</t>
        </is>
      </c>
      <c r="B34" s="4" t="inlineStr">
        <is>
          <t>3.4.5</t>
        </is>
      </c>
      <c r="C34" s="4" t="inlineStr">
        <is>
          <t>mrcs</t>
        </is>
      </c>
      <c r="D34" s="4" t="inlineStr">
        <is>
          <t>Keep the external and the internal moment distinct.</t>
        </is>
      </c>
      <c r="E34" s="4" t="inlineStr"/>
      <c r="F34" s="4" t="inlineStr"/>
      <c r="G34" s="4" t="inlineStr"/>
    </row>
    <row r="35">
      <c r="A35" s="4" t="inlineStr">
        <is>
          <t>3.4.5-P2</t>
        </is>
      </c>
      <c r="B35" s="4" t="inlineStr">
        <is>
          <t>3.4.5</t>
        </is>
      </c>
      <c r="C35" s="4" t="inlineStr">
        <is>
          <t>mrcs</t>
        </is>
      </c>
      <c r="D35" s="4" t="inlineStr">
        <is>
          <t>Read a quoted moment as external unless the paper says otherwise, since that is the convention.</t>
        </is>
      </c>
      <c r="E35" s="4" t="inlineStr"/>
      <c r="F35" s="4" t="inlineStr"/>
      <c r="G35" s="4" t="inlineStr"/>
    </row>
    <row r="36">
      <c r="A36" s="4" t="inlineStr">
        <is>
          <t>3.4.5-P3</t>
        </is>
      </c>
      <c r="B36" s="4" t="inlineStr">
        <is>
          <t>3.4.5</t>
        </is>
      </c>
      <c r="C36" s="4" t="inlineStr">
        <is>
          <t>mrcs</t>
        </is>
      </c>
      <c r="D36" s="4" t="inlineStr">
        <is>
          <t>Treat a net internal moment as unable to separate co-contraction from a single strong agonist.</t>
        </is>
      </c>
      <c r="E36" s="4" t="inlineStr"/>
      <c r="F36" s="4" t="inlineStr"/>
      <c r="G36" s="4" t="inlineStr"/>
    </row>
    <row r="37">
      <c r="A37" s="4" t="inlineStr">
        <is>
          <t>3.4.5-P4</t>
        </is>
      </c>
      <c r="B37" s="4" t="inlineStr">
        <is>
          <t>3.4.5</t>
        </is>
      </c>
      <c r="C37" s="4" t="inlineStr">
        <is>
          <t>mrcs</t>
        </is>
      </c>
      <c r="D37" s="4" t="inlineStr">
        <is>
          <t>Expect normalised figures to hide absolute load, which matters in a heavy patient.</t>
        </is>
      </c>
      <c r="E37" s="4" t="inlineStr"/>
      <c r="F37" s="4" t="inlineStr"/>
      <c r="G37" s="4" t="inlineStr"/>
    </row>
    <row r="38">
      <c r="A38" s="4" t="inlineStr">
        <is>
          <t>3.4.5-P5</t>
        </is>
      </c>
      <c r="B38" s="4" t="inlineStr">
        <is>
          <t>3.4.5</t>
        </is>
      </c>
      <c r="C38" s="4" t="inlineStr">
        <is>
          <t>mrcs</t>
        </is>
      </c>
      <c r="D38" s="4" t="inlineStr">
        <is>
          <t>Use the moment against angle curve rather than a peak value when comparing activities.</t>
        </is>
      </c>
      <c r="E38" s="4" t="inlineStr"/>
      <c r="F38" s="4" t="inlineStr"/>
      <c r="G38" s="4" t="inlineStr"/>
    </row>
    <row r="39">
      <c r="A39" s="4" t="inlineStr">
        <is>
          <t>3.4.5-P6</t>
        </is>
      </c>
      <c r="B39" s="4" t="inlineStr">
        <is>
          <t>3.4.5</t>
        </is>
      </c>
      <c r="C39" s="4" t="inlineStr">
        <is>
          <t>frcs</t>
        </is>
      </c>
      <c r="D39" s="4" t="inlineStr">
        <is>
          <t>Treat the knee adduction moment as the kinetic variable with the clearest clinical application, since it is associated with progression and is modifiable by three different routes: osteotomy, gait modification and bracing.</t>
        </is>
      </c>
      <c r="E39" s="4" t="inlineStr"/>
      <c r="F39" s="4" t="inlineStr"/>
      <c r="G39" s="4" t="inlineStr"/>
    </row>
    <row r="40">
      <c r="A40" s="4" t="inlineStr">
        <is>
          <t>3.4.5-P7</t>
        </is>
      </c>
      <c r="B40" s="4" t="inlineStr">
        <is>
          <t>3.4.5</t>
        </is>
      </c>
      <c r="C40" s="4" t="inlineStr">
        <is>
          <t>frcs</t>
        </is>
      </c>
      <c r="D40" s="4" t="inlineStr">
        <is>
          <t>No agreed moment threshold defines who should be offered an osteotomy, so the decision remains clinical.</t>
        </is>
      </c>
      <c r="E40" s="4" t="inlineStr"/>
      <c r="F40" s="4" t="inlineStr"/>
      <c r="G40" s="4" t="inlineStr"/>
    </row>
    <row r="41">
      <c r="A41" s="4" t="inlineStr">
        <is>
          <t>3.4.5-P8</t>
        </is>
      </c>
      <c r="B41" s="4" t="inlineStr">
        <is>
          <t>3.4.5</t>
        </is>
      </c>
      <c r="C41" s="4" t="inlineStr">
        <is>
          <t>frcs</t>
        </is>
      </c>
      <c r="D41" s="4" t="inlineStr">
        <is>
          <t>Compare unlike treatments by the moment change each produces.</t>
        </is>
      </c>
      <c r="E41" s="4" t="inlineStr"/>
      <c r="F41" s="4" t="inlineStr"/>
      <c r="G41" s="4" t="inlineStr"/>
    </row>
    <row r="42">
      <c r="A42" s="4" t="inlineStr">
        <is>
          <t>3.4.5-P9</t>
        </is>
      </c>
      <c r="B42" s="4" t="inlineStr">
        <is>
          <t>3.4.5</t>
        </is>
      </c>
      <c r="C42" s="4" t="inlineStr">
        <is>
          <t>frcs</t>
        </is>
      </c>
      <c r="D42" s="4" t="inlineStr">
        <is>
          <t>Plan osteotomy to a target that changes the moment rather than to an angle alone.</t>
        </is>
      </c>
      <c r="E42" s="4" t="inlineStr"/>
      <c r="F42" s="4" t="inlineStr"/>
      <c r="G42" s="4" t="inlineStr"/>
    </row>
    <row r="43">
      <c r="A43" s="4" t="inlineStr">
        <is>
          <t>3.4.5-P10</t>
        </is>
      </c>
      <c r="B43" s="4" t="inlineStr">
        <is>
          <t>3.4.5</t>
        </is>
      </c>
      <c r="C43" s="4" t="inlineStr">
        <is>
          <t>frcs</t>
        </is>
      </c>
      <c r="D43" s="4" t="inlineStr">
        <is>
          <t>Address body mass alongside any mechanical correction, since it scales every moment.</t>
        </is>
      </c>
      <c r="E43" s="4" t="inlineStr"/>
      <c r="F43" s="4" t="inlineStr"/>
      <c r="G43" s="4" t="inlineStr"/>
    </row>
    <row r="44">
      <c r="A44" s="4" t="inlineStr">
        <is>
          <t>3.4.5-P11</t>
        </is>
      </c>
      <c r="B44" s="4" t="inlineStr">
        <is>
          <t>3.4.5</t>
        </is>
      </c>
      <c r="C44" s="4" t="inlineStr">
        <is>
          <t>frcs</t>
        </is>
      </c>
      <c r="D44" s="4" t="inlineStr">
        <is>
          <t>State that no moment threshold defines the indication, and decide clinically.</t>
        </is>
      </c>
      <c r="E44" s="4" t="inlineStr"/>
      <c r="F44" s="4" t="inlineStr"/>
      <c r="G44" s="4" t="inlineStr"/>
    </row>
    <row r="45">
      <c r="A45" s="4" t="inlineStr">
        <is>
          <t>3.4.6-P1</t>
        </is>
      </c>
      <c r="B45" s="4" t="inlineStr">
        <is>
          <t>3.4.6</t>
        </is>
      </c>
      <c r="C45" s="4" t="inlineStr">
        <is>
          <t>mrcs</t>
        </is>
      </c>
      <c r="D45" s="4" t="inlineStr">
        <is>
          <t>Measure alignment when the adduction moment is the clinical question, since it is the available proxy.</t>
        </is>
      </c>
      <c r="E45" s="4" t="inlineStr"/>
      <c r="F45" s="4" t="inlineStr"/>
      <c r="G45" s="4" t="inlineStr"/>
    </row>
    <row r="46">
      <c r="A46" s="4" t="inlineStr">
        <is>
          <t>3.4.6-P2</t>
        </is>
      </c>
      <c r="B46" s="4" t="inlineStr">
        <is>
          <t>3.4.6</t>
        </is>
      </c>
      <c r="C46" s="4" t="inlineStr">
        <is>
          <t>mrcs</t>
        </is>
      </c>
      <c r="D46" s="4" t="inlineStr">
        <is>
          <t>Offer a cane in the opposite hand for medial compartment pain, on mechanical grounds.</t>
        </is>
      </c>
      <c r="E46" s="4" t="inlineStr"/>
      <c r="F46" s="4" t="inlineStr"/>
      <c r="G46" s="4" t="inlineStr"/>
    </row>
    <row r="47">
      <c r="A47" s="4" t="inlineStr">
        <is>
          <t>3.4.6-P3</t>
        </is>
      </c>
      <c r="B47" s="4" t="inlineStr">
        <is>
          <t>3.4.6</t>
        </is>
      </c>
      <c r="C47" s="4" t="inlineStr">
        <is>
          <t>mrcs</t>
        </is>
      </c>
      <c r="D47" s="4" t="inlineStr">
        <is>
          <t>Prefer impulse over peak when the question is cumulative exposure rather than a single step.</t>
        </is>
      </c>
      <c r="E47" s="4" t="inlineStr"/>
      <c r="F47" s="4" t="inlineStr"/>
      <c r="G47" s="4" t="inlineStr"/>
    </row>
    <row r="48">
      <c r="A48" s="4" t="inlineStr">
        <is>
          <t>3.4.6-P4</t>
        </is>
      </c>
      <c r="B48" s="4" t="inlineStr">
        <is>
          <t>3.4.6</t>
        </is>
      </c>
      <c r="C48" s="4" t="inlineStr">
        <is>
          <t>frcs</t>
        </is>
      </c>
      <c r="D48" s="4" t="inlineStr">
        <is>
          <t>Treat the adduction moment as the target of every mechanical treatment for medial compartment disease, and treat alignment as the lever that moves it furthest.</t>
        </is>
      </c>
      <c r="E48" s="4" t="inlineStr"/>
      <c r="F48" s="4" t="inlineStr"/>
      <c r="G48" s="4" t="inlineStr"/>
    </row>
    <row r="49">
      <c r="A49" s="4" t="inlineStr">
        <is>
          <t>3.4.6-P5</t>
        </is>
      </c>
      <c r="B49" s="4" t="inlineStr">
        <is>
          <t>3.4.6</t>
        </is>
      </c>
      <c r="C49" s="4" t="inlineStr">
        <is>
          <t>frcs</t>
        </is>
      </c>
      <c r="D49" s="4" t="inlineStr">
        <is>
          <t>Address body mass alongside correction, since it can exceed the surgical effect.</t>
        </is>
      </c>
      <c r="E49" s="4" t="inlineStr"/>
      <c r="F49" s="4" t="inlineStr"/>
      <c r="G49" s="4" t="inlineStr"/>
    </row>
    <row r="50">
      <c r="A50" s="4" t="inlineStr">
        <is>
          <t>3.4.6-P6</t>
        </is>
      </c>
      <c r="B50" s="4" t="inlineStr">
        <is>
          <t>3.4.6</t>
        </is>
      </c>
      <c r="C50" s="4" t="inlineStr">
        <is>
          <t>frcs</t>
        </is>
      </c>
      <c r="D50" s="4" t="inlineStr">
        <is>
          <t>State the observational nature of the progression association when counselling.</t>
        </is>
      </c>
      <c r="E50" s="4" t="inlineStr"/>
      <c r="F50" s="4" t="inlineStr"/>
      <c r="G50" s="4" t="inlineStr"/>
    </row>
    <row r="51">
      <c r="A51" s="4" t="inlineStr">
        <is>
          <t>3.4.6-P7</t>
        </is>
      </c>
      <c r="B51" s="4" t="inlineStr">
        <is>
          <t>3.4.6</t>
        </is>
      </c>
      <c r="C51" s="4" t="inlineStr">
        <is>
          <t>frcs</t>
        </is>
      </c>
      <c r="D51" s="4" t="inlineStr">
        <is>
          <t>Plan correction to a mechanical axis target and confirm it radiographically.</t>
        </is>
      </c>
      <c r="E51" s="4" t="inlineStr"/>
      <c r="F51" s="4" t="inlineStr"/>
      <c r="G51" s="4" t="inlineStr"/>
    </row>
    <row r="52">
      <c r="A52" s="4" t="inlineStr">
        <is>
          <t>3.4.7-P1</t>
        </is>
      </c>
      <c r="B52" s="4" t="inlineStr">
        <is>
          <t>3.4.7</t>
        </is>
      </c>
      <c r="C52" s="4" t="inlineStr">
        <is>
          <t>mrcs</t>
        </is>
      </c>
      <c r="D52" s="4" t="inlineStr">
        <is>
          <t>Measure strength through range rather than at one angle, since both the arm and the muscle change.</t>
        </is>
      </c>
      <c r="E52" s="4" t="inlineStr"/>
      <c r="F52" s="4" t="inlineStr"/>
      <c r="G52" s="4" t="inlineStr"/>
    </row>
    <row r="53">
      <c r="A53" s="4" t="inlineStr">
        <is>
          <t>3.4.7-P2</t>
        </is>
      </c>
      <c r="B53" s="4" t="inlineStr">
        <is>
          <t>3.4.7</t>
        </is>
      </c>
      <c r="C53" s="4" t="inlineStr">
        <is>
          <t>mrcs</t>
        </is>
      </c>
      <c r="D53" s="4" t="inlineStr">
        <is>
          <t>Treat effusion as a cause of reduced internal moment before concluding muscle failure.</t>
        </is>
      </c>
      <c r="E53" s="4" t="inlineStr"/>
      <c r="F53" s="4" t="inlineStr"/>
      <c r="G53" s="4" t="inlineStr"/>
    </row>
    <row r="54">
      <c r="A54" s="4" t="inlineStr">
        <is>
          <t>3.4.7-P3</t>
        </is>
      </c>
      <c r="B54" s="4" t="inlineStr">
        <is>
          <t>3.4.7</t>
        </is>
      </c>
      <c r="C54" s="4" t="inlineStr">
        <is>
          <t>mrcs</t>
        </is>
      </c>
      <c r="D54" s="4" t="inlineStr">
        <is>
          <t>Expect co-contraction to raise joint load in painful and unstable knees, and read modelled loads accordingly.</t>
        </is>
      </c>
      <c r="E54" s="4" t="inlineStr"/>
      <c r="F54" s="4" t="inlineStr"/>
      <c r="G54" s="4" t="inlineStr"/>
    </row>
    <row r="55">
      <c r="A55" s="4" t="inlineStr">
        <is>
          <t>3.4.7-P4</t>
        </is>
      </c>
      <c r="B55" s="4" t="inlineStr">
        <is>
          <t>3.4.7</t>
        </is>
      </c>
      <c r="C55" s="4" t="inlineStr">
        <is>
          <t>frcs</t>
        </is>
      </c>
      <c r="D55" s="4" t="inlineStr">
        <is>
          <t>Treat the internal moment as the half of the equation surgery usually cannot fix.</t>
        </is>
      </c>
      <c r="E55" s="4" t="inlineStr"/>
      <c r="F55" s="4" t="inlineStr"/>
      <c r="G55" s="4" t="inlineStr"/>
    </row>
    <row r="56">
      <c r="A56" s="4" t="inlineStr">
        <is>
          <t>3.4.7-P5</t>
        </is>
      </c>
      <c r="B56" s="4" t="inlineStr">
        <is>
          <t>3.4.7</t>
        </is>
      </c>
      <c r="C56" s="4" t="inlineStr">
        <is>
          <t>frcs</t>
        </is>
      </c>
      <c r="D56" s="4" t="inlineStr">
        <is>
          <t>Expect a hamstring graft to remove part of the internal flexion moment, and account for it in rehabilitation.</t>
        </is>
      </c>
      <c r="E56" s="4" t="inlineStr"/>
      <c r="F56" s="4" t="inlineStr"/>
      <c r="G56" s="4" t="inlineStr"/>
    </row>
    <row r="57">
      <c r="A57" s="4" t="inlineStr">
        <is>
          <t>3.4.7-P6</t>
        </is>
      </c>
      <c r="B57" s="4" t="inlineStr">
        <is>
          <t>3.4.7</t>
        </is>
      </c>
      <c r="C57" s="4" t="inlineStr">
        <is>
          <t>frcs</t>
        </is>
      </c>
      <c r="D57" s="4" t="inlineStr">
        <is>
          <t>Treat a quadriceps deficit as a mechanical problem rather than a motivational one.</t>
        </is>
      </c>
      <c r="E57" s="4" t="inlineStr"/>
      <c r="F57" s="4" t="inlineStr"/>
      <c r="G57" s="4" t="inlineStr"/>
    </row>
    <row r="58">
      <c r="A58" s="4" t="inlineStr">
        <is>
          <t>3.4.8-P1</t>
        </is>
      </c>
      <c r="B58" s="4" t="inlineStr">
        <is>
          <t>3.4.8</t>
        </is>
      </c>
      <c r="C58" s="4" t="inlineStr">
        <is>
          <t>mrcs</t>
        </is>
      </c>
      <c r="D58" s="4" t="inlineStr">
        <is>
          <t>Read a reduced knee contribution in a power curve as a strategy change rather than necessarily as weakness.</t>
        </is>
      </c>
      <c r="E58" s="4" t="inlineStr"/>
      <c r="F58" s="4" t="inlineStr"/>
      <c r="G58" s="4" t="inlineStr"/>
    </row>
    <row r="59">
      <c r="A59" s="4" t="inlineStr">
        <is>
          <t>3.4.8-P2</t>
        </is>
      </c>
      <c r="B59" s="4" t="inlineStr">
        <is>
          <t>3.4.8</t>
        </is>
      </c>
      <c r="C59" s="4" t="inlineStr">
        <is>
          <t>mrcs</t>
        </is>
      </c>
      <c r="D59" s="4" t="inlineStr">
        <is>
          <t>Use loading rate as the practical measure of whether a landing is being absorbed.</t>
        </is>
      </c>
      <c r="E59" s="4" t="inlineStr"/>
      <c r="F59" s="4" t="inlineStr"/>
      <c r="G59" s="4" t="inlineStr"/>
    </row>
    <row r="60">
      <c r="A60" s="4" t="inlineStr">
        <is>
          <t>3.4.8-P3</t>
        </is>
      </c>
      <c r="B60" s="4" t="inlineStr">
        <is>
          <t>3.4.8</t>
        </is>
      </c>
      <c r="C60" s="4" t="inlineStr">
        <is>
          <t>mrcs</t>
        </is>
      </c>
      <c r="D60" s="4" t="inlineStr">
        <is>
          <t>Expect absorption and joint force to rise together, so a well absorbed landing is not an unloaded one.</t>
        </is>
      </c>
      <c r="E60" s="4" t="inlineStr"/>
      <c r="F60" s="4" t="inlineStr"/>
      <c r="G60" s="4" t="inlineStr"/>
    </row>
    <row r="61">
      <c r="A61" s="4" t="inlineStr">
        <is>
          <t>3.4.8-P4</t>
        </is>
      </c>
      <c r="B61" s="4" t="inlineStr">
        <is>
          <t>3.4.8</t>
        </is>
      </c>
      <c r="C61" s="4" t="inlineStr">
        <is>
          <t>frcs</t>
        </is>
      </c>
      <c r="D61" s="4" t="inlineStr">
        <is>
          <t>Treat eccentric capacity as a return to activity criterion rather than a rehabilitation stage.</t>
        </is>
      </c>
      <c r="E61" s="4" t="inlineStr"/>
      <c r="F61" s="4" t="inlineStr"/>
      <c r="G61" s="4" t="inlineStr"/>
    </row>
    <row r="62">
      <c r="A62" s="4" t="inlineStr">
        <is>
          <t>3.4.8-P5</t>
        </is>
      </c>
      <c r="B62" s="4" t="inlineStr">
        <is>
          <t>3.4.8</t>
        </is>
      </c>
      <c r="C62" s="4" t="inlineStr">
        <is>
          <t>frcs</t>
        </is>
      </c>
      <c r="D62" s="4" t="inlineStr">
        <is>
          <t>Expect asymmetry to persist behind a normal examination after reconstruction.</t>
        </is>
      </c>
      <c r="E62" s="4" t="inlineStr"/>
      <c r="F62" s="4" t="inlineStr"/>
      <c r="G62" s="4" t="inlineStr"/>
    </row>
    <row r="63">
      <c r="A63" s="4" t="inlineStr">
        <is>
          <t>3.4.8-P6</t>
        </is>
      </c>
      <c r="B63" s="4" t="inlineStr">
        <is>
          <t>3.4.8</t>
        </is>
      </c>
      <c r="C63" s="4" t="inlineStr">
        <is>
          <t>frcs</t>
        </is>
      </c>
      <c r="D63" s="4" t="inlineStr">
        <is>
          <t>Prefer graded exposure to avoidance, since cumulative cycles rather than peaks drive the cartilage consequence.</t>
        </is>
      </c>
      <c r="E63" s="4" t="inlineStr"/>
      <c r="F63" s="4" t="inlineStr"/>
      <c r="G63" s="4" t="inlineStr"/>
    </row>
    <row r="64">
      <c r="A64" s="4" t="inlineStr">
        <is>
          <t>3.4.8-P7</t>
        </is>
      </c>
      <c r="B64" s="4" t="inlineStr">
        <is>
          <t>3.4.8</t>
        </is>
      </c>
      <c r="C64" s="4" t="inlineStr">
        <is>
          <t>frcs</t>
        </is>
      </c>
      <c r="D64" s="4" t="inlineStr">
        <is>
          <t>State the uncertainty about individual tolerance rather than offering a figure.</t>
        </is>
      </c>
      <c r="E64" s="4" t="inlineStr"/>
      <c r="F64" s="4" t="inlineStr"/>
      <c r="G64" s="4" t="inlineStr"/>
    </row>
    <row r="65">
      <c r="A65" s="4" t="inlineStr">
        <is>
          <t>3.4.9-P1</t>
        </is>
      </c>
      <c r="B65" s="4" t="inlineStr">
        <is>
          <t>3.4.9</t>
        </is>
      </c>
      <c r="C65" s="4" t="inlineStr">
        <is>
          <t>mrcs</t>
        </is>
      </c>
      <c r="D65" s="4" t="inlineStr">
        <is>
          <t>Preserve meniscal tissue and repair roots where feasible, on load path grounds.</t>
        </is>
      </c>
      <c r="E65" s="4" t="inlineStr"/>
      <c r="F65" s="4" t="inlineStr"/>
      <c r="G65" s="4" t="inlineStr"/>
    </row>
    <row r="66">
      <c r="A66" s="4" t="inlineStr">
        <is>
          <t>3.4.9-P2</t>
        </is>
      </c>
      <c r="B66" s="4" t="inlineStr">
        <is>
          <t>3.4.9</t>
        </is>
      </c>
      <c r="C66" s="4" t="inlineStr">
        <is>
          <t>mrcs</t>
        </is>
      </c>
      <c r="D66" s="4" t="inlineStr">
        <is>
          <t>Read extrusion as a functional loss rather than an incidental measurement.</t>
        </is>
      </c>
      <c r="E66" s="4" t="inlineStr"/>
      <c r="F66" s="4" t="inlineStr"/>
      <c r="G66" s="4" t="inlineStr"/>
    </row>
    <row r="67">
      <c r="A67" s="4" t="inlineStr">
        <is>
          <t>3.4.9-P3</t>
        </is>
      </c>
      <c r="B67" s="4" t="inlineStr">
        <is>
          <t>3.4.9</t>
        </is>
      </c>
      <c r="C67" s="4" t="inlineStr">
        <is>
          <t>mrcs</t>
        </is>
      </c>
      <c r="D67" s="4" t="inlineStr">
        <is>
          <t>Expect subchondral change to mark where load concentrated, and look for the cause.</t>
        </is>
      </c>
      <c r="E67" s="4" t="inlineStr"/>
      <c r="F67" s="4" t="inlineStr"/>
      <c r="G67" s="4" t="inlineStr"/>
    </row>
    <row r="68">
      <c r="A68" s="4" t="inlineStr">
        <is>
          <t>3.4.9-P4</t>
        </is>
      </c>
      <c r="B68" s="4" t="inlineStr">
        <is>
          <t>3.4.9</t>
        </is>
      </c>
      <c r="C68" s="4" t="inlineStr">
        <is>
          <t>mrcs</t>
        </is>
      </c>
      <c r="D68" s="4" t="inlineStr">
        <is>
          <t>Address alignment before or with any procedure intended to protect a compartment.</t>
        </is>
      </c>
      <c r="E68" s="4" t="inlineStr"/>
      <c r="F68" s="4" t="inlineStr"/>
      <c r="G68" s="4" t="inlineStr"/>
    </row>
    <row r="69">
      <c r="A69" s="4" t="inlineStr">
        <is>
          <t>3.4.9-P5</t>
        </is>
      </c>
      <c r="B69" s="4" t="inlineStr">
        <is>
          <t>3.4.9</t>
        </is>
      </c>
      <c r="C69" s="4" t="inlineStr">
        <is>
          <t>frcs</t>
        </is>
      </c>
      <c r="D69" s="4" t="inlineStr">
        <is>
          <t>Treat every reconstructive decision as a load path decision.</t>
        </is>
      </c>
      <c r="E69" s="4" t="inlineStr"/>
      <c r="F69" s="4" t="inlineStr"/>
      <c r="G69" s="4" t="inlineStr"/>
    </row>
    <row r="70">
      <c r="A70" s="4" t="inlineStr">
        <is>
          <t>3.4.9-P6</t>
        </is>
      </c>
      <c r="B70" s="4" t="inlineStr">
        <is>
          <t>3.4.9</t>
        </is>
      </c>
      <c r="C70" s="4" t="inlineStr">
        <is>
          <t>frcs</t>
        </is>
      </c>
      <c r="D70" s="4" t="inlineStr">
        <is>
          <t>Correct alignment before or with a cartilage or meniscal procedure.</t>
        </is>
      </c>
      <c r="E70" s="4" t="inlineStr"/>
      <c r="F70" s="4" t="inlineStr"/>
      <c r="G70" s="4" t="inlineStr"/>
    </row>
    <row r="71">
      <c r="A71" s="4" t="inlineStr">
        <is>
          <t>3.4.9-P7</t>
        </is>
      </c>
      <c r="B71" s="4" t="inlineStr">
        <is>
          <t>3.4.9</t>
        </is>
      </c>
      <c r="C71" s="4" t="inlineStr">
        <is>
          <t>frcs</t>
        </is>
      </c>
      <c r="D71" s="4" t="inlineStr">
        <is>
          <t>Plan reconstruction as a combination when the path has more than one failed part.</t>
        </is>
      </c>
      <c r="E71" s="4" t="inlineStr"/>
      <c r="F71" s="4" t="inlineStr"/>
      <c r="G71" s="4" t="inlineStr"/>
    </row>
    <row r="72">
      <c r="A72" s="4" t="inlineStr">
        <is>
          <t>3.4.9-P8</t>
        </is>
      </c>
      <c r="B72" s="4" t="inlineStr">
        <is>
          <t>3.4.9</t>
        </is>
      </c>
      <c r="C72" s="4" t="inlineStr">
        <is>
          <t>frcs</t>
        </is>
      </c>
      <c r="D72" s="4" t="inlineStr">
        <is>
          <t>Consider subchondral bone when a surface procedure has failed without a technical cause.</t>
        </is>
      </c>
      <c r="E72" s="4" t="inlineStr"/>
      <c r="F72" s="4" t="inlineStr"/>
      <c r="G72" s="4" t="inlineStr"/>
    </row>
    <row r="73">
      <c r="A73" s="4" t="inlineStr">
        <is>
          <t>3.4.10-P1</t>
        </is>
      </c>
      <c r="B73" s="4" t="inlineStr">
        <is>
          <t>3.4.10</t>
        </is>
      </c>
      <c r="C73" s="4" t="inlineStr">
        <is>
          <t>mrcs</t>
        </is>
      </c>
      <c r="D73" s="4" t="inlineStr">
        <is>
          <t>Expect a meniscectomised knee to absorb fast loads less well, and advise on activity accordingly.</t>
        </is>
      </c>
      <c r="E73" s="4" t="inlineStr"/>
      <c r="F73" s="4" t="inlineStr"/>
      <c r="G73" s="4" t="inlineStr"/>
    </row>
    <row r="74">
      <c r="A74" s="4" t="inlineStr">
        <is>
          <t>3.4.10-P2</t>
        </is>
      </c>
      <c r="B74" s="4" t="inlineStr">
        <is>
          <t>3.4.10</t>
        </is>
      </c>
      <c r="C74" s="4" t="inlineStr">
        <is>
          <t>mrcs</t>
        </is>
      </c>
      <c r="D74" s="4" t="inlineStr">
        <is>
          <t>Read subchondral sclerosis as evidence of concentrated load and look for its cause.</t>
        </is>
      </c>
      <c r="E74" s="4" t="inlineStr"/>
      <c r="F74" s="4" t="inlineStr"/>
      <c r="G74" s="4" t="inlineStr"/>
    </row>
    <row r="75">
      <c r="A75" s="4" t="inlineStr">
        <is>
          <t>3.4.10-P3</t>
        </is>
      </c>
      <c r="B75" s="4" t="inlineStr">
        <is>
          <t>3.4.10</t>
        </is>
      </c>
      <c r="C75" s="4" t="inlineStr">
        <is>
          <t>mrcs</t>
        </is>
      </c>
      <c r="D75" s="4" t="inlineStr">
        <is>
          <t>Treat accelerometry as a proxy for loading rate rather than a measurement of it.</t>
        </is>
      </c>
      <c r="E75" s="4" t="inlineStr"/>
      <c r="F75" s="4" t="inlineStr"/>
      <c r="G75" s="4" t="inlineStr"/>
    </row>
    <row r="76">
      <c r="A76" s="4" t="inlineStr">
        <is>
          <t>3.4.10-P4</t>
        </is>
      </c>
      <c r="B76" s="4" t="inlineStr">
        <is>
          <t>3.4.10</t>
        </is>
      </c>
      <c r="C76" s="4" t="inlineStr">
        <is>
          <t>frcs</t>
        </is>
      </c>
      <c r="D76" s="4" t="inlineStr">
        <is>
          <t>Treat shock absorption as the mechanical account of activity advice.</t>
        </is>
      </c>
      <c r="E76" s="4" t="inlineStr"/>
      <c r="F76" s="4" t="inlineStr"/>
      <c r="G76" s="4" t="inlineStr"/>
    </row>
  </sheetData>
  <dataValidations count="1">
    <dataValidation sqref="E3:E76" showDropDown="0" showInputMessage="0" showErrorMessage="0" allowBlank="1" errorTitle="Not an allowed decision" error="Use one of: CONFIRMED, AMENDED, WITHDRAWN, NOT_CLINICAL" type="list">
      <formula1>"CONFIRMED,AMENDED,WITHDRAWN,NOT_CLINICAL"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row r="3">
      <c r="A3" s="4" t="inlineStr">
        <is>
          <t>3.4.3-F1</t>
        </is>
      </c>
      <c r="B3" s="4" t="inlineStr">
        <is>
          <t>3.4.3</t>
        </is>
      </c>
      <c r="C3" s="4" t="inlineStr">
        <is>
          <t>mrcs</t>
        </is>
      </c>
      <c r="D3" s="4" t="inlineStr">
        <is>
          <t>60 per cent</t>
        </is>
      </c>
      <c r="E3" s="4" t="inlineStr">
        <is>
          <t>Tibiofemoral force is divided between the compartments, and conventional teaching gives the medial compartment the larger share in normal alignment, commonly quoted as around 60 per cent.</t>
        </is>
      </c>
      <c r="F3" s="4" t="inlineStr"/>
      <c r="G3" s="4" t="inlineStr"/>
      <c r="H3" s="4" t="inlineStr"/>
    </row>
    <row r="4">
      <c r="A4" s="4" t="inlineStr">
        <is>
          <t>3.4.3-F2</t>
        </is>
      </c>
      <c r="B4" s="4" t="inlineStr">
        <is>
          <t>3.4.3</t>
        </is>
      </c>
      <c r="C4" s="4" t="inlineStr">
        <is>
          <t>frcs</t>
        </is>
      </c>
      <c r="D4" s="4" t="inlineStr">
        <is>
          <t>60</t>
        </is>
      </c>
      <c r="E4" s="4" t="inlineStr">
        <is>
          <t>Instrumented implant work reset several expectations, including that the lateral compartment can unload almost completely in parts of the gait cycle, which means the 60 to 40 division describes an average rather than an instant.</t>
        </is>
      </c>
      <c r="F4" s="4" t="inlineStr"/>
      <c r="G4" s="4" t="inlineStr"/>
      <c r="H4" s="4" t="inlineStr"/>
    </row>
    <row r="5">
      <c r="A5" s="4" t="inlineStr">
        <is>
          <t>3.4.3-F3</t>
        </is>
      </c>
      <c r="B5" s="4" t="inlineStr">
        <is>
          <t>3.4.3</t>
        </is>
      </c>
      <c r="C5" s="4" t="inlineStr">
        <is>
          <t>frcs</t>
        </is>
      </c>
      <c r="D5" s="4" t="inlineStr">
        <is>
          <t>40</t>
        </is>
      </c>
      <c r="E5" s="4" t="inlineStr">
        <is>
          <t>Instrumented implant work reset several expectations, including that the lateral compartment can unload almost completely in parts of the gait cycle, which means the 60 to 40 division describes an average rather than an instant.</t>
        </is>
      </c>
      <c r="F5" s="4" t="inlineStr"/>
      <c r="G5" s="4" t="inlineStr"/>
      <c r="H5" s="4" t="inlineStr"/>
    </row>
    <row r="6">
      <c r="A6" s="4" t="inlineStr">
        <is>
          <t>3.4.4-F1</t>
        </is>
      </c>
      <c r="B6" s="4" t="inlineStr">
        <is>
          <t>3.4.4</t>
        </is>
      </c>
      <c r="C6" s="4" t="inlineStr">
        <is>
          <t>mrcs</t>
        </is>
      </c>
      <c r="D6" s="4" t="inlineStr">
        <is>
          <t>20 and 60 degrees</t>
        </is>
      </c>
      <c r="E6" s="4" t="inlineStr">
        <is>
          <t>The quadriceps effective moment arm rises from extension into mid flexion and falls again in deep flexion, by conventional teaching, with the peak commonly placed somewhere between 20 and 60 degrees.</t>
        </is>
      </c>
      <c r="F6" s="4" t="inlineStr"/>
      <c r="G6" s="4" t="inlineStr"/>
      <c r="H6" s="4" t="inlineStr"/>
    </row>
    <row r="7">
      <c r="A7" s="4" t="inlineStr">
        <is>
          <t>3.4.9-F1</t>
        </is>
      </c>
      <c r="B7" s="4" t="inlineStr">
        <is>
          <t>3.4.9</t>
        </is>
      </c>
      <c r="C7" s="4" t="inlineStr">
        <is>
          <t>medical_student</t>
        </is>
      </c>
      <c r="D7" s="4" t="inlineStr">
        <is>
          <t>60 per cent</t>
        </is>
      </c>
      <c r="E7" s="4" t="inlineStr">
        <is>
          <t>Conventional teaching gives the medial compartment around 60 per cent in a normally aligned knee.</t>
        </is>
      </c>
      <c r="F7" s="4" t="inlineStr"/>
      <c r="G7" s="4" t="inlineStr"/>
      <c r="H7" s="4" t="inlineStr"/>
    </row>
  </sheetData>
  <dataValidations count="1">
    <dataValidation sqref="F3:F7" showDropDown="0" showInputMessage="0" showErrorMessage="0" allowBlank="1" errorTitle="Not an allowed decision" error="Use one of: VERIFIED, CORRECTED, REMOVED" type="list">
      <formula1>"VERIFIED,CORRECTED,REMOVED"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74</f>
        <v/>
      </c>
      <c r="C2" s="3">
        <f>5</f>
        <v/>
      </c>
    </row>
    <row r="3">
      <c r="A3" s="2" t="inlineStr">
        <is>
          <t>Decided</t>
        </is>
      </c>
      <c r="B3" s="3">
        <f>COUNTIF(Recommendations!E3:E76,"&lt;&gt;")</f>
        <v/>
      </c>
      <c r="C3" s="3">
        <f>COUNTIF(Measurements!F3:F7,"&lt;&gt;")</f>
        <v/>
      </c>
    </row>
    <row r="4">
      <c r="A4" s="2" t="inlineStr">
        <is>
          <t>Still blank</t>
        </is>
      </c>
      <c r="B4" s="3">
        <f>B2-B3</f>
        <v/>
      </c>
      <c r="C4" s="3">
        <f>C2-C3</f>
        <v/>
      </c>
    </row>
    <row r="5">
      <c r="A5" s="2" t="inlineStr">
        <is>
          <t>CONFIRMED</t>
        </is>
      </c>
      <c r="B5" s="3">
        <f>COUNTIF(Recommendations!E3:E76,"CONFIRMED")</f>
        <v/>
      </c>
      <c r="C5" s="3" t="inlineStr"/>
    </row>
    <row r="6">
      <c r="A6" s="2" t="inlineStr">
        <is>
          <t>AMENDED</t>
        </is>
      </c>
      <c r="B6" s="3">
        <f>COUNTIF(Recommendations!E3:E76,"AMENDED")</f>
        <v/>
      </c>
      <c r="C6" s="3" t="inlineStr"/>
    </row>
    <row r="7">
      <c r="A7" s="2" t="inlineStr">
        <is>
          <t>WITHDRAWN</t>
        </is>
      </c>
      <c r="B7" s="3">
        <f>COUNTIF(Recommendations!E3:E76,"WITHDRAWN")</f>
        <v/>
      </c>
      <c r="C7" s="3" t="inlineStr"/>
    </row>
    <row r="8">
      <c r="A8" s="2" t="inlineStr">
        <is>
          <t>NOT_CLINICAL</t>
        </is>
      </c>
      <c r="B8" s="3">
        <f>COUNTIF(Recommendations!E3:E76,"NOT_CLINICAL")</f>
        <v/>
      </c>
      <c r="C8" s="3" t="inlineStr"/>
    </row>
    <row r="9">
      <c r="A9" s="2" t="inlineStr">
        <is>
          <t>VERIFIED</t>
        </is>
      </c>
      <c r="B9" s="3" t="inlineStr"/>
      <c r="C9" s="3">
        <f>COUNTIF(Measurements!F3:F7,"VERIFIED")</f>
        <v/>
      </c>
    </row>
    <row r="10">
      <c r="A10" s="2" t="inlineStr">
        <is>
          <t>CORRECTED</t>
        </is>
      </c>
      <c r="B10" s="3" t="inlineStr"/>
      <c r="C10" s="3">
        <f>COUNTIF(Measurements!F3:F7,"CORRECTED")</f>
        <v/>
      </c>
    </row>
    <row r="11">
      <c r="A11" s="2" t="inlineStr">
        <is>
          <t>REMOVED</t>
        </is>
      </c>
      <c r="B11" s="3" t="inlineStr"/>
      <c r="C11" s="3">
        <f>COUNTIF(Measurements!F3:F7,"REMOVED")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2026-10-10T12:34:03Z</dcterms:created>
  <dcterms:modified xmlns:dcterms="http://purl.org/dc/terms/" xmlns:xsi="http://www.w3.org/2001/XMLSchema-instance" xsi:type="dcterms:W3CDTF">2026-10-10T12:34:03Z</dcterms:modified>
</cp:coreProperties>
</file>