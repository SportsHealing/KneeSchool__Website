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3.15 Sports-Specific Knee Biomechanics</t>
        </is>
      </c>
    </row>
    <row r="3">
      <c r="A3" s="2" t="inlineStr">
        <is>
          <t>Section</t>
        </is>
      </c>
      <c r="B3" s="3" t="inlineStr">
        <is>
          <t>3</t>
        </is>
      </c>
    </row>
    <row r="4">
      <c r="A4" s="2" t="inlineStr">
        <is>
          <t>Chapter</t>
        </is>
      </c>
      <c r="B4" s="3" t="inlineStr">
        <is>
          <t>3.15 Sports-Specific Knee Biomechanics</t>
        </is>
      </c>
    </row>
    <row r="5">
      <c r="A5" s="2" t="inlineStr">
        <is>
          <t>Pages</t>
        </is>
      </c>
      <c r="B5" s="3" t="n">
        <v>10</v>
      </c>
    </row>
    <row r="6">
      <c r="A6" s="2" t="inlineStr">
        <is>
          <t>Page type</t>
        </is>
      </c>
      <c r="B6" s="3" t="inlineStr">
        <is>
          <t>biomechanics</t>
        </is>
      </c>
    </row>
    <row r="7">
      <c r="A7" s="2" t="inlineStr">
        <is>
          <t>Tiers</t>
        </is>
      </c>
      <c r="B7" s="3" t="inlineStr">
        <is>
          <t>patient, medical student, mrcs</t>
        </is>
      </c>
    </row>
    <row r="8">
      <c r="A8" s="2" t="inlineStr">
        <is>
          <t>Words</t>
        </is>
      </c>
      <c r="B8" s="3" t="inlineStr">
        <is>
          <t>13,105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4</v>
      </c>
    </row>
    <row r="12">
      <c r="A12" s="2" t="inlineStr">
        <is>
          <t>Recommendations to sign</t>
        </is>
      </c>
      <c r="B12" s="3" t="n">
        <v>72</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3.15.1</t>
        </is>
      </c>
      <c r="B2" s="6" t="inlineStr">
        <is>
          <t>Football</t>
        </is>
      </c>
      <c r="C2" s="6" t="n">
        <v>3</v>
      </c>
      <c r="D2" s="6" t="n">
        <v>1350</v>
      </c>
      <c r="E2" s="6" t="inlineStr">
        <is>
          <t>biomechanics/football-biomechanics.html</t>
        </is>
      </c>
    </row>
    <row r="3">
      <c r="A3" s="6" t="inlineStr">
        <is>
          <t>3.15.2</t>
        </is>
      </c>
      <c r="B3" s="6" t="inlineStr">
        <is>
          <t>Cricket</t>
        </is>
      </c>
      <c r="C3" s="6" t="n">
        <v>3</v>
      </c>
      <c r="D3" s="6" t="n">
        <v>1337</v>
      </c>
      <c r="E3" s="6" t="inlineStr">
        <is>
          <t>biomechanics/cricket-biomechanics.html</t>
        </is>
      </c>
    </row>
    <row r="4">
      <c r="A4" s="6" t="inlineStr">
        <is>
          <t>3.15.3</t>
        </is>
      </c>
      <c r="B4" s="6" t="inlineStr">
        <is>
          <t>Rugby</t>
        </is>
      </c>
      <c r="C4" s="6" t="n">
        <v>3</v>
      </c>
      <c r="D4" s="6" t="n">
        <v>1348</v>
      </c>
      <c r="E4" s="6" t="inlineStr">
        <is>
          <t>biomechanics/rugby-biomechanics.html</t>
        </is>
      </c>
    </row>
    <row r="5">
      <c r="A5" s="6" t="inlineStr">
        <is>
          <t>3.15.4</t>
        </is>
      </c>
      <c r="B5" s="6" t="inlineStr">
        <is>
          <t>Tennis</t>
        </is>
      </c>
      <c r="C5" s="6" t="n">
        <v>3</v>
      </c>
      <c r="D5" s="6" t="n">
        <v>1285</v>
      </c>
      <c r="E5" s="6" t="inlineStr">
        <is>
          <t>biomechanics/tennis-biomechanics.html</t>
        </is>
      </c>
    </row>
    <row r="6">
      <c r="A6" s="6" t="inlineStr">
        <is>
          <t>3.15.5</t>
        </is>
      </c>
      <c r="B6" s="6" t="inlineStr">
        <is>
          <t>Basketball</t>
        </is>
      </c>
      <c r="C6" s="6" t="n">
        <v>3</v>
      </c>
      <c r="D6" s="6" t="n">
        <v>1279</v>
      </c>
      <c r="E6" s="6" t="inlineStr">
        <is>
          <t>biomechanics/basketball-biomechanics.html</t>
        </is>
      </c>
    </row>
    <row r="7">
      <c r="A7" s="6" t="inlineStr">
        <is>
          <t>3.15.6</t>
        </is>
      </c>
      <c r="B7" s="6" t="inlineStr">
        <is>
          <t>Skiing</t>
        </is>
      </c>
      <c r="C7" s="6" t="n">
        <v>3</v>
      </c>
      <c r="D7" s="6" t="n">
        <v>1328</v>
      </c>
      <c r="E7" s="6" t="inlineStr">
        <is>
          <t>biomechanics/skiing-biomechanics.html</t>
        </is>
      </c>
    </row>
    <row r="8">
      <c r="A8" s="6" t="inlineStr">
        <is>
          <t>3.15.7</t>
        </is>
      </c>
      <c r="B8" s="6" t="inlineStr">
        <is>
          <t>Athletics</t>
        </is>
      </c>
      <c r="C8" s="6" t="n">
        <v>3</v>
      </c>
      <c r="D8" s="6" t="n">
        <v>1281</v>
      </c>
      <c r="E8" s="6" t="inlineStr">
        <is>
          <t>biomechanics/athletics-biomechanics.html</t>
        </is>
      </c>
    </row>
    <row r="9">
      <c r="A9" s="6" t="inlineStr">
        <is>
          <t>3.15.8</t>
        </is>
      </c>
      <c r="B9" s="6" t="inlineStr">
        <is>
          <t>Cycling</t>
        </is>
      </c>
      <c r="C9" s="6" t="n">
        <v>3</v>
      </c>
      <c r="D9" s="6" t="n">
        <v>1316</v>
      </c>
      <c r="E9" s="6" t="inlineStr">
        <is>
          <t>biomechanics/cycling-biomechanics.html</t>
        </is>
      </c>
    </row>
    <row r="10">
      <c r="A10" s="6" t="inlineStr">
        <is>
          <t>3.15.9</t>
        </is>
      </c>
      <c r="B10" s="6" t="inlineStr">
        <is>
          <t>Golf</t>
        </is>
      </c>
      <c r="C10" s="6" t="n">
        <v>3</v>
      </c>
      <c r="D10" s="6" t="n">
        <v>1277</v>
      </c>
      <c r="E10" s="6" t="inlineStr">
        <is>
          <t>biomechanics/golf-biomechanics.html</t>
        </is>
      </c>
    </row>
    <row r="11">
      <c r="A11" s="6" t="inlineStr">
        <is>
          <t>3.15.10</t>
        </is>
      </c>
      <c r="B11" s="6" t="inlineStr">
        <is>
          <t>Dance</t>
        </is>
      </c>
      <c r="C11" s="6" t="n">
        <v>3</v>
      </c>
      <c r="D11" s="6" t="n">
        <v>1304</v>
      </c>
      <c r="E11" s="6" t="inlineStr">
        <is>
          <t>biomechanics/dance-biomechanics.html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3.15.1</t>
        </is>
      </c>
      <c r="B2" s="4" t="inlineStr">
        <is>
          <t>Football</t>
        </is>
      </c>
      <c r="C2" s="4" t="inlineStr">
        <is>
          <t>Injury is a conjunction of movement, surface interaction and neuromuscular state.</t>
        </is>
      </c>
    </row>
    <row r="3">
      <c r="A3" s="4" t="inlineStr">
        <is>
          <t>3.15.1</t>
        </is>
      </c>
      <c r="B3" s="4" t="inlineStr">
        <is>
          <t>Football</t>
        </is>
      </c>
      <c r="C3" s="4" t="inlineStr">
        <is>
          <t>Removing any one prevents it, which is why prevention has targets and screening does not.</t>
        </is>
      </c>
    </row>
    <row r="4">
      <c r="A4" s="4" t="inlineStr">
        <is>
          <t>3.15.1</t>
        </is>
      </c>
      <c r="B4" s="4" t="inlineStr">
        <is>
          <t>Football</t>
        </is>
      </c>
      <c r="C4" s="4" t="inlineStr">
        <is>
          <t>Non contact injury occurs before voluntary correction is possible.</t>
        </is>
      </c>
    </row>
    <row r="5">
      <c r="A5" s="4" t="inlineStr">
        <is>
          <t>3.15.1</t>
        </is>
      </c>
      <c r="B5" s="4" t="inlineStr">
        <is>
          <t>Football</t>
        </is>
      </c>
      <c r="C5" s="4" t="inlineStr">
        <is>
          <t>Rotational traction decides how much angular momentum reaches the knee.</t>
        </is>
      </c>
    </row>
    <row r="6">
      <c r="A6" s="4" t="inlineStr">
        <is>
          <t>3.15.1</t>
        </is>
      </c>
      <c r="B6" s="4" t="inlineStr">
        <is>
          <t>Football</t>
        </is>
      </c>
      <c r="C6" s="4" t="inlineStr">
        <is>
          <t>Late match and late season presentations reflect fatigue rather than chance.</t>
        </is>
      </c>
    </row>
    <row r="7">
      <c r="A7" s="4" t="inlineStr">
        <is>
          <t>3.15.2</t>
        </is>
      </c>
      <c r="B7" s="4" t="inlineStr">
        <is>
          <t>Cricket</t>
        </is>
      </c>
      <c r="C7" s="4" t="inlineStr">
        <is>
          <t>Workload management is the intervention here with a plausible dose response relationship.</t>
        </is>
      </c>
    </row>
    <row r="8">
      <c r="A8" s="4" t="inlineStr">
        <is>
          <t>3.15.2</t>
        </is>
      </c>
      <c r="B8" s="4" t="inlineStr">
        <is>
          <t>Cricket</t>
        </is>
      </c>
      <c r="C8" s="4" t="inlineStr">
        <is>
          <t>That evidence is largely lumbar, and the knee has been carried along with it.</t>
        </is>
      </c>
    </row>
    <row r="9">
      <c r="A9" s="4" t="inlineStr">
        <is>
          <t>3.15.2</t>
        </is>
      </c>
      <c r="B9" s="4" t="inlineStr">
        <is>
          <t>Cricket</t>
        </is>
      </c>
      <c r="C9" s="4" t="inlineStr">
        <is>
          <t>Low flexion at front foot contact keeps patellofemoral contact area small and pressure high.</t>
        </is>
      </c>
    </row>
    <row r="10">
      <c r="A10" s="4" t="inlineStr">
        <is>
          <t>3.15.2</t>
        </is>
      </c>
      <c r="B10" s="4" t="inlineStr">
        <is>
          <t>Cricket</t>
        </is>
      </c>
      <c r="C10" s="4" t="inlineStr">
        <is>
          <t>Patellar tendinopathy and fat pad irritation are characteristic.</t>
        </is>
      </c>
    </row>
    <row r="11">
      <c r="A11" s="4" t="inlineStr">
        <is>
          <t>3.15.2</t>
        </is>
      </c>
      <c r="B11" s="4" t="inlineStr">
        <is>
          <t>Cricket</t>
        </is>
      </c>
      <c r="C11" s="4" t="inlineStr">
        <is>
          <t>Adolescent bowlers carry disproportionate injury burden.</t>
        </is>
      </c>
    </row>
    <row r="12">
      <c r="A12" s="4" t="inlineStr">
        <is>
          <t>3.15.3</t>
        </is>
      </c>
      <c r="B12" s="4" t="inlineStr">
        <is>
          <t>Rugby</t>
        </is>
      </c>
      <c r="C12" s="4" t="inlineStr">
        <is>
          <t>The question shifts from which ligament to how many.</t>
        </is>
      </c>
    </row>
    <row r="13">
      <c r="A13" s="4" t="inlineStr">
        <is>
          <t>3.15.3</t>
        </is>
      </c>
      <c r="B13" s="4" t="inlineStr">
        <is>
          <t>Rugby</t>
        </is>
      </c>
      <c r="C13" s="4" t="inlineStr">
        <is>
          <t>A multiligament knee is a different clinical entity with different urgency.</t>
        </is>
      </c>
    </row>
    <row r="14">
      <c r="A14" s="4" t="inlineStr">
        <is>
          <t>3.15.3</t>
        </is>
      </c>
      <c r="B14" s="4" t="inlineStr">
        <is>
          <t>Rugby</t>
        </is>
      </c>
      <c r="C14" s="4" t="inlineStr">
        <is>
          <t>Varus and hyperextension mechanisms put the peroneal nerve and popliteal vessels at risk.</t>
        </is>
      </c>
    </row>
    <row r="15">
      <c r="A15" s="4" t="inlineStr">
        <is>
          <t>3.15.3</t>
        </is>
      </c>
      <c r="B15" s="4" t="inlineStr">
        <is>
          <t>Rugby</t>
        </is>
      </c>
      <c r="C15" s="4" t="inlineStr">
        <is>
          <t>Knee dislocation is rare and limb threatening, and its vascular assessment cannot wait.</t>
        </is>
      </c>
    </row>
    <row r="16">
      <c r="A16" s="4" t="inlineStr">
        <is>
          <t>3.15.3</t>
        </is>
      </c>
      <c r="B16" s="4" t="inlineStr">
        <is>
          <t>Rugby</t>
        </is>
      </c>
      <c r="C16" s="4" t="inlineStr">
        <is>
          <t>Contact mechanisms are inferred from video and sectioning, not measured.</t>
        </is>
      </c>
    </row>
    <row r="17">
      <c r="A17" s="4" t="inlineStr">
        <is>
          <t>3.15.4</t>
        </is>
      </c>
      <c r="B17" s="4" t="inlineStr">
        <is>
          <t>Tennis</t>
        </is>
      </c>
      <c r="C17" s="4" t="inlineStr">
        <is>
          <t>Traction is a property of the shoe and surface pair, and it is rarely in a history.</t>
        </is>
      </c>
    </row>
    <row r="18">
      <c r="A18" s="4" t="inlineStr">
        <is>
          <t>3.15.4</t>
        </is>
      </c>
      <c r="B18" s="4" t="inlineStr">
        <is>
          <t>Tennis</t>
        </is>
      </c>
      <c r="C18" s="4" t="inlineStr">
        <is>
          <t>Sliding lowers peak knee moment, which is the mechanical account of clay's reputation.</t>
        </is>
      </c>
    </row>
    <row r="19">
      <c r="A19" s="4" t="inlineStr">
        <is>
          <t>3.15.4</t>
        </is>
      </c>
      <c r="B19" s="4" t="inlineStr">
        <is>
          <t>Tennis</t>
        </is>
      </c>
      <c r="C19" s="4" t="inlineStr">
        <is>
          <t>The trade is volume: longer rallies raise cumulative load as peak load falls.</t>
        </is>
      </c>
    </row>
    <row r="20">
      <c r="A20" s="4" t="inlineStr">
        <is>
          <t>3.15.4</t>
        </is>
      </c>
      <c r="B20" s="4" t="inlineStr">
        <is>
          <t>Tennis</t>
        </is>
      </c>
      <c r="C20" s="4" t="inlineStr">
        <is>
          <t>Serve landings produce the sport's characteristic asymmetry.</t>
        </is>
      </c>
    </row>
    <row r="21">
      <c r="A21" s="4" t="inlineStr">
        <is>
          <t>3.15.4</t>
        </is>
      </c>
      <c r="B21" s="4" t="inlineStr">
        <is>
          <t>Tennis</t>
        </is>
      </c>
      <c r="C21" s="4" t="inlineStr">
        <is>
          <t>The surface argument rests on joint moments, not on measured tissue stress.</t>
        </is>
      </c>
    </row>
    <row r="22">
      <c r="A22" s="4" t="inlineStr">
        <is>
          <t>3.15.5</t>
        </is>
      </c>
      <c r="B22" s="4" t="inlineStr">
        <is>
          <t>Basketball</t>
        </is>
      </c>
      <c r="C22" s="4" t="inlineStr">
        <is>
          <t>Jumps are countable, which makes the dose measurable and the problem tractable.</t>
        </is>
      </c>
    </row>
    <row r="23">
      <c r="A23" s="4" t="inlineStr">
        <is>
          <t>3.15.5</t>
        </is>
      </c>
      <c r="B23" s="4" t="inlineStr">
        <is>
          <t>Basketball</t>
        </is>
      </c>
      <c r="C23" s="4" t="inlineStr">
        <is>
          <t>Patellar tendon force at takeoff is among the highest the extensor mechanism sees.</t>
        </is>
      </c>
    </row>
    <row r="24">
      <c r="A24" s="4" t="inlineStr">
        <is>
          <t>3.15.5</t>
        </is>
      </c>
      <c r="B24" s="4" t="inlineStr">
        <is>
          <t>Basketball</t>
        </is>
      </c>
      <c r="C24" s="4" t="inlineStr">
        <is>
          <t>Tendinopathy localises where modelling predicts stress concentration.</t>
        </is>
      </c>
    </row>
    <row r="25">
      <c r="A25" s="4" t="inlineStr">
        <is>
          <t>3.15.5</t>
        </is>
      </c>
      <c r="B25" s="4" t="inlineStr">
        <is>
          <t>Basketball</t>
        </is>
      </c>
      <c r="C25" s="4" t="inlineStr">
        <is>
          <t>Court hardness alters loading rate rather than total load.</t>
        </is>
      </c>
    </row>
    <row r="26">
      <c r="A26" s="4" t="inlineStr">
        <is>
          <t>3.15.5</t>
        </is>
      </c>
      <c r="B26" s="4" t="inlineStr">
        <is>
          <t>Basketball</t>
        </is>
      </c>
      <c r="C26" s="4" t="inlineStr">
        <is>
          <t>Jump count is a proxy; tendon stress is not measured.</t>
        </is>
      </c>
    </row>
    <row r="27">
      <c r="A27" s="4" t="inlineStr">
        <is>
          <t>3.15.6</t>
        </is>
      </c>
      <c r="B27" s="4" t="inlineStr">
        <is>
          <t>Skiing</t>
        </is>
      </c>
      <c r="C27" s="4" t="inlineStr">
        <is>
          <t>A technological change moved this sport's injury pattern to the knee.</t>
        </is>
      </c>
    </row>
    <row r="28">
      <c r="A28" s="4" t="inlineStr">
        <is>
          <t>3.15.6</t>
        </is>
      </c>
      <c r="B28" s="4" t="inlineStr">
        <is>
          <t>Skiing</t>
        </is>
      </c>
      <c r="C28" s="4" t="inlineStr">
        <is>
          <t>Modern boots nearly eliminated tibial fractures; the energy moved up.</t>
        </is>
      </c>
    </row>
    <row r="29">
      <c r="A29" s="4" t="inlineStr">
        <is>
          <t>3.15.6</t>
        </is>
      </c>
      <c r="B29" s="4" t="inlineStr">
        <is>
          <t>Skiing</t>
        </is>
      </c>
      <c r="C29" s="4" t="inlineStr">
        <is>
          <t>The phantom foot position is an efficient cruciate loading configuration.</t>
        </is>
      </c>
    </row>
    <row r="30">
      <c r="A30" s="4" t="inlineStr">
        <is>
          <t>3.15.6</t>
        </is>
      </c>
      <c r="B30" s="4" t="inlineStr">
        <is>
          <t>Skiing</t>
        </is>
      </c>
      <c r="C30" s="4" t="inlineStr">
        <is>
          <t>Boot induced anterior drawer loads the cruciate without rotation.</t>
        </is>
      </c>
    </row>
    <row r="31">
      <c r="A31" s="4" t="inlineStr">
        <is>
          <t>3.15.6</t>
        </is>
      </c>
      <c r="B31" s="4" t="inlineStr">
        <is>
          <t>Skiing</t>
        </is>
      </c>
      <c r="C31" s="4" t="inlineStr">
        <is>
          <t>Medial collateral injury from edge catching is commoner than cruciate injury.</t>
        </is>
      </c>
    </row>
    <row r="32">
      <c r="A32" s="4" t="inlineStr">
        <is>
          <t>3.15.7</t>
        </is>
      </c>
      <c r="B32" s="4" t="inlineStr">
        <is>
          <t>Athletics</t>
        </is>
      </c>
      <c r="C32" s="4" t="inlineStr">
        <is>
          <t>Athletics is the natural experiment for the load versus repetition axis.</t>
        </is>
      </c>
    </row>
    <row r="33">
      <c r="A33" s="4" t="inlineStr">
        <is>
          <t>3.15.7</t>
        </is>
      </c>
      <c r="B33" s="4" t="inlineStr">
        <is>
          <t>Athletics</t>
        </is>
      </c>
      <c r="C33" s="4" t="inlineStr">
        <is>
          <t>Recreational running is not established as a risk factor for knee osteoarthritis.</t>
        </is>
      </c>
    </row>
    <row r="34">
      <c r="A34" s="4" t="inlineStr">
        <is>
          <t>3.15.7</t>
        </is>
      </c>
      <c r="B34" s="4" t="inlineStr">
        <is>
          <t>Athletics</t>
        </is>
      </c>
      <c r="C34" s="4" t="inlineStr">
        <is>
          <t>Jumping events concentrate patellar tendon load through a single leg takeoff.</t>
        </is>
      </c>
    </row>
    <row r="35">
      <c r="A35" s="4" t="inlineStr">
        <is>
          <t>3.15.7</t>
        </is>
      </c>
      <c r="B35" s="4" t="inlineStr">
        <is>
          <t>Athletics</t>
        </is>
      </c>
      <c r="C35" s="4" t="inlineStr">
        <is>
          <t>Sprint and hurdle events are dominated by hamstring rather than knee injury.</t>
        </is>
      </c>
    </row>
    <row r="36">
      <c r="A36" s="4" t="inlineStr">
        <is>
          <t>3.15.7</t>
        </is>
      </c>
      <c r="B36" s="4" t="inlineStr">
        <is>
          <t>Athletics</t>
        </is>
      </c>
      <c r="C36" s="4" t="inlineStr">
        <is>
          <t>Elite athletes are selected survivors of their own training, which biases the findings.</t>
        </is>
      </c>
    </row>
    <row r="37">
      <c r="A37" s="4" t="inlineStr">
        <is>
          <t>3.15.8</t>
        </is>
      </c>
      <c r="B37" s="4" t="inlineStr">
        <is>
          <t>Cycling</t>
        </is>
      </c>
      <c r="C37" s="4" t="inlineStr">
        <is>
          <t>The intervention here is engineering rather than biology.</t>
        </is>
      </c>
    </row>
    <row r="38">
      <c r="A38" s="4" t="inlineStr">
        <is>
          <t>3.15.8</t>
        </is>
      </c>
      <c r="B38" s="4" t="inlineStr">
        <is>
          <t>Cycling</t>
        </is>
      </c>
      <c r="C38" s="4" t="inlineStr">
        <is>
          <t>Saddle height determines peak flexion and therefore patellofemoral force.</t>
        </is>
      </c>
    </row>
    <row r="39">
      <c r="A39" s="4" t="inlineStr">
        <is>
          <t>3.15.8</t>
        </is>
      </c>
      <c r="B39" s="4" t="inlineStr">
        <is>
          <t>Cycling</t>
        </is>
      </c>
      <c r="C39" s="4" t="inlineStr">
        <is>
          <t>Excessive height produces posterior pain and pelvic rocking.</t>
        </is>
      </c>
    </row>
    <row r="40">
      <c r="A40" s="4" t="inlineStr">
        <is>
          <t>3.15.8</t>
        </is>
      </c>
      <c r="B40" s="4" t="inlineStr">
        <is>
          <t>Cycling</t>
        </is>
      </c>
      <c r="C40" s="4" t="inlineStr">
        <is>
          <t>Restricted float imposes a rotation the knee did not choose.</t>
        </is>
      </c>
    </row>
    <row r="41">
      <c r="A41" s="4" t="inlineStr">
        <is>
          <t>3.15.8</t>
        </is>
      </c>
      <c r="B41" s="4" t="inlineStr">
        <is>
          <t>Cycling</t>
        </is>
      </c>
      <c r="C41" s="4" t="inlineStr">
        <is>
          <t>This sport has better individual biomechanical measurement than any other here.</t>
        </is>
      </c>
    </row>
    <row r="42">
      <c r="A42" s="4" t="inlineStr">
        <is>
          <t>3.15.9</t>
        </is>
      </c>
      <c r="B42" s="4" t="inlineStr">
        <is>
          <t>Golf</t>
        </is>
      </c>
      <c r="C42" s="4" t="inlineStr">
        <is>
          <t>The mechanical modifications here are the easiest to make and the least often suggested.</t>
        </is>
      </c>
    </row>
    <row r="43">
      <c r="A43" s="4" t="inlineStr">
        <is>
          <t>3.15.9</t>
        </is>
      </c>
      <c r="B43" s="4" t="inlineStr">
        <is>
          <t>Golf</t>
        </is>
      </c>
      <c r="C43" s="4" t="inlineStr">
        <is>
          <t>Lead knee internal rotation torque peaks through the downswing and impact.</t>
        </is>
      </c>
    </row>
    <row r="44">
      <c r="A44" s="4" t="inlineStr">
        <is>
          <t>3.15.9</t>
        </is>
      </c>
      <c r="B44" s="4" t="inlineStr">
        <is>
          <t>Golf</t>
        </is>
      </c>
      <c r="C44" s="4" t="inlineStr">
        <is>
          <t>Opening the lead foot reduces the rotation the knee must produce.</t>
        </is>
      </c>
    </row>
    <row r="45">
      <c r="A45" s="4" t="inlineStr">
        <is>
          <t>3.15.9</t>
        </is>
      </c>
      <c r="B45" s="4" t="inlineStr">
        <is>
          <t>Golf</t>
        </is>
      </c>
      <c r="C45" s="4" t="inlineStr">
        <is>
          <t>Restricted lead hip internal rotation transfers demand to the knee.</t>
        </is>
      </c>
    </row>
    <row r="46">
      <c r="A46" s="4" t="inlineStr">
        <is>
          <t>3.15.9</t>
        </is>
      </c>
      <c r="B46" s="4" t="inlineStr">
        <is>
          <t>Golf</t>
        </is>
      </c>
      <c r="C46" s="4" t="inlineStr">
        <is>
          <t>Abundant swing measurement exists and is rarely framed as a knee question.</t>
        </is>
      </c>
    </row>
    <row r="47">
      <c r="A47" s="4" t="inlineStr">
        <is>
          <t>3.15.10</t>
        </is>
      </c>
      <c r="B47" s="4" t="inlineStr">
        <is>
          <t>Dance</t>
        </is>
      </c>
      <c r="C47" s="4" t="inlineStr">
        <is>
          <t>The demand is set by an aesthetic rather than by a physical objective.</t>
        </is>
      </c>
    </row>
    <row r="48">
      <c r="A48" s="4" t="inlineStr">
        <is>
          <t>3.15.10</t>
        </is>
      </c>
      <c r="B48" s="4" t="inlineStr">
        <is>
          <t>Dance</t>
        </is>
      </c>
      <c r="C48" s="4" t="inlineStr">
        <is>
          <t>That removes the argument that a safer technique is also a better one.</t>
        </is>
      </c>
    </row>
    <row r="49">
      <c r="A49" s="4" t="inlineStr">
        <is>
          <t>3.15.10</t>
        </is>
      </c>
      <c r="B49" s="4" t="inlineStr">
        <is>
          <t>Dance</t>
        </is>
      </c>
      <c r="C49" s="4" t="inlineStr">
        <is>
          <t>Compensated turnout holds the tibia externally rotated through the whole squat cycle.</t>
        </is>
      </c>
    </row>
    <row r="50">
      <c r="A50" s="4" t="inlineStr">
        <is>
          <t>3.15.10</t>
        </is>
      </c>
      <c r="B50" s="4" t="inlineStr">
        <is>
          <t>Dance</t>
        </is>
      </c>
      <c r="C50" s="4" t="inlineStr">
        <is>
          <t>Grand plié loads the proximal patella and odd facet, rarely loaded elsewhere.</t>
        </is>
      </c>
    </row>
    <row r="51">
      <c r="A51" s="4" t="inlineStr">
        <is>
          <t>3.15.10</t>
        </is>
      </c>
      <c r="B51" s="4" t="inlineStr">
        <is>
          <t>Dance</t>
        </is>
      </c>
      <c r="C51" s="4" t="inlineStr">
        <is>
          <t>Vocational training through childhood makes the stakes of a restriction unusually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3.15.1-P1</t>
        </is>
      </c>
      <c r="B3" s="4" t="inlineStr">
        <is>
          <t>3.15.1</t>
        </is>
      </c>
      <c r="C3" s="4" t="inlineStr">
        <is>
          <t>medical_student</t>
        </is>
      </c>
      <c r="D3" s="4" t="inlineStr">
        <is>
          <t>Ask whether the injury involved contact, because the mechanism predicts the structures involved.</t>
        </is>
      </c>
      <c r="E3" s="4" t="inlineStr"/>
      <c r="F3" s="4" t="inlineStr"/>
      <c r="G3" s="4" t="inlineStr"/>
    </row>
    <row r="4">
      <c r="A4" s="4" t="inlineStr">
        <is>
          <t>3.15.1-P2</t>
        </is>
      </c>
      <c r="B4" s="4" t="inlineStr">
        <is>
          <t>3.15.1</t>
        </is>
      </c>
      <c r="C4" s="4" t="inlineStr">
        <is>
          <t>medical_student</t>
        </is>
      </c>
      <c r="D4" s="4" t="inlineStr">
        <is>
          <t>Ask about immediate swelling, which suggests haemarthrosis and a significant intra articular injury.</t>
        </is>
      </c>
      <c r="E4" s="4" t="inlineStr"/>
      <c r="F4" s="4" t="inlineStr"/>
      <c r="G4" s="4" t="inlineStr"/>
    </row>
    <row r="5">
      <c r="A5" s="4" t="inlineStr">
        <is>
          <t>3.15.1-P3</t>
        </is>
      </c>
      <c r="B5" s="4" t="inlineStr">
        <is>
          <t>3.15.1</t>
        </is>
      </c>
      <c r="C5" s="4" t="inlineStr">
        <is>
          <t>medical_student</t>
        </is>
      </c>
      <c r="D5" s="4" t="inlineStr">
        <is>
          <t>Expect associated meniscal and chondral injury with a cruciate rupture rather than an isolated one.</t>
        </is>
      </c>
      <c r="E5" s="4" t="inlineStr"/>
      <c r="F5" s="4" t="inlineStr"/>
      <c r="G5" s="4" t="inlineStr"/>
    </row>
    <row r="6">
      <c r="A6" s="4" t="inlineStr">
        <is>
          <t>3.15.1-P4</t>
        </is>
      </c>
      <c r="B6" s="4" t="inlineStr">
        <is>
          <t>3.15.1</t>
        </is>
      </c>
      <c r="C6" s="4" t="inlineStr">
        <is>
          <t>mrcs</t>
        </is>
      </c>
      <c r="D6" s="4" t="inlineStr">
        <is>
          <t>Take a mechanism history in detail, since contact and non contact mechanisms predict different structures.</t>
        </is>
      </c>
      <c r="E6" s="4" t="inlineStr"/>
      <c r="F6" s="4" t="inlineStr"/>
      <c r="G6" s="4" t="inlineStr"/>
    </row>
    <row r="7">
      <c r="A7" s="4" t="inlineStr">
        <is>
          <t>3.15.1-P5</t>
        </is>
      </c>
      <c r="B7" s="4" t="inlineStr">
        <is>
          <t>3.15.1</t>
        </is>
      </c>
      <c r="C7" s="4" t="inlineStr">
        <is>
          <t>mrcs</t>
        </is>
      </c>
      <c r="D7" s="4" t="inlineStr">
        <is>
          <t>Expect late match and late season presentations, which reflect fatigue rather than chance.</t>
        </is>
      </c>
      <c r="E7" s="4" t="inlineStr"/>
      <c r="F7" s="4" t="inlineStr"/>
      <c r="G7" s="4" t="inlineStr"/>
    </row>
    <row r="8">
      <c r="A8" s="4" t="inlineStr">
        <is>
          <t>3.15.1-P6</t>
        </is>
      </c>
      <c r="B8" s="4" t="inlineStr">
        <is>
          <t>3.15.1</t>
        </is>
      </c>
      <c r="C8" s="4" t="inlineStr">
        <is>
          <t>mrcs</t>
        </is>
      </c>
      <c r="D8" s="4" t="inlineStr">
        <is>
          <t>Consider traction at the shoe surface interface as a modifiable club level factor.</t>
        </is>
      </c>
      <c r="E8" s="4" t="inlineStr"/>
      <c r="F8" s="4" t="inlineStr"/>
      <c r="G8" s="4" t="inlineStr"/>
    </row>
    <row r="9">
      <c r="A9" s="4" t="inlineStr">
        <is>
          <t>3.15.1-P7</t>
        </is>
      </c>
      <c r="B9" s="4" t="inlineStr">
        <is>
          <t>3.15.1</t>
        </is>
      </c>
      <c r="C9" s="4" t="inlineStr">
        <is>
          <t>mrcs</t>
        </is>
      </c>
      <c r="D9" s="4" t="inlineStr">
        <is>
          <t>State that no injury rates are quoted here and why.</t>
        </is>
      </c>
      <c r="E9" s="4" t="inlineStr"/>
      <c r="F9" s="4" t="inlineStr"/>
      <c r="G9" s="4" t="inlineStr"/>
    </row>
    <row r="10">
      <c r="A10" s="4" t="inlineStr">
        <is>
          <t>3.15.2-P1</t>
        </is>
      </c>
      <c r="B10" s="4" t="inlineStr">
        <is>
          <t>3.15.2</t>
        </is>
      </c>
      <c r="C10" s="4" t="inlineStr">
        <is>
          <t>medical_student</t>
        </is>
      </c>
      <c r="D10" s="4" t="inlineStr">
        <is>
          <t>Take a workload history in overs and spells, which is the specific history for this sport.</t>
        </is>
      </c>
      <c r="E10" s="4" t="inlineStr"/>
      <c r="F10" s="4" t="inlineStr"/>
      <c r="G10" s="4" t="inlineStr"/>
    </row>
    <row r="11">
      <c r="A11" s="4" t="inlineStr">
        <is>
          <t>3.15.2-P2</t>
        </is>
      </c>
      <c r="B11" s="4" t="inlineStr">
        <is>
          <t>3.15.2</t>
        </is>
      </c>
      <c r="C11" s="4" t="inlineStr">
        <is>
          <t>medical_student</t>
        </is>
      </c>
      <c r="D11" s="4" t="inlineStr">
        <is>
          <t>Expect anterior knee pain and patellar tendon problems rather than instability.</t>
        </is>
      </c>
      <c r="E11" s="4" t="inlineStr"/>
      <c r="F11" s="4" t="inlineStr"/>
      <c r="G11" s="4" t="inlineStr"/>
    </row>
    <row r="12">
      <c r="A12" s="4" t="inlineStr">
        <is>
          <t>3.15.2-P3</t>
        </is>
      </c>
      <c r="B12" s="4" t="inlineStr">
        <is>
          <t>3.15.2</t>
        </is>
      </c>
      <c r="C12" s="4" t="inlineStr">
        <is>
          <t>medical_student</t>
        </is>
      </c>
      <c r="D12" s="4" t="inlineStr">
        <is>
          <t>Ask wicketkeepers about sustained squatting separately, since the mechanism differs.</t>
        </is>
      </c>
      <c r="E12" s="4" t="inlineStr"/>
      <c r="F12" s="4" t="inlineStr"/>
      <c r="G12" s="4" t="inlineStr"/>
    </row>
    <row r="13">
      <c r="A13" s="4" t="inlineStr">
        <is>
          <t>3.15.2-P4</t>
        </is>
      </c>
      <c r="B13" s="4" t="inlineStr">
        <is>
          <t>3.15.2</t>
        </is>
      </c>
      <c r="C13" s="4" t="inlineStr">
        <is>
          <t>medical_student</t>
        </is>
      </c>
      <c r="D13" s="4" t="inlineStr">
        <is>
          <t>Avoid quoting injury rates, which this page does not, because no source was available.</t>
        </is>
      </c>
      <c r="E13" s="4" t="inlineStr"/>
      <c r="F13" s="4" t="inlineStr"/>
      <c r="G13" s="4" t="inlineStr"/>
    </row>
    <row r="14">
      <c r="A14" s="4" t="inlineStr">
        <is>
          <t>3.15.2-P5</t>
        </is>
      </c>
      <c r="B14" s="4" t="inlineStr">
        <is>
          <t>3.15.2</t>
        </is>
      </c>
      <c r="C14" s="4" t="inlineStr">
        <is>
          <t>mrcs</t>
        </is>
      </c>
      <c r="D14" s="4" t="inlineStr">
        <is>
          <t>Take overs bowled, spell length and recent change in workload as the core history.</t>
        </is>
      </c>
      <c r="E14" s="4" t="inlineStr"/>
      <c r="F14" s="4" t="inlineStr"/>
      <c r="G14" s="4" t="inlineStr"/>
    </row>
    <row r="15">
      <c r="A15" s="4" t="inlineStr">
        <is>
          <t>3.15.2-P6</t>
        </is>
      </c>
      <c r="B15" s="4" t="inlineStr">
        <is>
          <t>3.15.2</t>
        </is>
      </c>
      <c r="C15" s="4" t="inlineStr">
        <is>
          <t>mrcs</t>
        </is>
      </c>
      <c r="D15" s="4" t="inlineStr">
        <is>
          <t>Expect an extensor mechanism presentation and ask about the point in a spell at which pain appears.</t>
        </is>
      </c>
      <c r="E15" s="4" t="inlineStr"/>
      <c r="F15" s="4" t="inlineStr"/>
      <c r="G15" s="4" t="inlineStr"/>
    </row>
    <row r="16">
      <c r="A16" s="4" t="inlineStr">
        <is>
          <t>3.15.2-P7</t>
        </is>
      </c>
      <c r="B16" s="4" t="inlineStr">
        <is>
          <t>3.15.2</t>
        </is>
      </c>
      <c r="C16" s="4" t="inlineStr">
        <is>
          <t>mrcs</t>
        </is>
      </c>
      <c r="D16" s="4" t="inlineStr">
        <is>
          <t>Treat adolescent bowlers' workload as the specific risk, since that is where the sport's evidence concentrates.</t>
        </is>
      </c>
      <c r="E16" s="4" t="inlineStr"/>
      <c r="F16" s="4" t="inlineStr"/>
      <c r="G16" s="4" t="inlineStr"/>
    </row>
    <row r="17">
      <c r="A17" s="4" t="inlineStr">
        <is>
          <t>3.15.2-P8</t>
        </is>
      </c>
      <c r="B17" s="4" t="inlineStr">
        <is>
          <t>3.15.2</t>
        </is>
      </c>
      <c r="C17" s="4" t="inlineStr">
        <is>
          <t>mrcs</t>
        </is>
      </c>
      <c r="D17" s="4" t="inlineStr">
        <is>
          <t>State that the knee specific evidence in cricket is thinner than the lumbar evidence it borrows from.</t>
        </is>
      </c>
      <c r="E17" s="4" t="inlineStr"/>
      <c r="F17" s="4" t="inlineStr"/>
      <c r="G17" s="4" t="inlineStr"/>
    </row>
    <row r="18">
      <c r="A18" s="4" t="inlineStr">
        <is>
          <t>3.15.2-P9</t>
        </is>
      </c>
      <c r="B18" s="4" t="inlineStr">
        <is>
          <t>3.15.2</t>
        </is>
      </c>
      <c r="C18" s="4" t="inlineStr">
        <is>
          <t>mrcs</t>
        </is>
      </c>
      <c r="D18" s="4" t="inlineStr">
        <is>
          <t>Weigh the player's age, physiology, comorbidities, knee demand, psychological state and their own ideas, concerns and expectations, because selection pressure makes under reporting of pain common in this sport.</t>
        </is>
      </c>
      <c r="E18" s="4" t="inlineStr"/>
      <c r="F18" s="4" t="inlineStr"/>
      <c r="G18" s="4" t="inlineStr"/>
    </row>
    <row r="19">
      <c r="A19" s="4" t="inlineStr">
        <is>
          <t>3.15.3-P1</t>
        </is>
      </c>
      <c r="B19" s="4" t="inlineStr">
        <is>
          <t>3.15.3</t>
        </is>
      </c>
      <c r="C19" s="4" t="inlineStr">
        <is>
          <t>medical_student</t>
        </is>
      </c>
      <c r="D19" s="4" t="inlineStr">
        <is>
          <t>Take the direction of force in the history, since it predicts the structures involved.</t>
        </is>
      </c>
      <c r="E19" s="4" t="inlineStr"/>
      <c r="F19" s="4" t="inlineStr"/>
      <c r="G19" s="4" t="inlineStr"/>
    </row>
    <row r="20">
      <c r="A20" s="4" t="inlineStr">
        <is>
          <t>3.15.3-P2</t>
        </is>
      </c>
      <c r="B20" s="4" t="inlineStr">
        <is>
          <t>3.15.3</t>
        </is>
      </c>
      <c r="C20" s="4" t="inlineStr">
        <is>
          <t>medical_student</t>
        </is>
      </c>
      <c r="D20" s="4" t="inlineStr">
        <is>
          <t>Examine for multiligament injury rather than assuming a single structure.</t>
        </is>
      </c>
      <c r="E20" s="4" t="inlineStr"/>
      <c r="F20" s="4" t="inlineStr"/>
      <c r="G20" s="4" t="inlineStr"/>
    </row>
    <row r="21">
      <c r="A21" s="4" t="inlineStr">
        <is>
          <t>3.15.3-P3</t>
        </is>
      </c>
      <c r="B21" s="4" t="inlineStr">
        <is>
          <t>3.15.3</t>
        </is>
      </c>
      <c r="C21" s="4" t="inlineStr">
        <is>
          <t>medical_student</t>
        </is>
      </c>
      <c r="D21" s="4" t="inlineStr">
        <is>
          <t>Assess the posterolateral corner when the mechanism was a varus or hyperextension force.</t>
        </is>
      </c>
      <c r="E21" s="4" t="inlineStr"/>
      <c r="F21" s="4" t="inlineStr"/>
      <c r="G21" s="4" t="inlineStr"/>
    </row>
    <row r="22">
      <c r="A22" s="4" t="inlineStr">
        <is>
          <t>3.15.3-P4</t>
        </is>
      </c>
      <c r="B22" s="4" t="inlineStr">
        <is>
          <t>3.15.3</t>
        </is>
      </c>
      <c r="C22" s="4" t="inlineStr">
        <is>
          <t>mrcs</t>
        </is>
      </c>
      <c r="D22" s="4" t="inlineStr">
        <is>
          <t>Assess for multiligament injury and for vascular and nerve compromise after a high energy mechanism, since those cannot wait.</t>
        </is>
      </c>
      <c r="E22" s="4" t="inlineStr"/>
      <c r="F22" s="4" t="inlineStr"/>
      <c r="G22" s="4" t="inlineStr"/>
    </row>
    <row r="23">
      <c r="A23" s="4" t="inlineStr">
        <is>
          <t>3.15.3-P5</t>
        </is>
      </c>
      <c r="B23" s="4" t="inlineStr">
        <is>
          <t>3.15.3</t>
        </is>
      </c>
      <c r="C23" s="4" t="inlineStr">
        <is>
          <t>mrcs</t>
        </is>
      </c>
      <c r="D23" s="4" t="inlineStr">
        <is>
          <t>Record the direction of force, because it maps onto the structures loaded.</t>
        </is>
      </c>
      <c r="E23" s="4" t="inlineStr"/>
      <c r="F23" s="4" t="inlineStr"/>
      <c r="G23" s="4" t="inlineStr"/>
    </row>
    <row r="24">
      <c r="A24" s="4" t="inlineStr">
        <is>
          <t>3.15.3-P6</t>
        </is>
      </c>
      <c r="B24" s="4" t="inlineStr">
        <is>
          <t>3.15.3</t>
        </is>
      </c>
      <c r="C24" s="4" t="inlineStr">
        <is>
          <t>mrcs</t>
        </is>
      </c>
      <c r="D24" s="4" t="inlineStr">
        <is>
          <t>State that contact mechanisms are inferred from video and sectioning rather than measured.</t>
        </is>
      </c>
      <c r="E24" s="4" t="inlineStr"/>
      <c r="F24" s="4" t="inlineStr"/>
      <c r="G24" s="4" t="inlineStr"/>
    </row>
    <row r="25">
      <c r="A25" s="4" t="inlineStr">
        <is>
          <t>3.15.3-P7</t>
        </is>
      </c>
      <c r="B25" s="4" t="inlineStr">
        <is>
          <t>3.15.3</t>
        </is>
      </c>
      <c r="C25" s="4" t="inlineStr">
        <is>
          <t>mrcs</t>
        </is>
      </c>
      <c r="D25" s="4" t="inlineStr">
        <is>
          <t>Weigh the player's age, physiology, comorbidities, knee demand, psychological state and their own ideas, concerns and expectations, since return to contact is a decision about accepting a repeat exposure.</t>
        </is>
      </c>
      <c r="E25" s="4" t="inlineStr"/>
      <c r="F25" s="4" t="inlineStr"/>
      <c r="G25" s="4" t="inlineStr"/>
    </row>
    <row r="26">
      <c r="A26" s="4" t="inlineStr">
        <is>
          <t>3.15.4-P1</t>
        </is>
      </c>
      <c r="B26" s="4" t="inlineStr">
        <is>
          <t>3.15.4</t>
        </is>
      </c>
      <c r="C26" s="4" t="inlineStr">
        <is>
          <t>patient</t>
        </is>
      </c>
      <c r="D26" s="4" t="inlineStr">
        <is>
          <t>Pain that builds session on session, or swelling, should be assessed.</t>
        </is>
      </c>
      <c r="E26" s="4" t="inlineStr"/>
      <c r="F26" s="4" t="inlineStr"/>
      <c r="G26" s="4" t="inlineStr"/>
    </row>
    <row r="27">
      <c r="A27" s="4" t="inlineStr">
        <is>
          <t>3.15.4-P2</t>
        </is>
      </c>
      <c r="B27" s="4" t="inlineStr">
        <is>
          <t>3.15.4</t>
        </is>
      </c>
      <c r="C27" s="4" t="inlineStr">
        <is>
          <t>medical_student</t>
        </is>
      </c>
      <c r="D27" s="4" t="inlineStr">
        <is>
          <t>Ask which surface the patient plays on and in what proportion, because it changes the loading.</t>
        </is>
      </c>
      <c r="E27" s="4" t="inlineStr"/>
      <c r="F27" s="4" t="inlineStr"/>
      <c r="G27" s="4" t="inlineStr"/>
    </row>
    <row r="28">
      <c r="A28" s="4" t="inlineStr">
        <is>
          <t>3.15.4-P3</t>
        </is>
      </c>
      <c r="B28" s="4" t="inlineStr">
        <is>
          <t>3.15.4</t>
        </is>
      </c>
      <c r="C28" s="4" t="inlineStr">
        <is>
          <t>medical_student</t>
        </is>
      </c>
      <c r="D28" s="4" t="inlineStr">
        <is>
          <t>Expect a one sided presentation, since the sport loads one limb preferentially.</t>
        </is>
      </c>
      <c r="E28" s="4" t="inlineStr"/>
      <c r="F28" s="4" t="inlineStr"/>
      <c r="G28" s="4" t="inlineStr"/>
    </row>
    <row r="29">
      <c r="A29" s="4" t="inlineStr">
        <is>
          <t>3.15.4-P4</t>
        </is>
      </c>
      <c r="B29" s="4" t="inlineStr">
        <is>
          <t>3.15.4</t>
        </is>
      </c>
      <c r="C29" s="4" t="inlineStr">
        <is>
          <t>medical_student</t>
        </is>
      </c>
      <c r="D29" s="4" t="inlineStr">
        <is>
          <t>Treat anterior knee pain here as a loading problem and take a volume history.</t>
        </is>
      </c>
      <c r="E29" s="4" t="inlineStr"/>
      <c r="F29" s="4" t="inlineStr"/>
      <c r="G29" s="4" t="inlineStr"/>
    </row>
    <row r="30">
      <c r="A30" s="4" t="inlineStr">
        <is>
          <t>3.15.4-P5</t>
        </is>
      </c>
      <c r="B30" s="4" t="inlineStr">
        <is>
          <t>3.15.4</t>
        </is>
      </c>
      <c r="C30" s="4" t="inlineStr">
        <is>
          <t>medical_student</t>
        </is>
      </c>
      <c r="D30" s="4" t="inlineStr">
        <is>
          <t>Avoid quoting injury rates, which this page does not, because no source was available.</t>
        </is>
      </c>
      <c r="E30" s="4" t="inlineStr"/>
      <c r="F30" s="4" t="inlineStr"/>
      <c r="G30" s="4" t="inlineStr"/>
    </row>
    <row r="31">
      <c r="A31" s="4" t="inlineStr">
        <is>
          <t>3.15.4-P6</t>
        </is>
      </c>
      <c r="B31" s="4" t="inlineStr">
        <is>
          <t>3.15.4</t>
        </is>
      </c>
      <c r="C31" s="4" t="inlineStr">
        <is>
          <t>mrcs</t>
        </is>
      </c>
      <c r="D31" s="4" t="inlineStr">
        <is>
          <t>Ask about shoe and surface as a pair, since traction is a property of both and is modifiable.</t>
        </is>
      </c>
      <c r="E31" s="4" t="inlineStr"/>
      <c r="F31" s="4" t="inlineStr"/>
      <c r="G31" s="4" t="inlineStr"/>
    </row>
    <row r="32">
      <c r="A32" s="4" t="inlineStr">
        <is>
          <t>3.15.4-P7</t>
        </is>
      </c>
      <c r="B32" s="4" t="inlineStr">
        <is>
          <t>3.15.4</t>
        </is>
      </c>
      <c r="C32" s="4" t="inlineStr">
        <is>
          <t>mrcs</t>
        </is>
      </c>
      <c r="D32" s="4" t="inlineStr">
        <is>
          <t>Expect and look for asymmetry, because the sport loads one limb preferentially.</t>
        </is>
      </c>
      <c r="E32" s="4" t="inlineStr"/>
      <c r="F32" s="4" t="inlineStr"/>
      <c r="G32" s="4" t="inlineStr"/>
    </row>
    <row r="33">
      <c r="A33" s="4" t="inlineStr">
        <is>
          <t>3.15.4-P8</t>
        </is>
      </c>
      <c r="B33" s="4" t="inlineStr">
        <is>
          <t>3.15.4</t>
        </is>
      </c>
      <c r="C33" s="4" t="inlineStr">
        <is>
          <t>mrcs</t>
        </is>
      </c>
      <c r="D33" s="4" t="inlineStr">
        <is>
          <t>Balance the peak load argument for clay against its volume cost when advising.</t>
        </is>
      </c>
      <c r="E33" s="4" t="inlineStr"/>
      <c r="F33" s="4" t="inlineStr"/>
      <c r="G33" s="4" t="inlineStr"/>
    </row>
    <row r="34">
      <c r="A34" s="4" t="inlineStr">
        <is>
          <t>3.15.4-P9</t>
        </is>
      </c>
      <c r="B34" s="4" t="inlineStr">
        <is>
          <t>3.15.4</t>
        </is>
      </c>
      <c r="C34" s="4" t="inlineStr">
        <is>
          <t>mrcs</t>
        </is>
      </c>
      <c r="D34" s="4" t="inlineStr">
        <is>
          <t>State that the surface argument rests on joint moments rather than on measured tissue stress.</t>
        </is>
      </c>
      <c r="E34" s="4" t="inlineStr"/>
      <c r="F34" s="4" t="inlineStr"/>
      <c r="G34" s="4" t="inlineStr"/>
    </row>
    <row r="35">
      <c r="A35" s="4" t="inlineStr">
        <is>
          <t>3.15.4-P10</t>
        </is>
      </c>
      <c r="B35" s="4" t="inlineStr">
        <is>
          <t>3.15.4</t>
        </is>
      </c>
      <c r="C35" s="4" t="inlineStr">
        <is>
          <t>mrcs</t>
        </is>
      </c>
      <c r="D35" s="4" t="inlineStr">
        <is>
          <t>Weigh the player's age, physiology, comorbidities, knee demand, psychological state and their own ideas, concerns and expectations, since this sport spans ages and ambitions more widely than most.</t>
        </is>
      </c>
      <c r="E35" s="4" t="inlineStr"/>
      <c r="F35" s="4" t="inlineStr"/>
      <c r="G35" s="4" t="inlineStr"/>
    </row>
    <row r="36">
      <c r="A36" s="4" t="inlineStr">
        <is>
          <t>3.15.5-P1</t>
        </is>
      </c>
      <c r="B36" s="4" t="inlineStr">
        <is>
          <t>3.15.5</t>
        </is>
      </c>
      <c r="C36" s="4" t="inlineStr">
        <is>
          <t>medical_student</t>
        </is>
      </c>
      <c r="D36" s="4" t="inlineStr">
        <is>
          <t>Ask whether there was a single moment, since its absence points to an overuse presentation.</t>
        </is>
      </c>
      <c r="E36" s="4" t="inlineStr"/>
      <c r="F36" s="4" t="inlineStr"/>
      <c r="G36" s="4" t="inlineStr"/>
    </row>
    <row r="37">
      <c r="A37" s="4" t="inlineStr">
        <is>
          <t>3.15.5-P2</t>
        </is>
      </c>
      <c r="B37" s="4" t="inlineStr">
        <is>
          <t>3.15.5</t>
        </is>
      </c>
      <c r="C37" s="4" t="inlineStr">
        <is>
          <t>medical_student</t>
        </is>
      </c>
      <c r="D37" s="4" t="inlineStr">
        <is>
          <t>Take a jump volume history in a player with anterior knee pain.</t>
        </is>
      </c>
      <c r="E37" s="4" t="inlineStr"/>
      <c r="F37" s="4" t="inlineStr"/>
      <c r="G37" s="4" t="inlineStr"/>
    </row>
    <row r="38">
      <c r="A38" s="4" t="inlineStr">
        <is>
          <t>3.15.5-P3</t>
        </is>
      </c>
      <c r="B38" s="4" t="inlineStr">
        <is>
          <t>3.15.5</t>
        </is>
      </c>
      <c r="C38" s="4" t="inlineStr">
        <is>
          <t>medical_student</t>
        </is>
      </c>
      <c r="D38" s="4" t="inlineStr">
        <is>
          <t>Expect apophyseal problems rather than tendinopathy in a skeletally immature player.</t>
        </is>
      </c>
      <c r="E38" s="4" t="inlineStr"/>
      <c r="F38" s="4" t="inlineStr"/>
      <c r="G38" s="4" t="inlineStr"/>
    </row>
    <row r="39">
      <c r="A39" s="4" t="inlineStr">
        <is>
          <t>3.15.5-P4</t>
        </is>
      </c>
      <c r="B39" s="4" t="inlineStr">
        <is>
          <t>3.15.5</t>
        </is>
      </c>
      <c r="C39" s="4" t="inlineStr">
        <is>
          <t>mrcs</t>
        </is>
      </c>
      <c r="D39" s="4" t="inlineStr">
        <is>
          <t>Use jump count as the manageable dose, since it is countable where other exposures are not.</t>
        </is>
      </c>
      <c r="E39" s="4" t="inlineStr"/>
      <c r="F39" s="4" t="inlineStr"/>
      <c r="G39" s="4" t="inlineStr"/>
    </row>
    <row r="40">
      <c r="A40" s="4" t="inlineStr">
        <is>
          <t>3.15.5-P5</t>
        </is>
      </c>
      <c r="B40" s="4" t="inlineStr">
        <is>
          <t>3.15.5</t>
        </is>
      </c>
      <c r="C40" s="4" t="inlineStr">
        <is>
          <t>mrcs</t>
        </is>
      </c>
      <c r="D40" s="4" t="inlineStr">
        <is>
          <t>Expect imaging change and symptoms to correlate imperfectly in tendinopathy.</t>
        </is>
      </c>
      <c r="E40" s="4" t="inlineStr"/>
      <c r="F40" s="4" t="inlineStr"/>
      <c r="G40" s="4" t="inlineStr"/>
    </row>
    <row r="41">
      <c r="A41" s="4" t="inlineStr">
        <is>
          <t>3.15.5-P6</t>
        </is>
      </c>
      <c r="B41" s="4" t="inlineStr">
        <is>
          <t>3.15.5</t>
        </is>
      </c>
      <c r="C41" s="4" t="inlineStr">
        <is>
          <t>mrcs</t>
        </is>
      </c>
      <c r="D41" s="4" t="inlineStr">
        <is>
          <t>State that jump count is a proxy and that tendon stress is not measured.</t>
        </is>
      </c>
      <c r="E41" s="4" t="inlineStr"/>
      <c r="F41" s="4" t="inlineStr"/>
      <c r="G41" s="4" t="inlineStr"/>
    </row>
    <row r="42">
      <c r="A42" s="4" t="inlineStr">
        <is>
          <t>3.15.5-P7</t>
        </is>
      </c>
      <c r="B42" s="4" t="inlineStr">
        <is>
          <t>3.15.5</t>
        </is>
      </c>
      <c r="C42" s="4" t="inlineStr">
        <is>
          <t>mrcs</t>
        </is>
      </c>
      <c r="D42" s="4" t="inlineStr">
        <is>
          <t>Weigh the player's age, physiology, comorbidities, knee demand, psychological state and their own ideas, concerns and expectations, because load restriction in a selected squad player is a harder conversation than it looks.</t>
        </is>
      </c>
      <c r="E42" s="4" t="inlineStr"/>
      <c r="F42" s="4" t="inlineStr"/>
      <c r="G42" s="4" t="inlineStr"/>
    </row>
    <row r="43">
      <c r="A43" s="4" t="inlineStr">
        <is>
          <t>3.15.6-P1</t>
        </is>
      </c>
      <c r="B43" s="4" t="inlineStr">
        <is>
          <t>3.15.6</t>
        </is>
      </c>
      <c r="C43" s="4" t="inlineStr">
        <is>
          <t>medical_student</t>
        </is>
      </c>
      <c r="D43" s="4" t="inlineStr">
        <is>
          <t>Ask about the mechanism in detail, since skiing has named mechanisms that predict the structure.</t>
        </is>
      </c>
      <c r="E43" s="4" t="inlineStr"/>
      <c r="F43" s="4" t="inlineStr"/>
      <c r="G43" s="4" t="inlineStr"/>
    </row>
    <row r="44">
      <c r="A44" s="4" t="inlineStr">
        <is>
          <t>3.15.6-P2</t>
        </is>
      </c>
      <c r="B44" s="4" t="inlineStr">
        <is>
          <t>3.15.6</t>
        </is>
      </c>
      <c r="C44" s="4" t="inlineStr">
        <is>
          <t>medical_student</t>
        </is>
      </c>
      <c r="D44" s="4" t="inlineStr">
        <is>
          <t>Do not take low speed as reassurance, because the common mechanisms are slow.</t>
        </is>
      </c>
      <c r="E44" s="4" t="inlineStr"/>
      <c r="F44" s="4" t="inlineStr"/>
      <c r="G44" s="4" t="inlineStr"/>
    </row>
    <row r="45">
      <c r="A45" s="4" t="inlineStr">
        <is>
          <t>3.15.6-P3</t>
        </is>
      </c>
      <c r="B45" s="4" t="inlineStr">
        <is>
          <t>3.15.6</t>
        </is>
      </c>
      <c r="C45" s="4" t="inlineStr">
        <is>
          <t>medical_student</t>
        </is>
      </c>
      <c r="D45" s="4" t="inlineStr">
        <is>
          <t>Ask whether the bindings released, which is relevant to the energy involved.</t>
        </is>
      </c>
      <c r="E45" s="4" t="inlineStr"/>
      <c r="F45" s="4" t="inlineStr"/>
      <c r="G45" s="4" t="inlineStr"/>
    </row>
    <row r="46">
      <c r="A46" s="4" t="inlineStr">
        <is>
          <t>3.15.6-P4</t>
        </is>
      </c>
      <c r="B46" s="4" t="inlineStr">
        <is>
          <t>3.15.6</t>
        </is>
      </c>
      <c r="C46" s="4" t="inlineStr">
        <is>
          <t>medical_student</t>
        </is>
      </c>
      <c r="D46" s="4" t="inlineStr">
        <is>
          <t>Avoid quoting injury rates, which this page does not, because no source was available.</t>
        </is>
      </c>
      <c r="E46" s="4" t="inlineStr"/>
      <c r="F46" s="4" t="inlineStr"/>
      <c r="G46" s="4" t="inlineStr"/>
    </row>
    <row r="47">
      <c r="A47" s="4" t="inlineStr">
        <is>
          <t>3.15.6-P5</t>
        </is>
      </c>
      <c r="B47" s="4" t="inlineStr">
        <is>
          <t>3.15.6</t>
        </is>
      </c>
      <c r="C47" s="4" t="inlineStr">
        <is>
          <t>mrcs</t>
        </is>
      </c>
      <c r="D47" s="4" t="inlineStr">
        <is>
          <t>Take mechanism in detail, since skiing's named mechanisms map onto structures better than most sports' histories do.</t>
        </is>
      </c>
      <c r="E47" s="4" t="inlineStr"/>
      <c r="F47" s="4" t="inlineStr"/>
      <c r="G47" s="4" t="inlineStr"/>
    </row>
    <row r="48">
      <c r="A48" s="4" t="inlineStr">
        <is>
          <t>3.15.6-P6</t>
        </is>
      </c>
      <c r="B48" s="4" t="inlineStr">
        <is>
          <t>3.15.6</t>
        </is>
      </c>
      <c r="C48" s="4" t="inlineStr">
        <is>
          <t>mrcs</t>
        </is>
      </c>
      <c r="D48" s="4" t="inlineStr">
        <is>
          <t>Ask about binding release and settings, which bears on energy and on prevention advice.</t>
        </is>
      </c>
      <c r="E48" s="4" t="inlineStr"/>
      <c r="F48" s="4" t="inlineStr"/>
      <c r="G48" s="4" t="inlineStr"/>
    </row>
    <row r="49">
      <c r="A49" s="4" t="inlineStr">
        <is>
          <t>3.15.6-P7</t>
        </is>
      </c>
      <c r="B49" s="4" t="inlineStr">
        <is>
          <t>3.15.6</t>
        </is>
      </c>
      <c r="C49" s="4" t="inlineStr">
        <is>
          <t>mrcs</t>
        </is>
      </c>
      <c r="D49" s="4" t="inlineStr">
        <is>
          <t>Treat a low energy mechanism as capable of producing a complete cruciate rupture.</t>
        </is>
      </c>
      <c r="E49" s="4" t="inlineStr"/>
      <c r="F49" s="4" t="inlineStr"/>
      <c r="G49" s="4" t="inlineStr"/>
    </row>
    <row r="50">
      <c r="A50" s="4" t="inlineStr">
        <is>
          <t>3.15.6-P8</t>
        </is>
      </c>
      <c r="B50" s="4" t="inlineStr">
        <is>
          <t>3.15.6</t>
        </is>
      </c>
      <c r="C50" s="4" t="inlineStr">
        <is>
          <t>mrcs</t>
        </is>
      </c>
      <c r="D50" s="4" t="inlineStr">
        <is>
          <t>State that the historical shift from tibia to knee is an observation rather than a prospective finding.</t>
        </is>
      </c>
      <c r="E50" s="4" t="inlineStr"/>
      <c r="F50" s="4" t="inlineStr"/>
      <c r="G50" s="4" t="inlineStr"/>
    </row>
    <row r="51">
      <c r="A51" s="4" t="inlineStr">
        <is>
          <t>3.15.6-P9</t>
        </is>
      </c>
      <c r="B51" s="4" t="inlineStr">
        <is>
          <t>3.15.6</t>
        </is>
      </c>
      <c r="C51" s="4" t="inlineStr">
        <is>
          <t>mrcs</t>
        </is>
      </c>
      <c r="D51" s="4" t="inlineStr">
        <is>
          <t>Weigh the skier's age, physiology, comorbidities, knee demand, psychological state and their own ideas, concerns and expectations, since this is often a holiday injury in a patient whose sport is occasional.</t>
        </is>
      </c>
      <c r="E51" s="4" t="inlineStr"/>
      <c r="F51" s="4" t="inlineStr"/>
      <c r="G51" s="4" t="inlineStr"/>
    </row>
    <row r="52">
      <c r="A52" s="4" t="inlineStr">
        <is>
          <t>3.15.7-P1</t>
        </is>
      </c>
      <c r="B52" s="4" t="inlineStr">
        <is>
          <t>3.15.7</t>
        </is>
      </c>
      <c r="C52" s="4" t="inlineStr">
        <is>
          <t>medical_student</t>
        </is>
      </c>
      <c r="D52" s="4" t="inlineStr">
        <is>
          <t>Ask which event, since it changes the differential more than the sport does.</t>
        </is>
      </c>
      <c r="E52" s="4" t="inlineStr"/>
      <c r="F52" s="4" t="inlineStr"/>
      <c r="G52" s="4" t="inlineStr"/>
    </row>
    <row r="53">
      <c r="A53" s="4" t="inlineStr">
        <is>
          <t>3.15.7-P2</t>
        </is>
      </c>
      <c r="B53" s="4" t="inlineStr">
        <is>
          <t>3.15.7</t>
        </is>
      </c>
      <c r="C53" s="4" t="inlineStr">
        <is>
          <t>medical_student</t>
        </is>
      </c>
      <c r="D53" s="4" t="inlineStr">
        <is>
          <t>Take a volume and rate of change history in a distance runner.</t>
        </is>
      </c>
      <c r="E53" s="4" t="inlineStr"/>
      <c r="F53" s="4" t="inlineStr"/>
      <c r="G53" s="4" t="inlineStr"/>
    </row>
    <row r="54">
      <c r="A54" s="4" t="inlineStr">
        <is>
          <t>3.15.7-P3</t>
        </is>
      </c>
      <c r="B54" s="4" t="inlineStr">
        <is>
          <t>3.15.7</t>
        </is>
      </c>
      <c r="C54" s="4" t="inlineStr">
        <is>
          <t>medical_student</t>
        </is>
      </c>
      <c r="D54" s="4" t="inlineStr">
        <is>
          <t>Expect an extensor mechanism presentation in a jumper and a hamstring presentation in a sprinter.</t>
        </is>
      </c>
      <c r="E54" s="4" t="inlineStr"/>
      <c r="F54" s="4" t="inlineStr"/>
      <c r="G54" s="4" t="inlineStr"/>
    </row>
    <row r="55">
      <c r="A55" s="4" t="inlineStr">
        <is>
          <t>3.15.7-P4</t>
        </is>
      </c>
      <c r="B55" s="4" t="inlineStr">
        <is>
          <t>3.15.7</t>
        </is>
      </c>
      <c r="C55" s="4" t="inlineStr">
        <is>
          <t>mrcs</t>
        </is>
      </c>
      <c r="D55" s="4" t="inlineStr">
        <is>
          <t>Take volume, rate of change and any recent change of surface or footwear.</t>
        </is>
      </c>
      <c r="E55" s="4" t="inlineStr"/>
      <c r="F55" s="4" t="inlineStr"/>
      <c r="G55" s="4" t="inlineStr"/>
    </row>
    <row r="56">
      <c r="A56" s="4" t="inlineStr">
        <is>
          <t>3.15.7-P5</t>
        </is>
      </c>
      <c r="B56" s="4" t="inlineStr">
        <is>
          <t>3.15.7</t>
        </is>
      </c>
      <c r="C56" s="4" t="inlineStr">
        <is>
          <t>mrcs</t>
        </is>
      </c>
      <c r="D56" s="4" t="inlineStr">
        <is>
          <t>Reassure recreational runners that regular running is not established as a cause of knee arthritis.</t>
        </is>
      </c>
      <c r="E56" s="4" t="inlineStr"/>
      <c r="F56" s="4" t="inlineStr"/>
      <c r="G56" s="4" t="inlineStr"/>
    </row>
    <row r="57">
      <c r="A57" s="4" t="inlineStr">
        <is>
          <t>3.15.7-P6</t>
        </is>
      </c>
      <c r="B57" s="4" t="inlineStr">
        <is>
          <t>3.15.7</t>
        </is>
      </c>
      <c r="C57" s="4" t="inlineStr">
        <is>
          <t>mrcs</t>
        </is>
      </c>
      <c r="D57" s="4" t="inlineStr">
        <is>
          <t>State the survivor bias when applying elite athletics findings to a recreational patient.</t>
        </is>
      </c>
      <c r="E57" s="4" t="inlineStr"/>
      <c r="F57" s="4" t="inlineStr"/>
      <c r="G57" s="4" t="inlineStr"/>
    </row>
    <row r="58">
      <c r="A58" s="4" t="inlineStr">
        <is>
          <t>3.15.7-P7</t>
        </is>
      </c>
      <c r="B58" s="4" t="inlineStr">
        <is>
          <t>3.15.7</t>
        </is>
      </c>
      <c r="C58" s="4" t="inlineStr">
        <is>
          <t>mrcs</t>
        </is>
      </c>
      <c r="D58" s="4" t="inlineStr">
        <is>
          <t>Weigh the athlete's age, physiology, comorbidities, knee demand, psychological state and their own ideas, concerns and expectations, because an athlete's identity is often tied to continuing to train.</t>
        </is>
      </c>
      <c r="E58" s="4" t="inlineStr"/>
      <c r="F58" s="4" t="inlineStr"/>
      <c r="G58" s="4" t="inlineStr"/>
    </row>
    <row r="59">
      <c r="A59" s="4" t="inlineStr">
        <is>
          <t>3.15.8-P1</t>
        </is>
      </c>
      <c r="B59" s="4" t="inlineStr">
        <is>
          <t>3.15.8</t>
        </is>
      </c>
      <c r="C59" s="4" t="inlineStr">
        <is>
          <t>medical_student</t>
        </is>
      </c>
      <c r="D59" s="4" t="inlineStr">
        <is>
          <t>Take a bike setup history, since the setup is the exposure here.</t>
        </is>
      </c>
      <c r="E59" s="4" t="inlineStr"/>
      <c r="F59" s="4" t="inlineStr"/>
      <c r="G59" s="4" t="inlineStr"/>
    </row>
    <row r="60">
      <c r="A60" s="4" t="inlineStr">
        <is>
          <t>3.15.8-P2</t>
        </is>
      </c>
      <c r="B60" s="4" t="inlineStr">
        <is>
          <t>3.15.8</t>
        </is>
      </c>
      <c r="C60" s="4" t="inlineStr">
        <is>
          <t>medical_student</t>
        </is>
      </c>
      <c r="D60" s="4" t="inlineStr">
        <is>
          <t>Avoid quoting injury rates, which this page does not, because no source was available.</t>
        </is>
      </c>
      <c r="E60" s="4" t="inlineStr"/>
      <c r="F60" s="4" t="inlineStr"/>
      <c r="G60" s="4" t="inlineStr"/>
    </row>
    <row r="61">
      <c r="A61" s="4" t="inlineStr">
        <is>
          <t>3.15.8-P3</t>
        </is>
      </c>
      <c r="B61" s="4" t="inlineStr">
        <is>
          <t>3.15.8</t>
        </is>
      </c>
      <c r="C61" s="4" t="inlineStr">
        <is>
          <t>mrcs</t>
        </is>
      </c>
      <c r="D61" s="4" t="inlineStr">
        <is>
          <t>Refer for a dynamic bike fit rather than adjusting by rule of thumb, since the measurement is available in this sport.</t>
        </is>
      </c>
      <c r="E61" s="4" t="inlineStr"/>
      <c r="F61" s="4" t="inlineStr"/>
      <c r="G61" s="4" t="inlineStr"/>
    </row>
    <row r="62">
      <c r="A62" s="4" t="inlineStr">
        <is>
          <t>3.15.8-P4</t>
        </is>
      </c>
      <c r="B62" s="4" t="inlineStr">
        <is>
          <t>3.15.8</t>
        </is>
      </c>
      <c r="C62" s="4" t="inlineStr">
        <is>
          <t>mrcs</t>
        </is>
      </c>
      <c r="D62" s="4" t="inlineStr">
        <is>
          <t>Weigh the rider's age, physiology, comorbidities, knee demand, psychological state and their own ideas, concerns and expectations, since a fit changes a position the rider may have held for years.</t>
        </is>
      </c>
      <c r="E62" s="4" t="inlineStr"/>
      <c r="F62" s="4" t="inlineStr"/>
      <c r="G62" s="4" t="inlineStr"/>
    </row>
    <row r="63">
      <c r="A63" s="4" t="inlineStr">
        <is>
          <t>3.15.9-P1</t>
        </is>
      </c>
      <c r="B63" s="4" t="inlineStr">
        <is>
          <t>3.15.9</t>
        </is>
      </c>
      <c r="C63" s="4" t="inlineStr">
        <is>
          <t>medical_student</t>
        </is>
      </c>
      <c r="D63" s="4" t="inlineStr">
        <is>
          <t>Ask about foot position and footwear, both of which are simple modifications.</t>
        </is>
      </c>
      <c r="E63" s="4" t="inlineStr"/>
      <c r="F63" s="4" t="inlineStr"/>
      <c r="G63" s="4" t="inlineStr"/>
    </row>
    <row r="64">
      <c r="A64" s="4" t="inlineStr">
        <is>
          <t>3.15.9-P2</t>
        </is>
      </c>
      <c r="B64" s="4" t="inlineStr">
        <is>
          <t>3.15.9</t>
        </is>
      </c>
      <c r="C64" s="4" t="inlineStr">
        <is>
          <t>mrcs</t>
        </is>
      </c>
      <c r="D64" s="4" t="inlineStr">
        <is>
          <t>Measure lead hip internal rotation, since restriction there transfers demand to the knee.</t>
        </is>
      </c>
      <c r="E64" s="4" t="inlineStr"/>
      <c r="F64" s="4" t="inlineStr"/>
      <c r="G64" s="4" t="inlineStr"/>
    </row>
    <row r="65">
      <c r="A65" s="4" t="inlineStr">
        <is>
          <t>3.15.9-P3</t>
        </is>
      </c>
      <c r="B65" s="4" t="inlineStr">
        <is>
          <t>3.15.9</t>
        </is>
      </c>
      <c r="C65" s="4" t="inlineStr">
        <is>
          <t>mrcs</t>
        </is>
      </c>
      <c r="D65" s="4" t="inlineStr">
        <is>
          <t>Expect medial and patellofemoral symptoms in the lead knee rather than instability.</t>
        </is>
      </c>
      <c r="E65" s="4" t="inlineStr"/>
      <c r="F65" s="4" t="inlineStr"/>
      <c r="G65" s="4" t="inlineStr"/>
    </row>
    <row r="66">
      <c r="A66" s="4" t="inlineStr">
        <is>
          <t>3.15.9-P4</t>
        </is>
      </c>
      <c r="B66" s="4" t="inlineStr">
        <is>
          <t>3.15.9</t>
        </is>
      </c>
      <c r="C66" s="4" t="inlineStr">
        <is>
          <t>mrcs</t>
        </is>
      </c>
      <c r="D66" s="4" t="inlineStr">
        <is>
          <t>Weigh the player's age, physiology, comorbidities, knee demand, psychological state and their own ideas, concerns and expectations, because for many of these patients golf is the activity that keeps them walking.</t>
        </is>
      </c>
      <c r="E66" s="4" t="inlineStr"/>
      <c r="F66" s="4" t="inlineStr"/>
      <c r="G66" s="4" t="inlineStr"/>
    </row>
    <row r="67">
      <c r="A67" s="4" t="inlineStr">
        <is>
          <t>3.15.10-P1</t>
        </is>
      </c>
      <c r="B67" s="4" t="inlineStr">
        <is>
          <t>3.15.10</t>
        </is>
      </c>
      <c r="C67" s="4" t="inlineStr">
        <is>
          <t>medical_student</t>
        </is>
      </c>
      <c r="D67" s="4" t="inlineStr">
        <is>
          <t>Measure hip external rotation and compare it with standing turnout, since the gap is the mechanism.</t>
        </is>
      </c>
      <c r="E67" s="4" t="inlineStr"/>
      <c r="F67" s="4" t="inlineStr"/>
      <c r="G67" s="4" t="inlineStr"/>
    </row>
    <row r="68">
      <c r="A68" s="4" t="inlineStr">
        <is>
          <t>3.15.10-P2</t>
        </is>
      </c>
      <c r="B68" s="4" t="inlineStr">
        <is>
          <t>3.15.10</t>
        </is>
      </c>
      <c r="C68" s="4" t="inlineStr">
        <is>
          <t>medical_student</t>
        </is>
      </c>
      <c r="D68" s="4" t="inlineStr">
        <is>
          <t>Ask which position reproduces the pain, because dance pain is often position specific.</t>
        </is>
      </c>
      <c r="E68" s="4" t="inlineStr"/>
      <c r="F68" s="4" t="inlineStr"/>
      <c r="G68" s="4" t="inlineStr"/>
    </row>
    <row r="69">
      <c r="A69" s="4" t="inlineStr">
        <is>
          <t>3.15.10-P3</t>
        </is>
      </c>
      <c r="B69" s="4" t="inlineStr">
        <is>
          <t>3.15.10</t>
        </is>
      </c>
      <c r="C69" s="4" t="inlineStr">
        <is>
          <t>medical_student</t>
        </is>
      </c>
      <c r="D69" s="4" t="inlineStr">
        <is>
          <t>Consider hypermobility, which changes the assessment and the rehabilitation.</t>
        </is>
      </c>
      <c r="E69" s="4" t="inlineStr"/>
      <c r="F69" s="4" t="inlineStr"/>
      <c r="G69" s="4" t="inlineStr"/>
    </row>
    <row r="70">
      <c r="A70" s="4" t="inlineStr">
        <is>
          <t>3.15.10-P4</t>
        </is>
      </c>
      <c r="B70" s="4" t="inlineStr">
        <is>
          <t>3.15.10</t>
        </is>
      </c>
      <c r="C70" s="4" t="inlineStr">
        <is>
          <t>medical_student</t>
        </is>
      </c>
      <c r="D70" s="4" t="inlineStr">
        <is>
          <t>Avoid quoting injury rates, which this page does not, because no source was available.</t>
        </is>
      </c>
      <c r="E70" s="4" t="inlineStr"/>
      <c r="F70" s="4" t="inlineStr"/>
      <c r="G70" s="4" t="inlineStr"/>
    </row>
    <row r="71">
      <c r="A71" s="4" t="inlineStr">
        <is>
          <t>3.15.10-P5</t>
        </is>
      </c>
      <c r="B71" s="4" t="inlineStr">
        <is>
          <t>3.15.10</t>
        </is>
      </c>
      <c r="C71" s="4" t="inlineStr">
        <is>
          <t>mrcs</t>
        </is>
      </c>
      <c r="D71" s="4" t="inlineStr">
        <is>
          <t>Measure the gap between hip rotation and functional turnout, which is the mechanism and the modifiable target.</t>
        </is>
      </c>
      <c r="E71" s="4" t="inlineStr"/>
      <c r="F71" s="4" t="inlineStr"/>
      <c r="G71" s="4" t="inlineStr"/>
    </row>
    <row r="72">
      <c r="A72" s="4" t="inlineStr">
        <is>
          <t>3.15.10-P6</t>
        </is>
      </c>
      <c r="B72" s="4" t="inlineStr">
        <is>
          <t>3.15.10</t>
        </is>
      </c>
      <c r="C72" s="4" t="inlineStr">
        <is>
          <t>mrcs</t>
        </is>
      </c>
      <c r="D72" s="4" t="inlineStr">
        <is>
          <t>Assess hypermobility, since it alters both the presentation and the rehabilitation.</t>
        </is>
      </c>
      <c r="E72" s="4" t="inlineStr"/>
      <c r="F72" s="4" t="inlineStr"/>
      <c r="G72" s="4" t="inlineStr"/>
    </row>
    <row r="73">
      <c r="A73" s="4" t="inlineStr">
        <is>
          <t>3.15.10-P7</t>
        </is>
      </c>
      <c r="B73" s="4" t="inlineStr">
        <is>
          <t>3.15.10</t>
        </is>
      </c>
      <c r="C73" s="4" t="inlineStr">
        <is>
          <t>mrcs</t>
        </is>
      </c>
      <c r="D73" s="4" t="inlineStr">
        <is>
          <t>Recognise that a safer technique may not be an acceptable one in this discipline, which is unusual among the sports here.</t>
        </is>
      </c>
      <c r="E73" s="4" t="inlineStr"/>
      <c r="F73" s="4" t="inlineStr"/>
      <c r="G73" s="4" t="inlineStr"/>
    </row>
    <row r="74">
      <c r="A74" s="4" t="inlineStr">
        <is>
          <t>3.15.10-P8</t>
        </is>
      </c>
      <c r="B74" s="4" t="inlineStr">
        <is>
          <t>3.15.10</t>
        </is>
      </c>
      <c r="C74" s="4" t="inlineStr">
        <is>
          <t>mrcs</t>
        </is>
      </c>
      <c r="D74" s="4" t="inlineStr">
        <is>
          <t>Weigh the dancer's age, physiology, comorbidities, knee demand, psychological state and their own ideas, concerns and expectations, because vocational training through childhood makes the stakes of a restriction unusually high.</t>
        </is>
      </c>
      <c r="E74" s="4" t="inlineStr"/>
      <c r="F74" s="4" t="inlineStr"/>
      <c r="G74" s="4" t="inlineStr"/>
    </row>
  </sheetData>
  <dataValidations count="1">
    <dataValidation sqref="E3:E74"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3.15.1-F1</t>
        </is>
      </c>
      <c r="B3" s="4" t="inlineStr">
        <is>
          <t>3.15.1</t>
        </is>
      </c>
      <c r="C3" s="4" t="inlineStr">
        <is>
          <t>mrcs</t>
        </is>
      </c>
      <c r="D3" s="4" t="inlineStr">
        <is>
          <t>50</t>
        </is>
      </c>
      <c r="E3" s="4" t="inlineStr">
        <is>
          <t>Non contact cruciate injury occurs within the first 50 milliseconds of foot contact, before voluntary correction is possible.</t>
        </is>
      </c>
      <c r="F3" s="4" t="inlineStr"/>
      <c r="G3" s="4" t="inlineStr"/>
      <c r="H3" s="4" t="inlineStr"/>
    </row>
    <row r="4">
      <c r="A4" s="4" t="inlineStr">
        <is>
          <t>3.15.6-F1</t>
        </is>
      </c>
      <c r="B4" s="4" t="inlineStr">
        <is>
          <t>3.15.6</t>
        </is>
      </c>
      <c r="C4" s="4" t="inlineStr">
        <is>
          <t>mrcs</t>
        </is>
      </c>
      <c r="D4" s="4" t="inlineStr">
        <is>
          <t>90 degrees</t>
        </is>
      </c>
      <c r="E4" s="4" t="inlineStr">
        <is>
          <t>The phantom foot position combines flexion beyond 90 degrees, internal tibial rotation and valgus, which is an efficient anterior cruciate loading configuration.</t>
        </is>
      </c>
      <c r="F4" s="4" t="inlineStr"/>
      <c r="G4" s="4" t="inlineStr"/>
      <c r="H4" s="4" t="inlineStr"/>
    </row>
    <row r="5">
      <c r="A5" s="4" t="inlineStr">
        <is>
          <t>3.15.8-F1</t>
        </is>
      </c>
      <c r="B5" s="4" t="inlineStr">
        <is>
          <t>3.15.8</t>
        </is>
      </c>
      <c r="C5" s="4" t="inlineStr">
        <is>
          <t>medical_student</t>
        </is>
      </c>
      <c r="D5" s="4" t="inlineStr">
        <is>
          <t>80</t>
        </is>
      </c>
      <c r="E5" s="4" t="inlineStr">
        <is>
          <t>Pedalling cadence of 80 to 90 revolutions per minute gives around five thousand knee flexion cycles an hour per limb.</t>
        </is>
      </c>
      <c r="F5" s="4" t="inlineStr"/>
      <c r="G5" s="4" t="inlineStr"/>
      <c r="H5" s="4" t="inlineStr"/>
    </row>
    <row r="6">
      <c r="A6" s="4" t="inlineStr">
        <is>
          <t>3.15.8-F2</t>
        </is>
      </c>
      <c r="B6" s="4" t="inlineStr">
        <is>
          <t>3.15.8</t>
        </is>
      </c>
      <c r="C6" s="4" t="inlineStr">
        <is>
          <t>medical_student</t>
        </is>
      </c>
      <c r="D6" s="4" t="inlineStr">
        <is>
          <t>90</t>
        </is>
      </c>
      <c r="E6" s="4" t="inlineStr">
        <is>
          <t>Pedalling cadence of 80 to 90 revolutions per minute gives around five thousand knee flexion cycles an hour per limb.</t>
        </is>
      </c>
      <c r="F6" s="4" t="inlineStr"/>
      <c r="G6" s="4" t="inlineStr"/>
      <c r="H6" s="4" t="inlineStr"/>
    </row>
  </sheetData>
  <dataValidations count="1">
    <dataValidation sqref="F3:F6"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72</f>
        <v/>
      </c>
      <c r="C2" s="3">
        <f>4</f>
        <v/>
      </c>
    </row>
    <row r="3">
      <c r="A3" s="2" t="inlineStr">
        <is>
          <t>Decided</t>
        </is>
      </c>
      <c r="B3" s="3">
        <f>COUNTIF(Recommendations!E3:E74,"&lt;&gt;")</f>
        <v/>
      </c>
      <c r="C3" s="3">
        <f>COUNTIF(Measurements!F3:F6,"&lt;&gt;")</f>
        <v/>
      </c>
    </row>
    <row r="4">
      <c r="A4" s="2" t="inlineStr">
        <is>
          <t>Still blank</t>
        </is>
      </c>
      <c r="B4" s="3">
        <f>B2-B3</f>
        <v/>
      </c>
      <c r="C4" s="3">
        <f>C2-C3</f>
        <v/>
      </c>
    </row>
    <row r="5">
      <c r="A5" s="2" t="inlineStr">
        <is>
          <t>CONFIRMED</t>
        </is>
      </c>
      <c r="B5" s="3">
        <f>COUNTIF(Recommendations!E3:E74,"CONFIRMED")</f>
        <v/>
      </c>
      <c r="C5" s="3" t="inlineStr"/>
    </row>
    <row r="6">
      <c r="A6" s="2" t="inlineStr">
        <is>
          <t>AMENDED</t>
        </is>
      </c>
      <c r="B6" s="3">
        <f>COUNTIF(Recommendations!E3:E74,"AMENDED")</f>
        <v/>
      </c>
      <c r="C6" s="3" t="inlineStr"/>
    </row>
    <row r="7">
      <c r="A7" s="2" t="inlineStr">
        <is>
          <t>WITHDRAWN</t>
        </is>
      </c>
      <c r="B7" s="3">
        <f>COUNTIF(Recommendations!E3:E74,"WITHDRAWN")</f>
        <v/>
      </c>
      <c r="C7" s="3" t="inlineStr"/>
    </row>
    <row r="8">
      <c r="A8" s="2" t="inlineStr">
        <is>
          <t>NOT_CLINICAL</t>
        </is>
      </c>
      <c r="B8" s="3">
        <f>COUNTIF(Recommendations!E3:E74,"NOT_CLINICAL")</f>
        <v/>
      </c>
      <c r="C8" s="3" t="inlineStr"/>
    </row>
    <row r="9">
      <c r="A9" s="2" t="inlineStr">
        <is>
          <t>VERIFIED</t>
        </is>
      </c>
      <c r="B9" s="3" t="inlineStr"/>
      <c r="C9" s="3">
        <f>COUNTIF(Measurements!F3:F6,"VERIFIED")</f>
        <v/>
      </c>
    </row>
    <row r="10">
      <c r="A10" s="2" t="inlineStr">
        <is>
          <t>CORRECTED</t>
        </is>
      </c>
      <c r="B10" s="3" t="inlineStr"/>
      <c r="C10" s="3">
        <f>COUNTIF(Measurements!F3:F6,"CORRECTED")</f>
        <v/>
      </c>
    </row>
    <row r="11">
      <c r="A11" s="2" t="inlineStr">
        <is>
          <t>REMOVED</t>
        </is>
      </c>
      <c r="B11" s="3" t="inlineStr"/>
      <c r="C11" s="3">
        <f>COUNTIF(Measurements!F3:F6,"REMOVED")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2026-10-10T22:29:07Z</dcterms:created>
  <dcterms:modified xmlns:dcterms="http://purl.org/dc/terms/" xmlns:xsi="http://www.w3.org/2001/XMLSchema-instance" xsi:type="dcterms:W3CDTF">2026-10-10T22:29:07Z</dcterms:modified>
</cp:coreProperties>
</file>