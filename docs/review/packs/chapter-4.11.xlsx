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4.11 PCL Examination</t>
        </is>
      </c>
    </row>
    <row r="3">
      <c r="A3" s="2" t="inlineStr">
        <is>
          <t>Section</t>
        </is>
      </c>
      <c r="B3" s="3" t="inlineStr">
        <is>
          <t>4</t>
        </is>
      </c>
    </row>
    <row r="4">
      <c r="A4" s="2" t="inlineStr">
        <is>
          <t>Chapter</t>
        </is>
      </c>
      <c r="B4" s="3" t="inlineStr">
        <is>
          <t>4.11 PCL Examination</t>
        </is>
      </c>
    </row>
    <row r="5">
      <c r="A5" s="2" t="inlineStr">
        <is>
          <t>Pages</t>
        </is>
      </c>
      <c r="B5" s="3" t="n">
        <v>7</v>
      </c>
    </row>
    <row r="6">
      <c r="A6" s="2" t="inlineStr">
        <is>
          <t>Page type</t>
        </is>
      </c>
      <c r="B6" s="3" t="inlineStr">
        <is>
          <t>examination</t>
        </is>
      </c>
    </row>
    <row r="7">
      <c r="A7" s="2" t="inlineStr">
        <is>
          <t>Tiers</t>
        </is>
      </c>
      <c r="B7" s="3" t="inlineStr">
        <is>
          <t>medical student, mrcs, frcs, fellowship</t>
        </is>
      </c>
    </row>
    <row r="8">
      <c r="A8" s="2" t="inlineStr">
        <is>
          <t>Words</t>
        </is>
      </c>
      <c r="B8" s="3" t="inlineStr">
        <is>
          <t>11,453</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14</v>
      </c>
    </row>
    <row r="12">
      <c r="A12" s="2" t="inlineStr">
        <is>
          <t>Recommendations to sign</t>
        </is>
      </c>
      <c r="B12" s="3" t="n">
        <v>10</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4.11.1</t>
        </is>
      </c>
      <c r="B2" s="6" t="inlineStr">
        <is>
          <t>Posterior Sag Sign</t>
        </is>
      </c>
      <c r="C2" s="6" t="n">
        <v>4</v>
      </c>
      <c r="D2" s="6" t="n">
        <v>1583</v>
      </c>
      <c r="E2" s="6" t="inlineStr">
        <is>
          <t>examination/posterior-sag-sign.html</t>
        </is>
      </c>
    </row>
    <row r="3">
      <c r="A3" s="6" t="inlineStr">
        <is>
          <t>4.11.2</t>
        </is>
      </c>
      <c r="B3" s="6" t="inlineStr">
        <is>
          <t>Posterior Drawer Test</t>
        </is>
      </c>
      <c r="C3" s="6" t="n">
        <v>4</v>
      </c>
      <c r="D3" s="6" t="n">
        <v>1631</v>
      </c>
      <c r="E3" s="6" t="inlineStr">
        <is>
          <t>examination/posterior-drawer-test.html</t>
        </is>
      </c>
    </row>
    <row r="4">
      <c r="A4" s="6" t="inlineStr">
        <is>
          <t>4.11.3</t>
        </is>
      </c>
      <c r="B4" s="6" t="inlineStr">
        <is>
          <t>Quadriceps Active Test</t>
        </is>
      </c>
      <c r="C4" s="6" t="n">
        <v>4</v>
      </c>
      <c r="D4" s="6" t="n">
        <v>1582</v>
      </c>
      <c r="E4" s="6" t="inlineStr">
        <is>
          <t>examination/quadriceps-active-test.html</t>
        </is>
      </c>
    </row>
    <row r="5">
      <c r="A5" s="6" t="inlineStr">
        <is>
          <t>4.11.4</t>
        </is>
      </c>
      <c r="B5" s="6" t="inlineStr">
        <is>
          <t>Reverse Pivot Shift</t>
        </is>
      </c>
      <c r="C5" s="6" t="n">
        <v>4</v>
      </c>
      <c r="D5" s="6" t="n">
        <v>1576</v>
      </c>
      <c r="E5" s="6" t="inlineStr">
        <is>
          <t>examination/reverse-pivot-shift.html</t>
        </is>
      </c>
    </row>
    <row r="6">
      <c r="A6" s="6" t="inlineStr">
        <is>
          <t>4.11.5</t>
        </is>
      </c>
      <c r="B6" s="6" t="inlineStr">
        <is>
          <t>Dynamic PCL Examination</t>
        </is>
      </c>
      <c r="C6" s="6" t="n">
        <v>4</v>
      </c>
      <c r="D6" s="6" t="n">
        <v>1653</v>
      </c>
      <c r="E6" s="6" t="inlineStr">
        <is>
          <t>examination/dynamic-pcl-examination.html</t>
        </is>
      </c>
    </row>
    <row r="7">
      <c r="A7" s="6" t="inlineStr">
        <is>
          <t>4.11.6</t>
        </is>
      </c>
      <c r="B7" s="6" t="inlineStr">
        <is>
          <t>Chronic PCL Deficiency</t>
        </is>
      </c>
      <c r="C7" s="6" t="n">
        <v>4</v>
      </c>
      <c r="D7" s="6" t="n">
        <v>1660</v>
      </c>
      <c r="E7" s="6" t="inlineStr">
        <is>
          <t>examination/chronic-pcl-deficiency.html</t>
        </is>
      </c>
    </row>
    <row r="8">
      <c r="A8" s="6" t="inlineStr">
        <is>
          <t>4.11.7</t>
        </is>
      </c>
      <c r="B8" s="6" t="inlineStr">
        <is>
          <t>Combined Ligament Injury Assessment</t>
        </is>
      </c>
      <c r="C8" s="6" t="n">
        <v>4</v>
      </c>
      <c r="D8" s="6" t="n">
        <v>1768</v>
      </c>
      <c r="E8" s="6" t="inlineStr">
        <is>
          <t>examination/combined-ligament-injury-assessment.html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6"/>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4.11.1</t>
        </is>
      </c>
      <c r="B2" s="4" t="inlineStr">
        <is>
          <t>Posterior Sag Sign</t>
        </is>
      </c>
      <c r="C2" s="4" t="inlineStr">
        <is>
          <t>A recurrent sag after reconstruction is either a stretched graft or a missed corner injury.</t>
        </is>
      </c>
    </row>
    <row r="3">
      <c r="A3" s="4" t="inlineStr">
        <is>
          <t>4.11.1</t>
        </is>
      </c>
      <c r="B3" s="4" t="inlineStr">
        <is>
          <t>Posterior Sag Sign</t>
        </is>
      </c>
      <c r="C3" s="4" t="inlineStr">
        <is>
          <t>A sag appearing between two visits is a trajectory, and it changes plans more often than a single reading.</t>
        </is>
      </c>
    </row>
    <row r="4">
      <c r="A4" s="4" t="inlineStr">
        <is>
          <t>4.11.1</t>
        </is>
      </c>
      <c r="B4" s="4" t="inlineStr">
        <is>
          <t>Posterior Sag Sign</t>
        </is>
      </c>
      <c r="C4" s="4" t="inlineStr">
        <is>
          <t>Reconstructing the cruciate into an unaddressed corner injury is a common cause of graft stretch.</t>
        </is>
      </c>
    </row>
    <row r="5">
      <c r="A5" s="4" t="inlineStr">
        <is>
          <t>4.11.1</t>
        </is>
      </c>
      <c r="B5" s="4" t="inlineStr">
        <is>
          <t>Posterior Sag Sign</t>
        </is>
      </c>
      <c r="C5" s="4" t="inlineStr">
        <is>
          <t>A visible sag is often the first finding in a patient referred with patellofemoral pain.</t>
        </is>
      </c>
    </row>
    <row r="6">
      <c r="A6" s="4" t="inlineStr">
        <is>
          <t>4.11.1</t>
        </is>
      </c>
      <c r="B6" s="4" t="inlineStr">
        <is>
          <t>Posterior Sag Sign</t>
        </is>
      </c>
      <c r="C6" s="4" t="inlineStr">
        <is>
          <t>The sign needs the earlier examination to have been recorded as a step off, not as a grade.</t>
        </is>
      </c>
    </row>
    <row r="7">
      <c r="A7" s="4" t="inlineStr">
        <is>
          <t>4.11.2</t>
        </is>
      </c>
      <c r="B7" s="4" t="inlineStr">
        <is>
          <t>Posterior Drawer Test</t>
        </is>
      </c>
      <c r="C7" s="4" t="inlineStr">
        <is>
          <t>A grade recorded without the step off and the rotation is near useless at the second assessment.</t>
        </is>
      </c>
    </row>
    <row r="8">
      <c r="A8" s="4" t="inlineStr">
        <is>
          <t>4.11.2</t>
        </is>
      </c>
      <c r="B8" s="4" t="inlineStr">
        <is>
          <t>Posterior Drawer Test</t>
        </is>
      </c>
      <c r="C8" s="4" t="inlineStr">
        <is>
          <t>After reconstruction, expect a restored step off with a firm endpoint and slightly more translation.</t>
        </is>
      </c>
    </row>
    <row r="9">
      <c r="A9" s="4" t="inlineStr">
        <is>
          <t>4.11.2</t>
        </is>
      </c>
      <c r="B9" s="4" t="inlineStr">
        <is>
          <t>Posterior Drawer Test</t>
        </is>
      </c>
      <c r="C9" s="4" t="inlineStr">
        <is>
          <t>A soft endpoint after reconstruction is graft failure; a progressive increase is graft stretch.</t>
        </is>
      </c>
    </row>
    <row r="10">
      <c r="A10" s="4" t="inlineStr">
        <is>
          <t>4.11.2</t>
        </is>
      </c>
      <c r="B10" s="4" t="inlineStr">
        <is>
          <t>Posterior Drawer Test</t>
        </is>
      </c>
      <c r="C10" s="4" t="inlineStr">
        <is>
          <t>An unaddressed posterolateral corner is the commonest cause of that stretch, and the dial test finds it.</t>
        </is>
      </c>
    </row>
    <row r="11">
      <c r="A11" s="4" t="inlineStr">
        <is>
          <t>4.11.2</t>
        </is>
      </c>
      <c r="B11" s="4" t="inlineStr">
        <is>
          <t>Posterior Drawer Test</t>
        </is>
      </c>
      <c r="C11" s="4" t="inlineStr">
        <is>
          <t>Examination under anaesthesia is where second and third degree are genuinely separated.</t>
        </is>
      </c>
    </row>
    <row r="12">
      <c r="A12" s="4" t="inlineStr">
        <is>
          <t>4.11.3</t>
        </is>
      </c>
      <c r="B12" s="4" t="inlineStr">
        <is>
          <t>Quadriceps Active Test</t>
        </is>
      </c>
      <c r="C12" s="4" t="inlineStr">
        <is>
          <t>A positive test recorded acutely is good evidence the tibia was subluxed at the time.</t>
        </is>
      </c>
    </row>
    <row r="13">
      <c r="A13" s="4" t="inlineStr">
        <is>
          <t>4.11.3</t>
        </is>
      </c>
      <c r="B13" s="4" t="inlineStr">
        <is>
          <t>Quadriceps Active Test</t>
        </is>
      </c>
      <c r="C13" s="4" t="inlineStr">
        <is>
          <t>A negative test recorded acutely is weak evidence, because non cooperation is rarely written down.</t>
        </is>
      </c>
    </row>
    <row r="14">
      <c r="A14" s="4" t="inlineStr">
        <is>
          <t>4.11.3</t>
        </is>
      </c>
      <c r="B14" s="4" t="inlineStr">
        <is>
          <t>Quadriceps Active Test</t>
        </is>
      </c>
      <c r="C14" s="4" t="inlineStr">
        <is>
          <t>After reconstruction the test loses its meaning, since a holding graft leaves nothing to reduce.</t>
        </is>
      </c>
    </row>
    <row r="15">
      <c r="A15" s="4" t="inlineStr">
        <is>
          <t>4.11.3</t>
        </is>
      </c>
      <c r="B15" s="4" t="inlineStr">
        <is>
          <t>Quadriceps Active Test</t>
        </is>
      </c>
      <c r="C15" s="4" t="inlineStr">
        <is>
          <t>A positive result never licenses the word isolated.</t>
        </is>
      </c>
    </row>
    <row r="16">
      <c r="A16" s="4" t="inlineStr">
        <is>
          <t>4.11.3</t>
        </is>
      </c>
      <c r="B16" s="4" t="inlineStr">
        <is>
          <t>Quadriceps Active Test</t>
        </is>
      </c>
      <c r="C16" s="4" t="inlineStr">
        <is>
          <t>In medicolegal work the absent test and the negative test are the distinction that matters.</t>
        </is>
      </c>
    </row>
    <row r="17">
      <c r="A17" s="4" t="inlineStr">
        <is>
          <t>4.11.4</t>
        </is>
      </c>
      <c r="B17" s="4" t="inlineStr">
        <is>
          <t>Reverse Pivot Shift</t>
        </is>
      </c>
      <c r="C17" s="4" t="inlineStr">
        <is>
          <t>The classic revision case is a stretched cruciate graft in a knee whose corner was never addressed.</t>
        </is>
      </c>
    </row>
    <row r="18">
      <c r="A18" s="4" t="inlineStr">
        <is>
          <t>4.11.4</t>
        </is>
      </c>
      <c r="B18" s="4" t="inlineStr">
        <is>
          <t>Reverse Pivot Shift</t>
        </is>
      </c>
      <c r="C18" s="4" t="inlineStr">
        <is>
          <t>A positive test after corner reconstruction suggests rotational control has failed.</t>
        </is>
      </c>
    </row>
    <row r="19">
      <c r="A19" s="4" t="inlineStr">
        <is>
          <t>4.11.4</t>
        </is>
      </c>
      <c r="B19" s="4" t="inlineStr">
        <is>
          <t>Reverse Pivot Shift</t>
        </is>
      </c>
      <c r="C19" s="4" t="inlineStr">
        <is>
          <t>A persistent positive result in a stable, symptom free knee is not a reason to reoperate.</t>
        </is>
      </c>
    </row>
    <row r="20">
      <c r="A20" s="4" t="inlineStr">
        <is>
          <t>4.11.4</t>
        </is>
      </c>
      <c r="B20" s="4" t="inlineStr">
        <is>
          <t>Reverse Pivot Shift</t>
        </is>
      </c>
      <c r="C20" s="4" t="inlineStr">
        <is>
          <t>A fixed posterior subluxation cannot shift, so the worst knee can read as negative.</t>
        </is>
      </c>
    </row>
    <row r="21">
      <c r="A21" s="4" t="inlineStr">
        <is>
          <t>4.11.4</t>
        </is>
      </c>
      <c r="B21" s="4" t="inlineStr">
        <is>
          <t>Reverse Pivot Shift</t>
        </is>
      </c>
      <c r="C21" s="4" t="inlineStr">
        <is>
          <t>Previous lateral soft tissue surgery removes the mechanism the test depends on.</t>
        </is>
      </c>
    </row>
    <row r="22">
      <c r="A22" s="4" t="inlineStr">
        <is>
          <t>4.11.5</t>
        </is>
      </c>
      <c r="B22" s="4" t="inlineStr">
        <is>
          <t>Dynamic PCL Examination</t>
        </is>
      </c>
      <c r="C22" s="4" t="inlineStr">
        <is>
          <t>Watching a patient descend a step separates a mechanical problem from a confidence problem.</t>
        </is>
      </c>
    </row>
    <row r="23">
      <c r="A23" s="4" t="inlineStr">
        <is>
          <t>4.11.5</t>
        </is>
      </c>
      <c r="B23" s="4" t="inlineStr">
        <is>
          <t>Dynamic PCL Examination</t>
        </is>
      </c>
      <c r="C23" s="4" t="inlineStr">
        <is>
          <t>Deteriorating gait with an unchanged drawer points at the corner or at compartment change.</t>
        </is>
      </c>
    </row>
    <row r="24">
      <c r="A24" s="4" t="inlineStr">
        <is>
          <t>4.11.5</t>
        </is>
      </c>
      <c r="B24" s="4" t="inlineStr">
        <is>
          <t>Dynamic PCL Examination</t>
        </is>
      </c>
      <c r="C24" s="4" t="inlineStr">
        <is>
          <t>Unrecovered quadriceps wasting is the finding most predictive of persistent complaint.</t>
        </is>
      </c>
    </row>
    <row r="25">
      <c r="A25" s="4" t="inlineStr">
        <is>
          <t>4.11.5</t>
        </is>
      </c>
      <c r="B25" s="4" t="inlineStr">
        <is>
          <t>Dynamic PCL Examination</t>
        </is>
      </c>
      <c r="C25" s="4" t="inlineStr">
        <is>
          <t>A knee that walks worse than it measures, with no corner signs, raises whether the knee is the problem.</t>
        </is>
      </c>
    </row>
    <row r="26">
      <c r="A26" s="4" t="inlineStr">
        <is>
          <t>4.11.5</t>
        </is>
      </c>
      <c r="B26" s="4" t="inlineStr">
        <is>
          <t>Dynamic PCL Examination</t>
        </is>
      </c>
      <c r="C26" s="4" t="inlineStr">
        <is>
          <t>An athlete who passes a step down can still fail a deceleration, which the clinic cannot show.</t>
        </is>
      </c>
    </row>
    <row r="27">
      <c r="A27" s="4" t="inlineStr">
        <is>
          <t>4.11.6</t>
        </is>
      </c>
      <c r="B27" s="4" t="inlineStr">
        <is>
          <t>Chronic PCL Deficiency</t>
        </is>
      </c>
      <c r="C27" s="4" t="inlineStr">
        <is>
          <t>The chronic knee usually arrives under a different label, and the examination relabels it.</t>
        </is>
      </c>
    </row>
    <row r="28">
      <c r="A28" s="4" t="inlineStr">
        <is>
          <t>4.11.6</t>
        </is>
      </c>
      <c r="B28" s="4" t="inlineStr">
        <is>
          <t>Chronic PCL Deficiency</t>
        </is>
      </c>
      <c r="C28" s="4" t="inlineStr">
        <is>
          <t>A fixed posterior subluxation makes every test in the chapter read as mild.</t>
        </is>
      </c>
    </row>
    <row r="29">
      <c r="A29" s="4" t="inlineStr">
        <is>
          <t>4.11.6</t>
        </is>
      </c>
      <c r="B29" s="4" t="inlineStr">
        <is>
          <t>Chronic PCL Deficiency</t>
        </is>
      </c>
      <c r="C29" s="4" t="inlineStr">
        <is>
          <t>Tenderness sitting posteriorly on the medial joint line is a clue to the pattern of wear.</t>
        </is>
      </c>
    </row>
    <row r="30">
      <c r="A30" s="4" t="inlineStr">
        <is>
          <t>4.11.6</t>
        </is>
      </c>
      <c r="B30" s="4" t="inlineStr">
        <is>
          <t>Chronic PCL Deficiency</t>
        </is>
      </c>
      <c r="C30" s="4" t="inlineStr">
        <is>
          <t>Unchanged anterior pain after a sound reconstruction usually means the problem was never the ligament.</t>
        </is>
      </c>
    </row>
    <row r="31">
      <c r="A31" s="4" t="inlineStr">
        <is>
          <t>4.11.6</t>
        </is>
      </c>
      <c r="B31" s="4" t="inlineStr">
        <is>
          <t>Chronic PCL Deficiency</t>
        </is>
      </c>
      <c r="C31" s="4" t="inlineStr">
        <is>
          <t>Recording function separately from laxity is what makes a medicolegal opinion defensible.</t>
        </is>
      </c>
    </row>
    <row r="32">
      <c r="A32" s="4" t="inlineStr">
        <is>
          <t>4.11.7</t>
        </is>
      </c>
      <c r="B32" s="4" t="inlineStr">
        <is>
          <t>Combined Ligament Injury Assessment</t>
        </is>
      </c>
      <c r="C32" s="4" t="inlineStr">
        <is>
          <t>In revision practice the examination reconstructs what was missed rather than what was torn.</t>
        </is>
      </c>
    </row>
    <row r="33">
      <c r="A33" s="4" t="inlineStr">
        <is>
          <t>4.11.7</t>
        </is>
      </c>
      <c r="B33" s="4" t="inlineStr">
        <is>
          <t>Combined Ligament Injury Assessment</t>
        </is>
      </c>
      <c r="C33" s="4" t="inlineStr">
        <is>
          <t>A stretched cruciate graft and an uncontrolled corner are separated by the dial test, not the drawer.</t>
        </is>
      </c>
    </row>
    <row r="34">
      <c r="A34" s="4" t="inlineStr">
        <is>
          <t>4.11.7</t>
        </is>
      </c>
      <c r="B34" s="4" t="inlineStr">
        <is>
          <t>Combined Ligament Injury Assessment</t>
        </is>
      </c>
      <c r="C34" s="4" t="inlineStr">
        <is>
          <t>A tight lateral reconstruction can mask rotational laxity.</t>
        </is>
      </c>
    </row>
    <row r="35">
      <c r="A35" s="4" t="inlineStr">
        <is>
          <t>4.11.7</t>
        </is>
      </c>
      <c r="B35" s="4" t="inlineStr">
        <is>
          <t>Combined Ligament Injury Assessment</t>
        </is>
      </c>
      <c r="C35" s="4" t="inlineStr">
        <is>
          <t>Alignment and tibial slope are assessed before further soft tissue work.</t>
        </is>
      </c>
    </row>
    <row r="36">
      <c r="A36" s="4" t="inlineStr">
        <is>
          <t>4.11.7</t>
        </is>
      </c>
      <c r="B36" s="4" t="inlineStr">
        <is>
          <t>Combined Ligament Injury Assessment</t>
        </is>
      </c>
      <c r="C36" s="4" t="inlineStr">
        <is>
          <t>An incompletely recovered nerve palsy changes the dynamic examination permanently.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4.11.1-P1</t>
        </is>
      </c>
      <c r="B3" s="4" t="inlineStr">
        <is>
          <t>4.11.1</t>
        </is>
      </c>
      <c r="C3" s="4" t="inlineStr">
        <is>
          <t>medical_student</t>
        </is>
      </c>
      <c r="D3" s="4" t="inlineStr">
        <is>
          <t>Compare the two knees in the same glance.</t>
        </is>
      </c>
      <c r="E3" s="4" t="inlineStr"/>
      <c r="F3" s="4" t="inlineStr"/>
      <c r="G3" s="4" t="inlineStr"/>
    </row>
    <row r="4">
      <c r="A4" s="4" t="inlineStr">
        <is>
          <t>4.11.2-P1</t>
        </is>
      </c>
      <c r="B4" s="4" t="inlineStr">
        <is>
          <t>4.11.2</t>
        </is>
      </c>
      <c r="C4" s="4" t="inlineStr">
        <is>
          <t>medical_student</t>
        </is>
      </c>
      <c r="D4" s="4" t="inlineStr">
        <is>
          <t>Compare with the other knee, which is what makes the amount interpretable.</t>
        </is>
      </c>
      <c r="E4" s="4" t="inlineStr"/>
      <c r="F4" s="4" t="inlineStr"/>
      <c r="G4" s="4" t="inlineStr"/>
    </row>
    <row r="5">
      <c r="A5" s="4" t="inlineStr">
        <is>
          <t>4.11.3-P1</t>
        </is>
      </c>
      <c r="B5" s="4" t="inlineStr">
        <is>
          <t>4.11.3</t>
        </is>
      </c>
      <c r="C5" s="4" t="inlineStr">
        <is>
          <t>medical_student</t>
        </is>
      </c>
      <c r="D5" s="4" t="inlineStr">
        <is>
          <t>Ask the patient to slide the foot gently down the couch without lifting it, or to tense the thigh as if straightening the leg against your hand.</t>
        </is>
      </c>
      <c r="E5" s="4" t="inlineStr"/>
      <c r="F5" s="4" t="inlineStr"/>
      <c r="G5" s="4" t="inlineStr"/>
    </row>
    <row r="6">
      <c r="A6" s="4" t="inlineStr">
        <is>
          <t>4.11.4-P1</t>
        </is>
      </c>
      <c r="B6" s="4" t="inlineStr">
        <is>
          <t>4.11.4</t>
        </is>
      </c>
      <c r="C6" s="4" t="inlineStr">
        <is>
          <t>medical_student</t>
        </is>
      </c>
      <c r="D6" s="4" t="inlineStr">
        <is>
          <t>Compare with the other knee in exactly the same hands and the same forces, which matters more on this test than on any other in the chapter.</t>
        </is>
      </c>
      <c r="E6" s="4" t="inlineStr"/>
      <c r="F6" s="4" t="inlineStr"/>
      <c r="G6" s="4" t="inlineStr"/>
    </row>
    <row r="7">
      <c r="A7" s="4" t="inlineStr">
        <is>
          <t>4.11.5-P1</t>
        </is>
      </c>
      <c r="B7" s="4" t="inlineStr">
        <is>
          <t>4.11.5</t>
        </is>
      </c>
      <c r="C7" s="4" t="inlineStr">
        <is>
          <t>medical_student</t>
        </is>
      </c>
      <c r="D7" s="4" t="inlineStr">
        <is>
          <t>Ask the patient to squat, and watch whether the knee is willing to go to full flexion and whether they shift weight away from it.</t>
        </is>
      </c>
      <c r="E7" s="4" t="inlineStr"/>
      <c r="F7" s="4" t="inlineStr"/>
      <c r="G7" s="4" t="inlineStr"/>
    </row>
    <row r="8">
      <c r="A8" s="4" t="inlineStr">
        <is>
          <t>4.11.5-P2</t>
        </is>
      </c>
      <c r="B8" s="4" t="inlineStr">
        <is>
          <t>4.11.5</t>
        </is>
      </c>
      <c r="C8" s="4" t="inlineStr">
        <is>
          <t>medical_student</t>
        </is>
      </c>
      <c r="D8" s="4" t="inlineStr">
        <is>
          <t>Ask them to step down from a low step, leading with the affected leg.</t>
        </is>
      </c>
      <c r="E8" s="4" t="inlineStr"/>
      <c r="F8" s="4" t="inlineStr"/>
      <c r="G8" s="4" t="inlineStr"/>
    </row>
    <row r="9">
      <c r="A9" s="4" t="inlineStr">
        <is>
          <t>4.11.6-P1</t>
        </is>
      </c>
      <c r="B9" s="4" t="inlineStr">
        <is>
          <t>4.11.6</t>
        </is>
      </c>
      <c r="C9" s="4" t="inlineStr">
        <is>
          <t>medical_student</t>
        </is>
      </c>
      <c r="D9" s="4" t="inlineStr">
        <is>
          <t>Start with the patient standing, and look at alignment from the front and at the knee profile from the side.</t>
        </is>
      </c>
      <c r="E9" s="4" t="inlineStr"/>
      <c r="F9" s="4" t="inlineStr"/>
      <c r="G9" s="4" t="inlineStr"/>
    </row>
    <row r="10">
      <c r="A10" s="4" t="inlineStr">
        <is>
          <t>4.11.7-P1</t>
        </is>
      </c>
      <c r="B10" s="4" t="inlineStr">
        <is>
          <t>4.11.7</t>
        </is>
      </c>
      <c r="C10" s="4" t="inlineStr">
        <is>
          <t>medical_student</t>
        </is>
      </c>
      <c r="D10" s="4" t="inlineStr">
        <is>
          <t>Treat absent or reduced pulses as an arterial injury until it has been excluded properly, rather than as a finding to review later.</t>
        </is>
      </c>
      <c r="E10" s="4" t="inlineStr"/>
      <c r="F10" s="4" t="inlineStr"/>
      <c r="G10" s="4" t="inlineStr"/>
    </row>
    <row r="11">
      <c r="A11" s="4" t="inlineStr">
        <is>
          <t>4.11.7-P2</t>
        </is>
      </c>
      <c r="B11" s="4" t="inlineStr">
        <is>
          <t>4.11.7</t>
        </is>
      </c>
      <c r="C11" s="4" t="inlineStr">
        <is>
          <t>medical_student</t>
        </is>
      </c>
      <c r="D11" s="4" t="inlineStr">
        <is>
          <t>Examine the common peroneal nerve next, testing ankle dorsiflexion, great toe extension and sensation over the dorsum of the foot, because this nerve is the one at risk in the posterolateral injury.</t>
        </is>
      </c>
      <c r="E11" s="4" t="inlineStr"/>
      <c r="F11" s="4" t="inlineStr"/>
      <c r="G11" s="4" t="inlineStr"/>
    </row>
    <row r="12">
      <c r="A12" s="4" t="inlineStr">
        <is>
          <t>4.11.7-P3</t>
        </is>
      </c>
      <c r="B12" s="4" t="inlineStr">
        <is>
          <t>4.11.7</t>
        </is>
      </c>
      <c r="C12" s="4" t="inlineStr">
        <is>
          <t>medical_student</t>
        </is>
      </c>
      <c r="D12" s="4" t="inlineStr">
        <is>
          <t>Record every test on both knees, because a combined injury is defined by a pattern and a pattern needs a comparison.</t>
        </is>
      </c>
      <c r="E12" s="4" t="inlineStr"/>
      <c r="F12" s="4" t="inlineStr"/>
      <c r="G12" s="4" t="inlineStr"/>
    </row>
  </sheetData>
  <dataValidations count="1">
    <dataValidation sqref="E3:E12"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row r="3">
      <c r="A3" s="4" t="inlineStr">
        <is>
          <t>4.11.1-F1</t>
        </is>
      </c>
      <c r="B3" s="4" t="inlineStr">
        <is>
          <t>4.11.1</t>
        </is>
      </c>
      <c r="C3" s="4" t="inlineStr">
        <is>
          <t>medical_student</t>
        </is>
      </c>
      <c r="D3" s="4" t="inlineStr">
        <is>
          <t>ninety degrees</t>
        </is>
      </c>
      <c r="E3" s="4" t="inlineStr">
        <is>
          <t>In a normal knee flexed to ninety degrees the front of the tibia sits about a centimetre in front of the femoral condyles.</t>
        </is>
      </c>
      <c r="F3" s="4" t="inlineStr"/>
      <c r="G3" s="4" t="inlineStr"/>
      <c r="H3" s="4" t="inlineStr"/>
    </row>
    <row r="4">
      <c r="A4" s="4" t="inlineStr">
        <is>
          <t>4.11.1-F2</t>
        </is>
      </c>
      <c r="B4" s="4" t="inlineStr">
        <is>
          <t>4.11.1</t>
        </is>
      </c>
      <c r="C4" s="4" t="inlineStr">
        <is>
          <t>medical_student</t>
        </is>
      </c>
      <c r="D4" s="4" t="inlineStr">
        <is>
          <t>forty five degrees</t>
        </is>
      </c>
      <c r="E4" s="4" t="inlineStr">
        <is>
          <t>Lay the patient supine with the hips flexed to about forty five degrees and both knees flexed to ninety degrees, feet flat on the couch.</t>
        </is>
      </c>
      <c r="F4" s="4" t="inlineStr"/>
      <c r="G4" s="4" t="inlineStr"/>
      <c r="H4" s="4" t="inlineStr"/>
    </row>
    <row r="5">
      <c r="A5" s="4" t="inlineStr">
        <is>
          <t>4.11.2-F1</t>
        </is>
      </c>
      <c r="B5" s="4" t="inlineStr">
        <is>
          <t>4.11.2</t>
        </is>
      </c>
      <c r="C5" s="4" t="inlineStr">
        <is>
          <t>medical_student</t>
        </is>
      </c>
      <c r="D5" s="4" t="inlineStr">
        <is>
          <t>ninety degrees</t>
        </is>
      </c>
      <c r="E5" s="4" t="inlineStr">
        <is>
          <t>The posterior drawer test measures posterior translation of the tibia on the femur with the knee flexed to ninety degrees, and it tests the posterior cruciate directly.</t>
        </is>
      </c>
      <c r="F5" s="4" t="inlineStr"/>
      <c r="G5" s="4" t="inlineStr"/>
      <c r="H5" s="4" t="inlineStr"/>
    </row>
    <row r="6">
      <c r="A6" s="4" t="inlineStr">
        <is>
          <t>4.11.2-F2</t>
        </is>
      </c>
      <c r="B6" s="4" t="inlineStr">
        <is>
          <t>4.11.2</t>
        </is>
      </c>
      <c r="C6" s="4" t="inlineStr">
        <is>
          <t>medical_student</t>
        </is>
      </c>
      <c r="D6" s="4" t="inlineStr">
        <is>
          <t>forty five degrees</t>
        </is>
      </c>
      <c r="E6" s="4" t="inlineStr">
        <is>
          <t>Position the patient supine with the hip flexed to about forty five degrees and the knee flexed to ninety degrees, with the foot flat on the couch.</t>
        </is>
      </c>
      <c r="F6" s="4" t="inlineStr"/>
      <c r="G6" s="4" t="inlineStr"/>
      <c r="H6" s="4" t="inlineStr"/>
    </row>
    <row r="7">
      <c r="A7" s="4" t="inlineStr">
        <is>
          <t>4.11.2-F3</t>
        </is>
      </c>
      <c r="B7" s="4" t="inlineStr">
        <is>
          <t>4.11.2</t>
        </is>
      </c>
      <c r="C7" s="4" t="inlineStr">
        <is>
          <t>mrcs</t>
        </is>
      </c>
      <c r="D7" s="4" t="inlineStr">
        <is>
          <t>thirty degrees</t>
        </is>
      </c>
      <c r="E7" s="4" t="inlineStr">
        <is>
          <t>Increased external rotation at thirty degrees of flexion in the same knee moves the diagnosis to the posterolateral corner.</t>
        </is>
      </c>
      <c r="F7" s="4" t="inlineStr"/>
      <c r="G7" s="4" t="inlineStr"/>
      <c r="H7" s="4" t="inlineStr"/>
    </row>
    <row r="8">
      <c r="A8" s="4" t="inlineStr">
        <is>
          <t>4.11.2-F4</t>
        </is>
      </c>
      <c r="B8" s="4" t="inlineStr">
        <is>
          <t>4.11.2</t>
        </is>
      </c>
      <c r="C8" s="4" t="inlineStr">
        <is>
          <t>fellowship</t>
        </is>
      </c>
      <c r="D8" s="4" t="inlineStr">
        <is>
          <t>thirty and ninety degrees</t>
        </is>
      </c>
      <c r="E8" s="4" t="inlineStr">
        <is>
          <t>The dial test at thirty and ninety degrees will.</t>
        </is>
      </c>
      <c r="F8" s="4" t="inlineStr"/>
      <c r="G8" s="4" t="inlineStr"/>
      <c r="H8" s="4" t="inlineStr"/>
    </row>
    <row r="9">
      <c r="A9" s="4" t="inlineStr">
        <is>
          <t>4.11.3-F1</t>
        </is>
      </c>
      <c r="B9" s="4" t="inlineStr">
        <is>
          <t>4.11.3</t>
        </is>
      </c>
      <c r="C9" s="4" t="inlineStr">
        <is>
          <t>medical_student</t>
        </is>
      </c>
      <c r="D9" s="4" t="inlineStr">
        <is>
          <t>ninety degrees</t>
        </is>
      </c>
      <c r="E9" s="4" t="inlineStr">
        <is>
          <t>With the knee flexed to about ninety degrees that tendon pulls the tibia forwards, so an intact quadriceps reduces a posteriorly subluxed tibia.</t>
        </is>
      </c>
      <c r="F9" s="4" t="inlineStr"/>
      <c r="G9" s="4" t="inlineStr"/>
      <c r="H9" s="4" t="inlineStr"/>
    </row>
    <row r="10">
      <c r="A10" s="4" t="inlineStr">
        <is>
          <t>4.11.4-F1</t>
        </is>
      </c>
      <c r="B10" s="4" t="inlineStr">
        <is>
          <t>4.11.4</t>
        </is>
      </c>
      <c r="C10" s="4" t="inlineStr">
        <is>
          <t>medical_student</t>
        </is>
      </c>
      <c r="D10" s="4" t="inlineStr">
        <is>
          <t>seventy degrees</t>
        </is>
      </c>
      <c r="E10" s="4" t="inlineStr">
        <is>
          <t>Position the patient supine and relaxed, with the knee flexed to about seventy degrees or more and the foot held in your hand.</t>
        </is>
      </c>
      <c r="F10" s="4" t="inlineStr"/>
      <c r="G10" s="4" t="inlineStr"/>
      <c r="H10" s="4" t="inlineStr"/>
    </row>
    <row r="11">
      <c r="A11" s="4" t="inlineStr">
        <is>
          <t>4.11.4-F2</t>
        </is>
      </c>
      <c r="B11" s="4" t="inlineStr">
        <is>
          <t>4.11.4</t>
        </is>
      </c>
      <c r="C11" s="4" t="inlineStr">
        <is>
          <t>medical_student</t>
        </is>
      </c>
      <c r="D11" s="4" t="inlineStr">
        <is>
          <t>twenty to thirty degrees</t>
        </is>
      </c>
      <c r="E11" s="4" t="inlineStr">
        <is>
          <t>The shift occurs as the knee passes about twenty to thirty degrees of flexion, where the iliotibial band changes from a flexor to an extensor of the knee and pulls the lateral plateau forward.</t>
        </is>
      </c>
      <c r="F11" s="4" t="inlineStr"/>
      <c r="G11" s="4" t="inlineStr"/>
      <c r="H11" s="4" t="inlineStr"/>
    </row>
    <row r="12">
      <c r="A12" s="4" t="inlineStr">
        <is>
          <t>4.11.4-F3</t>
        </is>
      </c>
      <c r="B12" s="4" t="inlineStr">
        <is>
          <t>4.11.4</t>
        </is>
      </c>
      <c r="C12" s="4" t="inlineStr">
        <is>
          <t>mrcs</t>
        </is>
      </c>
      <c r="D12" s="4" t="inlineStr">
        <is>
          <t>thirty degrees</t>
        </is>
      </c>
      <c r="E12" s="4" t="inlineStr">
        <is>
          <t>An increase in external rotation at thirty degrees of flexion and at ninety degrees in the same knee points the same way and is easier to grade, which is why the dial test is usually the test that settles it.</t>
        </is>
      </c>
      <c r="F12" s="4" t="inlineStr"/>
      <c r="G12" s="4" t="inlineStr"/>
      <c r="H12" s="4" t="inlineStr"/>
    </row>
    <row r="13">
      <c r="A13" s="4" t="inlineStr">
        <is>
          <t>4.11.4-F4</t>
        </is>
      </c>
      <c r="B13" s="4" t="inlineStr">
        <is>
          <t>4.11.4</t>
        </is>
      </c>
      <c r="C13" s="4" t="inlineStr">
        <is>
          <t>mrcs</t>
        </is>
      </c>
      <c r="D13" s="4" t="inlineStr">
        <is>
          <t>ninety degrees</t>
        </is>
      </c>
      <c r="E13" s="4" t="inlineStr">
        <is>
          <t>An increase in external rotation at thirty degrees of flexion and at ninety degrees in the same knee points the same way and is easier to grade, which is why the dial test is usually the test that settles it.</t>
        </is>
      </c>
      <c r="F13" s="4" t="inlineStr"/>
      <c r="G13" s="4" t="inlineStr"/>
      <c r="H13" s="4" t="inlineStr"/>
    </row>
    <row r="14">
      <c r="A14" s="4" t="inlineStr">
        <is>
          <t>4.11.7-F1</t>
        </is>
      </c>
      <c r="B14" s="4" t="inlineStr">
        <is>
          <t>4.11.7</t>
        </is>
      </c>
      <c r="C14" s="4" t="inlineStr">
        <is>
          <t>medical_student</t>
        </is>
      </c>
      <c r="D14" s="4" t="inlineStr">
        <is>
          <t>thirty degrees</t>
        </is>
      </c>
      <c r="E14" s="4" t="inlineStr">
        <is>
          <t>Only then begin the ligament sequence: inspection and sag, posterior drawer in neutral and in internal rotation, Lachman and anterior drawer, valgus stress at zero and thirty degrees, varus stress at zero and thirty degrees, the dial test at thirty and ninety degrees, and the rotational tests last.</t>
        </is>
      </c>
      <c r="F14" s="4" t="inlineStr"/>
      <c r="G14" s="4" t="inlineStr"/>
      <c r="H14" s="4" t="inlineStr"/>
    </row>
    <row r="15">
      <c r="A15" s="4" t="inlineStr">
        <is>
          <t>4.11.7-F2</t>
        </is>
      </c>
      <c r="B15" s="4" t="inlineStr">
        <is>
          <t>4.11.7</t>
        </is>
      </c>
      <c r="C15" s="4" t="inlineStr">
        <is>
          <t>medical_student</t>
        </is>
      </c>
      <c r="D15" s="4" t="inlineStr">
        <is>
          <t>thirty and ninety degrees</t>
        </is>
      </c>
      <c r="E15" s="4" t="inlineStr">
        <is>
          <t>Only then begin the ligament sequence: inspection and sag, posterior drawer in neutral and in internal rotation, Lachman and anterior drawer, valgus stress at zero and thirty degrees, varus stress at zero and thirty degrees, the dial test at thirty and ninety degrees, and the rotational tests last.</t>
        </is>
      </c>
      <c r="F15" s="4" t="inlineStr"/>
      <c r="G15" s="4" t="inlineStr"/>
      <c r="H15" s="4" t="inlineStr"/>
    </row>
    <row r="16">
      <c r="A16" s="4" t="inlineStr">
        <is>
          <t>4.11.7-F3</t>
        </is>
      </c>
      <c r="B16" s="4" t="inlineStr">
        <is>
          <t>4.11.7</t>
        </is>
      </c>
      <c r="C16" s="4" t="inlineStr">
        <is>
          <t>mrcs</t>
        </is>
      </c>
      <c r="D16" s="4" t="inlineStr">
        <is>
          <t>ninety degrees</t>
        </is>
      </c>
      <c r="E16" s="4" t="inlineStr">
        <is>
          <t>Say that you would not force a knee that feels grossly unstable into ninety degrees of flexion, and that examination under anaesthesia answers what the clinic cannot.</t>
        </is>
      </c>
      <c r="F16" s="4" t="inlineStr"/>
      <c r="G16" s="4" t="inlineStr"/>
      <c r="H16" s="4" t="inlineStr"/>
    </row>
  </sheetData>
  <dataValidations count="1">
    <dataValidation sqref="F3:F16" showDropDown="0" showInputMessage="0" showErrorMessage="0" allowBlank="1" errorTitle="Not an allowed decision" error="Use one of: VERIFIED, CORRECTED, REMOVED" type="list">
      <formula1>"VERIFIED,CORRECTED,REMOVED"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10</f>
        <v/>
      </c>
      <c r="C2" s="3">
        <f>14</f>
        <v/>
      </c>
    </row>
    <row r="3">
      <c r="A3" s="2" t="inlineStr">
        <is>
          <t>Decided</t>
        </is>
      </c>
      <c r="B3" s="3">
        <f>COUNTIF(Recommendations!E3:E12,"&lt;&gt;")</f>
        <v/>
      </c>
      <c r="C3" s="3">
        <f>COUNTIF(Measurements!F3:F16,"&lt;&gt;")</f>
        <v/>
      </c>
    </row>
    <row r="4">
      <c r="A4" s="2" t="inlineStr">
        <is>
          <t>Still blank</t>
        </is>
      </c>
      <c r="B4" s="3">
        <f>B2-B3</f>
        <v/>
      </c>
      <c r="C4" s="3">
        <f>C2-C3</f>
        <v/>
      </c>
    </row>
    <row r="5">
      <c r="A5" s="2" t="inlineStr">
        <is>
          <t>CONFIRMED</t>
        </is>
      </c>
      <c r="B5" s="3">
        <f>COUNTIF(Recommendations!E3:E12,"CONFIRMED")</f>
        <v/>
      </c>
      <c r="C5" s="3" t="inlineStr"/>
    </row>
    <row r="6">
      <c r="A6" s="2" t="inlineStr">
        <is>
          <t>AMENDED</t>
        </is>
      </c>
      <c r="B6" s="3">
        <f>COUNTIF(Recommendations!E3:E12,"AMENDED")</f>
        <v/>
      </c>
      <c r="C6" s="3" t="inlineStr"/>
    </row>
    <row r="7">
      <c r="A7" s="2" t="inlineStr">
        <is>
          <t>WITHDRAWN</t>
        </is>
      </c>
      <c r="B7" s="3">
        <f>COUNTIF(Recommendations!E3:E12,"WITHDRAWN")</f>
        <v/>
      </c>
      <c r="C7" s="3" t="inlineStr"/>
    </row>
    <row r="8">
      <c r="A8" s="2" t="inlineStr">
        <is>
          <t>NOT_CLINICAL</t>
        </is>
      </c>
      <c r="B8" s="3">
        <f>COUNTIF(Recommendations!E3:E12,"NOT_CLINICAL")</f>
        <v/>
      </c>
      <c r="C8" s="3" t="inlineStr"/>
    </row>
    <row r="9">
      <c r="A9" s="2" t="inlineStr">
        <is>
          <t>VERIFIED</t>
        </is>
      </c>
      <c r="B9" s="3" t="inlineStr"/>
      <c r="C9" s="3">
        <f>COUNTIF(Measurements!F3:F16,"VERIFIED")</f>
        <v/>
      </c>
    </row>
    <row r="10">
      <c r="A10" s="2" t="inlineStr">
        <is>
          <t>CORRECTED</t>
        </is>
      </c>
      <c r="B10" s="3" t="inlineStr"/>
      <c r="C10" s="3">
        <f>COUNTIF(Measurements!F3:F16,"CORRECTED")</f>
        <v/>
      </c>
    </row>
    <row r="11">
      <c r="A11" s="2" t="inlineStr">
        <is>
          <t>REMOVED</t>
        </is>
      </c>
      <c r="B11" s="3" t="inlineStr"/>
      <c r="C11" s="3">
        <f>COUNTIF(Measurements!F3:F16,"REMOVED")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2026-10-12T19:46:05Z</dcterms:created>
  <dcterms:modified xmlns:dcterms="http://purl.org/dc/terms/" xmlns:xsi="http://www.w3.org/2001/XMLSchema-instance" xsi:type="dcterms:W3CDTF">2026-10-12T19:46:05Z</dcterms:modified>
</cp:coreProperties>
</file>